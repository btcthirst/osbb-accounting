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січень" sheetId="1" state="visible" r:id="rId3"/>
    <sheet name="лютий" sheetId="2" state="visible" r:id="rId4"/>
    <sheet name="березень" sheetId="3" state="visible" r:id="rId5"/>
    <sheet name="квітень" sheetId="4" state="visible" r:id="rId6"/>
    <sheet name="травень" sheetId="5" state="visible" r:id="rId7"/>
    <sheet name="червень" sheetId="6" state="visible" r:id="rId8"/>
    <sheet name="липень" sheetId="7" state="visible" r:id="rId9"/>
    <sheet name="серпень" sheetId="8" state="visible" r:id="rId10"/>
    <sheet name="вересень" sheetId="9" state="visible" r:id="rId11"/>
    <sheet name="жовтень" sheetId="10" state="visible" r:id="rId12"/>
    <sheet name="листопад" sheetId="11" state="visible" r:id="rId13"/>
    <sheet name="грудень" sheetId="12" state="visible" r:id="rId14"/>
    <sheet name="Лист1" sheetId="13" state="visible" r:id="rId15"/>
  </sheets>
  <externalReferences>
    <externalReference r:id="rId16"/>
    <externalReference r:id="rId17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<sst xmlns="http://schemas.openxmlformats.org/spreadsheetml/2006/main" count="3268" uniqueCount="680">
  <si>
    <t xml:space="preserve">ОСББ "Карбишева - 22"</t>
  </si>
  <si>
    <t xml:space="preserve">Відомість нарахувань та оплати мешканців за утримання будинку  </t>
  </si>
  <si>
    <t xml:space="preserve">тариф</t>
  </si>
  <si>
    <t xml:space="preserve">у      січні    2023 року</t>
  </si>
  <si>
    <t xml:space="preserve">№
кв.</t>
  </si>
  <si>
    <t xml:space="preserve">ПІБ</t>
  </si>
  <si>
    <t xml:space="preserve">Особ. рах.</t>
  </si>
  <si>
    <t xml:space="preserve">Д-Т</t>
  </si>
  <si>
    <t xml:space="preserve">К-Т</t>
  </si>
  <si>
    <t xml:space="preserve">Пільга
%</t>
  </si>
  <si>
    <t xml:space="preserve">Заг.площа</t>
  </si>
  <si>
    <t xml:space="preserve">Пільг.
Площа</t>
  </si>
  <si>
    <t xml:space="preserve">Внески</t>
  </si>
  <si>
    <t xml:space="preserve">100%
нарах.</t>
  </si>
  <si>
    <t xml:space="preserve">Пільгова
сума</t>
  </si>
  <si>
    <t xml:space="preserve">сплачені  суми пільг за реєстрами</t>
  </si>
  <si>
    <t xml:space="preserve">Коригування</t>
  </si>
  <si>
    <t xml:space="preserve">До
сплати</t>
  </si>
  <si>
    <t xml:space="preserve">Сплачено</t>
  </si>
  <si>
    <t xml:space="preserve">1</t>
  </si>
  <si>
    <t xml:space="preserve">Бережний В.М.</t>
  </si>
  <si>
    <t xml:space="preserve">1001</t>
  </si>
  <si>
    <t xml:space="preserve">2</t>
  </si>
  <si>
    <t xml:space="preserve">Старикова Т.О.</t>
  </si>
  <si>
    <t xml:space="preserve">1002</t>
  </si>
  <si>
    <t xml:space="preserve">3</t>
  </si>
  <si>
    <t xml:space="preserve">Мазур Т.В.</t>
  </si>
  <si>
    <t xml:space="preserve">1003</t>
  </si>
  <si>
    <t xml:space="preserve">4</t>
  </si>
  <si>
    <t xml:space="preserve">Сокол О.В.</t>
  </si>
  <si>
    <t xml:space="preserve">1004</t>
  </si>
  <si>
    <t xml:space="preserve">5</t>
  </si>
  <si>
    <t xml:space="preserve">Семко Л.І.</t>
  </si>
  <si>
    <t xml:space="preserve">1005</t>
  </si>
  <si>
    <t xml:space="preserve">Гаркуша Н.І.</t>
  </si>
  <si>
    <t xml:space="preserve">1005-а</t>
  </si>
  <si>
    <t xml:space="preserve">6</t>
  </si>
  <si>
    <t xml:space="preserve">Андріяшев В.М</t>
  </si>
  <si>
    <t xml:space="preserve">1006</t>
  </si>
  <si>
    <t xml:space="preserve">7</t>
  </si>
  <si>
    <t xml:space="preserve">Старчикова О.М.</t>
  </si>
  <si>
    <t xml:space="preserve">1007</t>
  </si>
  <si>
    <t xml:space="preserve">8</t>
  </si>
  <si>
    <t xml:space="preserve">Безер Т.М</t>
  </si>
  <si>
    <t xml:space="preserve">1008</t>
  </si>
  <si>
    <t xml:space="preserve">9</t>
  </si>
  <si>
    <t xml:space="preserve">Решетило М.М</t>
  </si>
  <si>
    <t xml:space="preserve">1009</t>
  </si>
  <si>
    <t xml:space="preserve">10</t>
  </si>
  <si>
    <t xml:space="preserve">Фесенко О.В.</t>
  </si>
  <si>
    <t xml:space="preserve">1010</t>
  </si>
  <si>
    <t xml:space="preserve">11</t>
  </si>
  <si>
    <t xml:space="preserve">Петренко О.М.</t>
  </si>
  <si>
    <t xml:space="preserve">1011</t>
  </si>
  <si>
    <t xml:space="preserve">12</t>
  </si>
  <si>
    <t xml:space="preserve">Зеленюк А.Д</t>
  </si>
  <si>
    <t xml:space="preserve">1012</t>
  </si>
  <si>
    <t xml:space="preserve">13</t>
  </si>
  <si>
    <t xml:space="preserve">Вовк І.В</t>
  </si>
  <si>
    <t xml:space="preserve">1013</t>
  </si>
  <si>
    <t xml:space="preserve">Романовський В.М</t>
  </si>
  <si>
    <t xml:space="preserve">1013-а</t>
  </si>
  <si>
    <t xml:space="preserve">14</t>
  </si>
  <si>
    <t xml:space="preserve">Ряба Л.І</t>
  </si>
  <si>
    <t xml:space="preserve">1014</t>
  </si>
  <si>
    <t xml:space="preserve">15</t>
  </si>
  <si>
    <t xml:space="preserve">Кас'янова О.А.</t>
  </si>
  <si>
    <t xml:space="preserve">1015</t>
  </si>
  <si>
    <t xml:space="preserve">16</t>
  </si>
  <si>
    <t xml:space="preserve">Корякіна М.В.</t>
  </si>
  <si>
    <t xml:space="preserve">1016</t>
  </si>
  <si>
    <t xml:space="preserve">17</t>
  </si>
  <si>
    <t xml:space="preserve">Сокерчак А.В.</t>
  </si>
  <si>
    <t xml:space="preserve">1017</t>
  </si>
  <si>
    <t xml:space="preserve">18</t>
  </si>
  <si>
    <t xml:space="preserve">Кравченко В.А</t>
  </si>
  <si>
    <t xml:space="preserve">1018</t>
  </si>
  <si>
    <t xml:space="preserve">19</t>
  </si>
  <si>
    <t xml:space="preserve">Чичикало А.С</t>
  </si>
  <si>
    <t xml:space="preserve">1019</t>
  </si>
  <si>
    <t xml:space="preserve">20</t>
  </si>
  <si>
    <t xml:space="preserve">Сільващук А.А</t>
  </si>
  <si>
    <t xml:space="preserve">1020</t>
  </si>
  <si>
    <t xml:space="preserve">21</t>
  </si>
  <si>
    <t xml:space="preserve">Стеценко Г.М</t>
  </si>
  <si>
    <t xml:space="preserve">1021</t>
  </si>
  <si>
    <t xml:space="preserve">22</t>
  </si>
  <si>
    <t xml:space="preserve">Кирдячкіна П.А</t>
  </si>
  <si>
    <t xml:space="preserve">1022</t>
  </si>
  <si>
    <t xml:space="preserve">23</t>
  </si>
  <si>
    <t xml:space="preserve">Фоміченко Л.А</t>
  </si>
  <si>
    <t xml:space="preserve">1023</t>
  </si>
  <si>
    <t xml:space="preserve">24</t>
  </si>
  <si>
    <t xml:space="preserve">Сердюк А.Г</t>
  </si>
  <si>
    <t xml:space="preserve">1024</t>
  </si>
  <si>
    <t xml:space="preserve">25</t>
  </si>
  <si>
    <t xml:space="preserve">Михальченко Г.М</t>
  </si>
  <si>
    <t xml:space="preserve">1025</t>
  </si>
  <si>
    <t xml:space="preserve">26</t>
  </si>
  <si>
    <t xml:space="preserve">Замуховська Я.С</t>
  </si>
  <si>
    <t xml:space="preserve">1026</t>
  </si>
  <si>
    <t xml:space="preserve">27</t>
  </si>
  <si>
    <t xml:space="preserve">Мержиєвська Г.К</t>
  </si>
  <si>
    <t xml:space="preserve">1027</t>
  </si>
  <si>
    <t xml:space="preserve">28</t>
  </si>
  <si>
    <t xml:space="preserve">Кулакова Л.В.</t>
  </si>
  <si>
    <t xml:space="preserve">1028</t>
  </si>
  <si>
    <t xml:space="preserve">29</t>
  </si>
  <si>
    <t xml:space="preserve">Бочаров В.Л.</t>
  </si>
  <si>
    <t xml:space="preserve">1029</t>
  </si>
  <si>
    <t xml:space="preserve">30</t>
  </si>
  <si>
    <t xml:space="preserve">Лучков В.Л.</t>
  </si>
  <si>
    <t xml:space="preserve">1030</t>
  </si>
  <si>
    <t xml:space="preserve">31</t>
  </si>
  <si>
    <t xml:space="preserve">Кашкар Т.М.</t>
  </si>
  <si>
    <t xml:space="preserve">1031</t>
  </si>
  <si>
    <t xml:space="preserve">32</t>
  </si>
  <si>
    <t xml:space="preserve">Стецюк Н.П.</t>
  </si>
  <si>
    <t xml:space="preserve">1032</t>
  </si>
  <si>
    <t xml:space="preserve">33</t>
  </si>
  <si>
    <t xml:space="preserve">Маханько В.О.</t>
  </si>
  <si>
    <t xml:space="preserve">1033</t>
  </si>
  <si>
    <t xml:space="preserve">34</t>
  </si>
  <si>
    <t xml:space="preserve">Реуцька Р.С.</t>
  </si>
  <si>
    <t xml:space="preserve">1034</t>
  </si>
  <si>
    <t xml:space="preserve">35</t>
  </si>
  <si>
    <t xml:space="preserve">Колесникова Р.Г.</t>
  </si>
  <si>
    <t xml:space="preserve">1035</t>
  </si>
  <si>
    <t xml:space="preserve">36</t>
  </si>
  <si>
    <t xml:space="preserve">Кучеренко М.М.</t>
  </si>
  <si>
    <t xml:space="preserve">1036</t>
  </si>
  <si>
    <t xml:space="preserve">37</t>
  </si>
  <si>
    <t xml:space="preserve">Гурова О.М.</t>
  </si>
  <si>
    <t xml:space="preserve">2037</t>
  </si>
  <si>
    <t xml:space="preserve">38</t>
  </si>
  <si>
    <t xml:space="preserve">Федорова В.І.</t>
  </si>
  <si>
    <t xml:space="preserve">2038</t>
  </si>
  <si>
    <t xml:space="preserve">39</t>
  </si>
  <si>
    <t xml:space="preserve">Лаптєв В.І.</t>
  </si>
  <si>
    <t xml:space="preserve">2039</t>
  </si>
  <si>
    <t xml:space="preserve">40</t>
  </si>
  <si>
    <t xml:space="preserve">Тимощук О.Є.</t>
  </si>
  <si>
    <t xml:space="preserve">2040</t>
  </si>
  <si>
    <t xml:space="preserve">41</t>
  </si>
  <si>
    <t xml:space="preserve">Котяш О.В.</t>
  </si>
  <si>
    <t xml:space="preserve">2041</t>
  </si>
  <si>
    <t xml:space="preserve">42</t>
  </si>
  <si>
    <t xml:space="preserve">Токовило-Паращенко Л.П.</t>
  </si>
  <si>
    <t xml:space="preserve">2042</t>
  </si>
  <si>
    <t xml:space="preserve">43</t>
  </si>
  <si>
    <t xml:space="preserve">Бєлая К.В.</t>
  </si>
  <si>
    <t xml:space="preserve">2043</t>
  </si>
  <si>
    <t xml:space="preserve">44</t>
  </si>
  <si>
    <t xml:space="preserve">Стадник О.Ф.</t>
  </si>
  <si>
    <t xml:space="preserve">2044</t>
  </si>
  <si>
    <t xml:space="preserve">45</t>
  </si>
  <si>
    <t xml:space="preserve">Ляшенко В.М.</t>
  </si>
  <si>
    <t xml:space="preserve">2045</t>
  </si>
  <si>
    <t xml:space="preserve">46</t>
  </si>
  <si>
    <t xml:space="preserve">Смоленська Т.О.</t>
  </si>
  <si>
    <t xml:space="preserve">2046</t>
  </si>
  <si>
    <t xml:space="preserve">47</t>
  </si>
  <si>
    <t xml:space="preserve">Дудка І.В.</t>
  </si>
  <si>
    <t xml:space="preserve">2047</t>
  </si>
  <si>
    <t xml:space="preserve">48</t>
  </si>
  <si>
    <t xml:space="preserve">Буланова Л.І.</t>
  </si>
  <si>
    <t xml:space="preserve">2048</t>
  </si>
  <si>
    <t xml:space="preserve">49</t>
  </si>
  <si>
    <t xml:space="preserve">Шалімова О.О.</t>
  </si>
  <si>
    <t xml:space="preserve">2049</t>
  </si>
  <si>
    <t xml:space="preserve">50</t>
  </si>
  <si>
    <t xml:space="preserve">Андросик О.О.</t>
  </si>
  <si>
    <t xml:space="preserve">2050</t>
  </si>
  <si>
    <t xml:space="preserve">51</t>
  </si>
  <si>
    <t xml:space="preserve">Токар Є.А.</t>
  </si>
  <si>
    <t xml:space="preserve">2051</t>
  </si>
  <si>
    <t xml:space="preserve">52</t>
  </si>
  <si>
    <t xml:space="preserve">Констанчук І.В.</t>
  </si>
  <si>
    <t xml:space="preserve">2052</t>
  </si>
  <si>
    <t xml:space="preserve">53</t>
  </si>
  <si>
    <t xml:space="preserve">Гончаров В.В.</t>
  </si>
  <si>
    <t xml:space="preserve">2053</t>
  </si>
  <si>
    <t xml:space="preserve">54</t>
  </si>
  <si>
    <t xml:space="preserve">Ляхомський В.О.</t>
  </si>
  <si>
    <t xml:space="preserve">2054</t>
  </si>
  <si>
    <t xml:space="preserve">55</t>
  </si>
  <si>
    <t xml:space="preserve">Крамаренко В.П.</t>
  </si>
  <si>
    <t xml:space="preserve">2055</t>
  </si>
  <si>
    <t xml:space="preserve">56</t>
  </si>
  <si>
    <t xml:space="preserve">Родзик С.Г.</t>
  </si>
  <si>
    <t xml:space="preserve">2056</t>
  </si>
  <si>
    <t xml:space="preserve">57</t>
  </si>
  <si>
    <t xml:space="preserve">Никоненко Н.С.</t>
  </si>
  <si>
    <t xml:space="preserve">2057</t>
  </si>
  <si>
    <t xml:space="preserve">58</t>
  </si>
  <si>
    <t xml:space="preserve">Чепок О.В.</t>
  </si>
  <si>
    <t xml:space="preserve">2058</t>
  </si>
  <si>
    <t xml:space="preserve">59</t>
  </si>
  <si>
    <t xml:space="preserve">Горошенко Л.С.</t>
  </si>
  <si>
    <t xml:space="preserve">2059</t>
  </si>
  <si>
    <t xml:space="preserve">60</t>
  </si>
  <si>
    <t xml:space="preserve">Неграчева Л.Г.</t>
  </si>
  <si>
    <t xml:space="preserve">2060</t>
  </si>
  <si>
    <t xml:space="preserve">61</t>
  </si>
  <si>
    <t xml:space="preserve">Брежнєв О.В.</t>
  </si>
  <si>
    <t xml:space="preserve">2061</t>
  </si>
  <si>
    <t xml:space="preserve">62</t>
  </si>
  <si>
    <t xml:space="preserve">Горбатюк К.О.</t>
  </si>
  <si>
    <t xml:space="preserve">2062</t>
  </si>
  <si>
    <t xml:space="preserve">63</t>
  </si>
  <si>
    <t xml:space="preserve">Божик М.О.</t>
  </si>
  <si>
    <t xml:space="preserve">2063</t>
  </si>
  <si>
    <t xml:space="preserve">64</t>
  </si>
  <si>
    <t xml:space="preserve">Зайченко С.Л</t>
  </si>
  <si>
    <t xml:space="preserve">2064</t>
  </si>
  <si>
    <t xml:space="preserve">65</t>
  </si>
  <si>
    <t xml:space="preserve">Бессараб Н.Г.</t>
  </si>
  <si>
    <t xml:space="preserve">2065</t>
  </si>
  <si>
    <t xml:space="preserve">66</t>
  </si>
  <si>
    <t xml:space="preserve">Прохорова С.І.</t>
  </si>
  <si>
    <t xml:space="preserve">2066</t>
  </si>
  <si>
    <t xml:space="preserve">67</t>
  </si>
  <si>
    <t xml:space="preserve">Браташ А.Ф.</t>
  </si>
  <si>
    <t xml:space="preserve">2067</t>
  </si>
  <si>
    <t xml:space="preserve">68</t>
  </si>
  <si>
    <t xml:space="preserve">Кудас Д.О.</t>
  </si>
  <si>
    <t xml:space="preserve">2068</t>
  </si>
  <si>
    <t xml:space="preserve">69</t>
  </si>
  <si>
    <t xml:space="preserve">Шушлєбін Б.В.</t>
  </si>
  <si>
    <t xml:space="preserve">2069</t>
  </si>
  <si>
    <t xml:space="preserve">70</t>
  </si>
  <si>
    <t xml:space="preserve">Бородіна І.О.</t>
  </si>
  <si>
    <t xml:space="preserve">2070</t>
  </si>
  <si>
    <t xml:space="preserve">71</t>
  </si>
  <si>
    <t xml:space="preserve">Котурга Л.Й.</t>
  </si>
  <si>
    <t xml:space="preserve">2071</t>
  </si>
  <si>
    <t xml:space="preserve">72</t>
  </si>
  <si>
    <t xml:space="preserve">Горова О.І.</t>
  </si>
  <si>
    <t xml:space="preserve">2072</t>
  </si>
  <si>
    <t xml:space="preserve">73</t>
  </si>
  <si>
    <t xml:space="preserve">Рибакевич М.П.</t>
  </si>
  <si>
    <t xml:space="preserve">3073</t>
  </si>
  <si>
    <t xml:space="preserve">74</t>
  </si>
  <si>
    <t xml:space="preserve">Башкалов В.В.</t>
  </si>
  <si>
    <t xml:space="preserve">3074</t>
  </si>
  <si>
    <t xml:space="preserve">75</t>
  </si>
  <si>
    <t xml:space="preserve">Тіхенко Г.Д.</t>
  </si>
  <si>
    <t xml:space="preserve">3075</t>
  </si>
  <si>
    <t xml:space="preserve">76</t>
  </si>
  <si>
    <t xml:space="preserve">Головченко В.Г.</t>
  </si>
  <si>
    <t xml:space="preserve">3076</t>
  </si>
  <si>
    <t xml:space="preserve">77</t>
  </si>
  <si>
    <t xml:space="preserve">Семанішина Є.С.</t>
  </si>
  <si>
    <t xml:space="preserve">3077</t>
  </si>
  <si>
    <t xml:space="preserve">78</t>
  </si>
  <si>
    <t xml:space="preserve">Зінченко Ю.В.</t>
  </si>
  <si>
    <t xml:space="preserve">3078</t>
  </si>
  <si>
    <t xml:space="preserve">79</t>
  </si>
  <si>
    <t xml:space="preserve">Рилова Г.П.</t>
  </si>
  <si>
    <t xml:space="preserve">3079</t>
  </si>
  <si>
    <t xml:space="preserve">80</t>
  </si>
  <si>
    <t xml:space="preserve">Ленський І.О.</t>
  </si>
  <si>
    <t xml:space="preserve">3080</t>
  </si>
  <si>
    <t xml:space="preserve">81</t>
  </si>
  <si>
    <t xml:space="preserve">Слюсар О.О.</t>
  </si>
  <si>
    <t xml:space="preserve">3081</t>
  </si>
  <si>
    <t xml:space="preserve">82</t>
  </si>
  <si>
    <t xml:space="preserve">Кісельов Г.О.</t>
  </si>
  <si>
    <t xml:space="preserve">3082</t>
  </si>
  <si>
    <t xml:space="preserve">83</t>
  </si>
  <si>
    <t xml:space="preserve">Губанова Н.С.</t>
  </si>
  <si>
    <t xml:space="preserve">3083</t>
  </si>
  <si>
    <t xml:space="preserve">84</t>
  </si>
  <si>
    <t xml:space="preserve">Попова А.В.</t>
  </si>
  <si>
    <t xml:space="preserve">3084</t>
  </si>
  <si>
    <t xml:space="preserve">85</t>
  </si>
  <si>
    <t xml:space="preserve">Стародубець О.К.</t>
  </si>
  <si>
    <t xml:space="preserve">3085</t>
  </si>
  <si>
    <t xml:space="preserve">86</t>
  </si>
  <si>
    <t xml:space="preserve">Сакун Т.А.</t>
  </si>
  <si>
    <t xml:space="preserve">3086</t>
  </si>
  <si>
    <t xml:space="preserve">87</t>
  </si>
  <si>
    <t xml:space="preserve">Фатєєв Ю.О.</t>
  </si>
  <si>
    <t xml:space="preserve">3087</t>
  </si>
  <si>
    <t xml:space="preserve">88</t>
  </si>
  <si>
    <t xml:space="preserve">Лукашов Є.В.</t>
  </si>
  <si>
    <t xml:space="preserve">3088</t>
  </si>
  <si>
    <t xml:space="preserve">89</t>
  </si>
  <si>
    <t xml:space="preserve">Довбета В.М.</t>
  </si>
  <si>
    <t xml:space="preserve">3089</t>
  </si>
  <si>
    <t xml:space="preserve">90</t>
  </si>
  <si>
    <t xml:space="preserve">Черняк К.В.</t>
  </si>
  <si>
    <t xml:space="preserve">3090</t>
  </si>
  <si>
    <t xml:space="preserve">91</t>
  </si>
  <si>
    <t xml:space="preserve">Удінцева Г.А.</t>
  </si>
  <si>
    <t xml:space="preserve">3091</t>
  </si>
  <si>
    <t xml:space="preserve">92</t>
  </si>
  <si>
    <t xml:space="preserve">Липка Г.Ю.</t>
  </si>
  <si>
    <t xml:space="preserve">3092</t>
  </si>
  <si>
    <t xml:space="preserve">93</t>
  </si>
  <si>
    <t xml:space="preserve">Утьосов Д.М.</t>
  </si>
  <si>
    <t xml:space="preserve">3093</t>
  </si>
  <si>
    <t xml:space="preserve">94</t>
  </si>
  <si>
    <t xml:space="preserve">Стеценко Д.М.</t>
  </si>
  <si>
    <t xml:space="preserve">3094</t>
  </si>
  <si>
    <t xml:space="preserve">95</t>
  </si>
  <si>
    <t xml:space="preserve">Задніпряна О.М.</t>
  </si>
  <si>
    <t xml:space="preserve">3095</t>
  </si>
  <si>
    <t xml:space="preserve">96</t>
  </si>
  <si>
    <t xml:space="preserve">Геращенко М.Д.</t>
  </si>
  <si>
    <t xml:space="preserve">3096</t>
  </si>
  <si>
    <t xml:space="preserve">97</t>
  </si>
  <si>
    <t xml:space="preserve">Горб В.М.</t>
  </si>
  <si>
    <t xml:space="preserve">3097</t>
  </si>
  <si>
    <t xml:space="preserve">98</t>
  </si>
  <si>
    <t xml:space="preserve">Нойок Г.К.</t>
  </si>
  <si>
    <t xml:space="preserve">3098</t>
  </si>
  <si>
    <t xml:space="preserve">99</t>
  </si>
  <si>
    <t xml:space="preserve">Сафонова О.В.</t>
  </si>
  <si>
    <t xml:space="preserve">3099</t>
  </si>
  <si>
    <t xml:space="preserve">100</t>
  </si>
  <si>
    <t xml:space="preserve">Вінарська Н.П.</t>
  </si>
  <si>
    <t xml:space="preserve">30100</t>
  </si>
  <si>
    <t xml:space="preserve">101</t>
  </si>
  <si>
    <t xml:space="preserve">Чернова Н.І.</t>
  </si>
  <si>
    <t xml:space="preserve">30101</t>
  </si>
  <si>
    <t xml:space="preserve">102</t>
  </si>
  <si>
    <t xml:space="preserve">Кошева Н.П</t>
  </si>
  <si>
    <t xml:space="preserve">30102</t>
  </si>
  <si>
    <t xml:space="preserve">103</t>
  </si>
  <si>
    <t xml:space="preserve">Уривський Д.Б.</t>
  </si>
  <si>
    <t xml:space="preserve">30103</t>
  </si>
  <si>
    <t xml:space="preserve">104</t>
  </si>
  <si>
    <t xml:space="preserve">АДПСУ (Чорноморець В.М.)</t>
  </si>
  <si>
    <t xml:space="preserve">30104</t>
  </si>
  <si>
    <t xml:space="preserve">105</t>
  </si>
  <si>
    <t xml:space="preserve">Дмитренко Г.В.</t>
  </si>
  <si>
    <t xml:space="preserve">30105</t>
  </si>
  <si>
    <t xml:space="preserve">106</t>
  </si>
  <si>
    <t xml:space="preserve">Номерова Т.В.</t>
  </si>
  <si>
    <t xml:space="preserve">30106</t>
  </si>
  <si>
    <t xml:space="preserve">107</t>
  </si>
  <si>
    <t xml:space="preserve">Самойлова О.В.</t>
  </si>
  <si>
    <t xml:space="preserve">30107</t>
  </si>
  <si>
    <t xml:space="preserve">108</t>
  </si>
  <si>
    <t xml:space="preserve">Випенко О.І.</t>
  </si>
  <si>
    <t xml:space="preserve">30108</t>
  </si>
  <si>
    <t xml:space="preserve">109</t>
  </si>
  <si>
    <t xml:space="preserve">Саприкін Ю.О.</t>
  </si>
  <si>
    <t xml:space="preserve">40109</t>
  </si>
  <si>
    <t xml:space="preserve">110</t>
  </si>
  <si>
    <t xml:space="preserve">Мовчан В.М.</t>
  </si>
  <si>
    <t xml:space="preserve">40110</t>
  </si>
  <si>
    <t xml:space="preserve">111</t>
  </si>
  <si>
    <t xml:space="preserve">Величко Н.М.</t>
  </si>
  <si>
    <t xml:space="preserve">40111</t>
  </si>
  <si>
    <t xml:space="preserve">112</t>
  </si>
  <si>
    <t xml:space="preserve">Бухлов С.В.</t>
  </si>
  <si>
    <t xml:space="preserve">40112</t>
  </si>
  <si>
    <t xml:space="preserve">113</t>
  </si>
  <si>
    <t xml:space="preserve">Перепеліцина Т.Ю.</t>
  </si>
  <si>
    <t xml:space="preserve">40113</t>
  </si>
  <si>
    <t xml:space="preserve">114</t>
  </si>
  <si>
    <t xml:space="preserve">Свєтлова Т.Ю.</t>
  </si>
  <si>
    <t xml:space="preserve">40114</t>
  </si>
  <si>
    <t xml:space="preserve">115</t>
  </si>
  <si>
    <t xml:space="preserve">Маркова О.М.</t>
  </si>
  <si>
    <t xml:space="preserve">40115</t>
  </si>
  <si>
    <t xml:space="preserve">116</t>
  </si>
  <si>
    <t xml:space="preserve">Ракитська А.М.</t>
  </si>
  <si>
    <t xml:space="preserve">40116</t>
  </si>
  <si>
    <t xml:space="preserve">117</t>
  </si>
  <si>
    <t xml:space="preserve">Гусак К.С.</t>
  </si>
  <si>
    <t xml:space="preserve">40117</t>
  </si>
  <si>
    <t xml:space="preserve">118</t>
  </si>
  <si>
    <t xml:space="preserve">Пісоченко М.Г.</t>
  </si>
  <si>
    <t xml:space="preserve">40118</t>
  </si>
  <si>
    <t xml:space="preserve">119</t>
  </si>
  <si>
    <t xml:space="preserve">Столяр О.М.</t>
  </si>
  <si>
    <t xml:space="preserve">40119</t>
  </si>
  <si>
    <t xml:space="preserve">120</t>
  </si>
  <si>
    <t xml:space="preserve">Рєзніков В.П.</t>
  </si>
  <si>
    <t xml:space="preserve">40120</t>
  </si>
  <si>
    <t xml:space="preserve">121</t>
  </si>
  <si>
    <t xml:space="preserve">Золотоверха Я.І.</t>
  </si>
  <si>
    <t xml:space="preserve">40121</t>
  </si>
  <si>
    <t xml:space="preserve">122</t>
  </si>
  <si>
    <t xml:space="preserve">Бурлаков А.В.</t>
  </si>
  <si>
    <t xml:space="preserve">40122</t>
  </si>
  <si>
    <t xml:space="preserve">123</t>
  </si>
  <si>
    <t xml:space="preserve">Сикула О.Ю.</t>
  </si>
  <si>
    <t xml:space="preserve">40123</t>
  </si>
  <si>
    <t xml:space="preserve">124</t>
  </si>
  <si>
    <t xml:space="preserve">Арістов О.О.</t>
  </si>
  <si>
    <t xml:space="preserve">40124</t>
  </si>
  <si>
    <t xml:space="preserve">125</t>
  </si>
  <si>
    <t xml:space="preserve">Бондаренко Т.О.</t>
  </si>
  <si>
    <t xml:space="preserve">40125</t>
  </si>
  <si>
    <t xml:space="preserve">126</t>
  </si>
  <si>
    <t xml:space="preserve">Гайчев П.В.</t>
  </si>
  <si>
    <t xml:space="preserve">40126</t>
  </si>
  <si>
    <t xml:space="preserve">127</t>
  </si>
  <si>
    <t xml:space="preserve">Радченко О.С.</t>
  </si>
  <si>
    <t xml:space="preserve">40127</t>
  </si>
  <si>
    <t xml:space="preserve">128</t>
  </si>
  <si>
    <t xml:space="preserve">Шилін С.М.</t>
  </si>
  <si>
    <t xml:space="preserve">40128</t>
  </si>
  <si>
    <t xml:space="preserve">129</t>
  </si>
  <si>
    <t xml:space="preserve">Петрулевич В.М.</t>
  </si>
  <si>
    <t xml:space="preserve">40129</t>
  </si>
  <si>
    <t xml:space="preserve">130</t>
  </si>
  <si>
    <t xml:space="preserve">Кривошеєва Л.М.</t>
  </si>
  <si>
    <t xml:space="preserve">40130</t>
  </si>
  <si>
    <t xml:space="preserve">131</t>
  </si>
  <si>
    <t xml:space="preserve">Харченко І.С.</t>
  </si>
  <si>
    <t xml:space="preserve">40131</t>
  </si>
  <si>
    <t xml:space="preserve">132</t>
  </si>
  <si>
    <t xml:space="preserve">Куриленко І.О.</t>
  </si>
  <si>
    <t xml:space="preserve">40132</t>
  </si>
  <si>
    <t xml:space="preserve">133</t>
  </si>
  <si>
    <t xml:space="preserve">Єлсукова В.М.</t>
  </si>
  <si>
    <t xml:space="preserve">40133</t>
  </si>
  <si>
    <t xml:space="preserve">134</t>
  </si>
  <si>
    <t xml:space="preserve">Пімонова М.В.</t>
  </si>
  <si>
    <t xml:space="preserve">40134</t>
  </si>
  <si>
    <t xml:space="preserve">135</t>
  </si>
  <si>
    <t xml:space="preserve">Осипенко В.В.</t>
  </si>
  <si>
    <t xml:space="preserve">40135</t>
  </si>
  <si>
    <t xml:space="preserve">136</t>
  </si>
  <si>
    <t xml:space="preserve">Друзь О.О.</t>
  </si>
  <si>
    <t xml:space="preserve">40136</t>
  </si>
  <si>
    <t xml:space="preserve">137</t>
  </si>
  <si>
    <t xml:space="preserve">Вовченко Р.І.</t>
  </si>
  <si>
    <t xml:space="preserve">40137</t>
  </si>
  <si>
    <t xml:space="preserve">138</t>
  </si>
  <si>
    <t xml:space="preserve">Плакун Д.В.</t>
  </si>
  <si>
    <t xml:space="preserve">40138</t>
  </si>
  <si>
    <t xml:space="preserve">139</t>
  </si>
  <si>
    <t xml:space="preserve">Гаврилова Ю.О.</t>
  </si>
  <si>
    <t xml:space="preserve">40139</t>
  </si>
  <si>
    <t xml:space="preserve">140</t>
  </si>
  <si>
    <t xml:space="preserve">Корзун Г.М.</t>
  </si>
  <si>
    <t xml:space="preserve">40140</t>
  </si>
  <si>
    <t xml:space="preserve">141</t>
  </si>
  <si>
    <t xml:space="preserve">Бондаренко Л.Л.</t>
  </si>
  <si>
    <t xml:space="preserve">40141</t>
  </si>
  <si>
    <t xml:space="preserve">142</t>
  </si>
  <si>
    <t xml:space="preserve">Капелюш Н.А.</t>
  </si>
  <si>
    <t xml:space="preserve">40142</t>
  </si>
  <si>
    <t xml:space="preserve">143</t>
  </si>
  <si>
    <t xml:space="preserve">Кістрінь Л.П.</t>
  </si>
  <si>
    <t xml:space="preserve">40143</t>
  </si>
  <si>
    <t xml:space="preserve">144</t>
  </si>
  <si>
    <t xml:space="preserve">Козьміна І.В.</t>
  </si>
  <si>
    <t xml:space="preserve">50144</t>
  </si>
  <si>
    <t xml:space="preserve">145</t>
  </si>
  <si>
    <t xml:space="preserve">Чала С.С.</t>
  </si>
  <si>
    <t xml:space="preserve">50145</t>
  </si>
  <si>
    <t xml:space="preserve">146</t>
  </si>
  <si>
    <t xml:space="preserve">Свєтайлова І.М.</t>
  </si>
  <si>
    <t xml:space="preserve">50146</t>
  </si>
  <si>
    <t xml:space="preserve">147</t>
  </si>
  <si>
    <t xml:space="preserve">Неделько Д.І.</t>
  </si>
  <si>
    <t xml:space="preserve">50147</t>
  </si>
  <si>
    <t xml:space="preserve">148</t>
  </si>
  <si>
    <t xml:space="preserve">Самойленко Л.К.</t>
  </si>
  <si>
    <t xml:space="preserve">50148</t>
  </si>
  <si>
    <t xml:space="preserve">149</t>
  </si>
  <si>
    <t xml:space="preserve">Павлов Ю.В.</t>
  </si>
  <si>
    <t xml:space="preserve">50149</t>
  </si>
  <si>
    <t xml:space="preserve">150</t>
  </si>
  <si>
    <t xml:space="preserve">Коваленко Т.М.</t>
  </si>
  <si>
    <t xml:space="preserve">50150</t>
  </si>
  <si>
    <t xml:space="preserve">151</t>
  </si>
  <si>
    <t xml:space="preserve">Рощенко Л.Б.</t>
  </si>
  <si>
    <t xml:space="preserve">50151</t>
  </si>
  <si>
    <t xml:space="preserve">152</t>
  </si>
  <si>
    <t xml:space="preserve">Галушко С.Т.</t>
  </si>
  <si>
    <t xml:space="preserve">50152</t>
  </si>
  <si>
    <t xml:space="preserve">153</t>
  </si>
  <si>
    <t xml:space="preserve">Наумова Л.Я.</t>
  </si>
  <si>
    <t xml:space="preserve">50153</t>
  </si>
  <si>
    <t xml:space="preserve">154</t>
  </si>
  <si>
    <t xml:space="preserve">Грєк В.С.</t>
  </si>
  <si>
    <t xml:space="preserve">50154</t>
  </si>
  <si>
    <t xml:space="preserve">155</t>
  </si>
  <si>
    <t xml:space="preserve">Пермінов О.А.</t>
  </si>
  <si>
    <t xml:space="preserve">50155</t>
  </si>
  <si>
    <t xml:space="preserve">156</t>
  </si>
  <si>
    <t xml:space="preserve">Рябчук Л.П.</t>
  </si>
  <si>
    <t xml:space="preserve">50156</t>
  </si>
  <si>
    <t xml:space="preserve">157</t>
  </si>
  <si>
    <t xml:space="preserve">Копасова Л.Б.</t>
  </si>
  <si>
    <t xml:space="preserve">50157</t>
  </si>
  <si>
    <t xml:space="preserve">158</t>
  </si>
  <si>
    <t xml:space="preserve">Киричинська Г.Я.</t>
  </si>
  <si>
    <t xml:space="preserve">50158</t>
  </si>
  <si>
    <t xml:space="preserve">159</t>
  </si>
  <si>
    <t xml:space="preserve">Бутрій К.В.</t>
  </si>
  <si>
    <t xml:space="preserve">50159</t>
  </si>
  <si>
    <t xml:space="preserve">160</t>
  </si>
  <si>
    <t xml:space="preserve">Кузьома Г.І.</t>
  </si>
  <si>
    <t xml:space="preserve">50160</t>
  </si>
  <si>
    <t xml:space="preserve">161</t>
  </si>
  <si>
    <t xml:space="preserve">Павленко В.М.</t>
  </si>
  <si>
    <t xml:space="preserve">50161</t>
  </si>
  <si>
    <t xml:space="preserve">162</t>
  </si>
  <si>
    <t xml:space="preserve">Качуровська С.А.</t>
  </si>
  <si>
    <t xml:space="preserve">50162</t>
  </si>
  <si>
    <t xml:space="preserve">163</t>
  </si>
  <si>
    <t xml:space="preserve">Білецький Б.Г.</t>
  </si>
  <si>
    <t xml:space="preserve">50163</t>
  </si>
  <si>
    <t xml:space="preserve">164</t>
  </si>
  <si>
    <t xml:space="preserve">Кузнєцова В.В.</t>
  </si>
  <si>
    <t xml:space="preserve">50164</t>
  </si>
  <si>
    <t xml:space="preserve">165</t>
  </si>
  <si>
    <t xml:space="preserve">Сидоренко Б.Й.</t>
  </si>
  <si>
    <t xml:space="preserve">50165</t>
  </si>
  <si>
    <t xml:space="preserve">166</t>
  </si>
  <si>
    <t xml:space="preserve">Кузнєцова О.А.</t>
  </si>
  <si>
    <t xml:space="preserve">50166</t>
  </si>
  <si>
    <t xml:space="preserve">167</t>
  </si>
  <si>
    <t xml:space="preserve">Васильєва О.Г.</t>
  </si>
  <si>
    <t xml:space="preserve">50167</t>
  </si>
  <si>
    <t xml:space="preserve">168</t>
  </si>
  <si>
    <t xml:space="preserve">Кудінова Л.М.</t>
  </si>
  <si>
    <t xml:space="preserve">50168</t>
  </si>
  <si>
    <t xml:space="preserve">169</t>
  </si>
  <si>
    <t xml:space="preserve">Спільний І.В.</t>
  </si>
  <si>
    <t xml:space="preserve">50169</t>
  </si>
  <si>
    <t xml:space="preserve">170</t>
  </si>
  <si>
    <t xml:space="preserve">Кружаліна Т.А.</t>
  </si>
  <si>
    <t xml:space="preserve">50170</t>
  </si>
  <si>
    <t xml:space="preserve">171</t>
  </si>
  <si>
    <t xml:space="preserve">Григоренко Н.Е.</t>
  </si>
  <si>
    <t xml:space="preserve">50171</t>
  </si>
  <si>
    <t xml:space="preserve">172</t>
  </si>
  <si>
    <t xml:space="preserve">Бондарчук В.В.</t>
  </si>
  <si>
    <t xml:space="preserve">50172</t>
  </si>
  <si>
    <t xml:space="preserve">173</t>
  </si>
  <si>
    <t xml:space="preserve">Рябініна Н.І.</t>
  </si>
  <si>
    <t xml:space="preserve">50173</t>
  </si>
  <si>
    <t xml:space="preserve">174</t>
  </si>
  <si>
    <t xml:space="preserve">Шапіро В.І.</t>
  </si>
  <si>
    <t xml:space="preserve">50174</t>
  </si>
  <si>
    <t xml:space="preserve">175</t>
  </si>
  <si>
    <t xml:space="preserve">Крамаренко О.О.</t>
  </si>
  <si>
    <t xml:space="preserve">50175</t>
  </si>
  <si>
    <t xml:space="preserve">176</t>
  </si>
  <si>
    <t xml:space="preserve">Свиридов В.Ф.</t>
  </si>
  <si>
    <t xml:space="preserve">50176</t>
  </si>
  <si>
    <t xml:space="preserve">177</t>
  </si>
  <si>
    <t xml:space="preserve">Домацький В.А.</t>
  </si>
  <si>
    <t xml:space="preserve">50177</t>
  </si>
  <si>
    <t xml:space="preserve">178</t>
  </si>
  <si>
    <t xml:space="preserve">Шаповалова І.А.</t>
  </si>
  <si>
    <t xml:space="preserve">50178</t>
  </si>
  <si>
    <t xml:space="preserve">179</t>
  </si>
  <si>
    <t xml:space="preserve">Кононенко О.В.</t>
  </si>
  <si>
    <t xml:space="preserve">50179</t>
  </si>
  <si>
    <t xml:space="preserve">180</t>
  </si>
  <si>
    <t xml:space="preserve">Овчаренко Т.І.</t>
  </si>
  <si>
    <t xml:space="preserve">60180</t>
  </si>
  <si>
    <t xml:space="preserve">181</t>
  </si>
  <si>
    <t xml:space="preserve">Попукайло О.Г.</t>
  </si>
  <si>
    <t xml:space="preserve">60181</t>
  </si>
  <si>
    <t xml:space="preserve">182</t>
  </si>
  <si>
    <t xml:space="preserve">Онищенко А.В.</t>
  </si>
  <si>
    <t xml:space="preserve">60182</t>
  </si>
  <si>
    <t xml:space="preserve">183</t>
  </si>
  <si>
    <t xml:space="preserve">Соколова О.О.</t>
  </si>
  <si>
    <t xml:space="preserve">60183</t>
  </si>
  <si>
    <t xml:space="preserve">184</t>
  </si>
  <si>
    <t xml:space="preserve">Ільіна В.П.</t>
  </si>
  <si>
    <t xml:space="preserve">60184</t>
  </si>
  <si>
    <t xml:space="preserve">185</t>
  </si>
  <si>
    <t xml:space="preserve">Чешок Г.К.</t>
  </si>
  <si>
    <t xml:space="preserve">60185</t>
  </si>
  <si>
    <t xml:space="preserve">186</t>
  </si>
  <si>
    <t xml:space="preserve">Бердников В.А.</t>
  </si>
  <si>
    <t xml:space="preserve">60186</t>
  </si>
  <si>
    <t xml:space="preserve">187</t>
  </si>
  <si>
    <t xml:space="preserve">Щербак Н.В.</t>
  </si>
  <si>
    <t xml:space="preserve">60187</t>
  </si>
  <si>
    <t xml:space="preserve">188</t>
  </si>
  <si>
    <t xml:space="preserve">Рожков Ю.М.</t>
  </si>
  <si>
    <t xml:space="preserve">60188</t>
  </si>
  <si>
    <t xml:space="preserve">189</t>
  </si>
  <si>
    <t xml:space="preserve">Кобець В.В.</t>
  </si>
  <si>
    <t xml:space="preserve">60189</t>
  </si>
  <si>
    <t xml:space="preserve">190</t>
  </si>
  <si>
    <t xml:space="preserve">Щерба Л.О.</t>
  </si>
  <si>
    <t xml:space="preserve">60190</t>
  </si>
  <si>
    <t xml:space="preserve">191</t>
  </si>
  <si>
    <t xml:space="preserve">Сапунова І.В.</t>
  </si>
  <si>
    <t xml:space="preserve">60191</t>
  </si>
  <si>
    <t xml:space="preserve">192</t>
  </si>
  <si>
    <t xml:space="preserve">Саввідіс В.О.</t>
  </si>
  <si>
    <t xml:space="preserve">60192</t>
  </si>
  <si>
    <t xml:space="preserve">193</t>
  </si>
  <si>
    <t xml:space="preserve">Кашина Г.І.</t>
  </si>
  <si>
    <t xml:space="preserve">60193</t>
  </si>
  <si>
    <t xml:space="preserve">194</t>
  </si>
  <si>
    <t xml:space="preserve">Фадеєва Є.А.</t>
  </si>
  <si>
    <t xml:space="preserve">60194</t>
  </si>
  <si>
    <t xml:space="preserve">195</t>
  </si>
  <si>
    <t xml:space="preserve">Бойко О.А.</t>
  </si>
  <si>
    <t xml:space="preserve">60195</t>
  </si>
  <si>
    <t xml:space="preserve">196</t>
  </si>
  <si>
    <t xml:space="preserve">Дудник І.А.</t>
  </si>
  <si>
    <t xml:space="preserve">60196</t>
  </si>
  <si>
    <t xml:space="preserve">197</t>
  </si>
  <si>
    <t xml:space="preserve">Лебедєва Т.В.</t>
  </si>
  <si>
    <t xml:space="preserve">60197</t>
  </si>
  <si>
    <t xml:space="preserve">198</t>
  </si>
  <si>
    <t xml:space="preserve">Криницький Л.С.</t>
  </si>
  <si>
    <t xml:space="preserve">60198</t>
  </si>
  <si>
    <t xml:space="preserve">199</t>
  </si>
  <si>
    <t xml:space="preserve">Сафонов В.В.</t>
  </si>
  <si>
    <t xml:space="preserve">60199</t>
  </si>
  <si>
    <t xml:space="preserve">200</t>
  </si>
  <si>
    <t xml:space="preserve">Мільковська Р.Г.</t>
  </si>
  <si>
    <t xml:space="preserve">60200</t>
  </si>
  <si>
    <t xml:space="preserve">201</t>
  </si>
  <si>
    <t xml:space="preserve">Заранкін С.М.</t>
  </si>
  <si>
    <t xml:space="preserve">60201</t>
  </si>
  <si>
    <t xml:space="preserve">202</t>
  </si>
  <si>
    <t xml:space="preserve">Сіянко О.М.</t>
  </si>
  <si>
    <t xml:space="preserve">60202</t>
  </si>
  <si>
    <t xml:space="preserve">203</t>
  </si>
  <si>
    <t xml:space="preserve">Осипов В.В.</t>
  </si>
  <si>
    <t xml:space="preserve">60203</t>
  </si>
  <si>
    <t xml:space="preserve">204</t>
  </si>
  <si>
    <t xml:space="preserve">Перепьолкін А.Л.</t>
  </si>
  <si>
    <t xml:space="preserve">60204</t>
  </si>
  <si>
    <t xml:space="preserve">205</t>
  </si>
  <si>
    <t xml:space="preserve">Синегрибова В.В.</t>
  </si>
  <si>
    <t xml:space="preserve">60205</t>
  </si>
  <si>
    <t xml:space="preserve">206</t>
  </si>
  <si>
    <t xml:space="preserve">Юдін М.В.</t>
  </si>
  <si>
    <t xml:space="preserve">60206</t>
  </si>
  <si>
    <t xml:space="preserve">207</t>
  </si>
  <si>
    <t xml:space="preserve">Сергєєва Н.О.</t>
  </si>
  <si>
    <t xml:space="preserve">60207</t>
  </si>
  <si>
    <t xml:space="preserve">208</t>
  </si>
  <si>
    <t xml:space="preserve">Рева І.П.</t>
  </si>
  <si>
    <t xml:space="preserve">60208</t>
  </si>
  <si>
    <t xml:space="preserve">209</t>
  </si>
  <si>
    <t xml:space="preserve">Почапський Ю.Т.</t>
  </si>
  <si>
    <t xml:space="preserve">60209</t>
  </si>
  <si>
    <t xml:space="preserve">210</t>
  </si>
  <si>
    <t xml:space="preserve">Васильченко М.П.</t>
  </si>
  <si>
    <t xml:space="preserve">60210</t>
  </si>
  <si>
    <t xml:space="preserve">211</t>
  </si>
  <si>
    <t xml:space="preserve">Черненко Т.А.</t>
  </si>
  <si>
    <t xml:space="preserve">60211</t>
  </si>
  <si>
    <t xml:space="preserve">212</t>
  </si>
  <si>
    <t xml:space="preserve">Сиротенко Я.О.</t>
  </si>
  <si>
    <t xml:space="preserve">60212</t>
  </si>
  <si>
    <t xml:space="preserve">213</t>
  </si>
  <si>
    <t xml:space="preserve">Корнюшенко О.О.</t>
  </si>
  <si>
    <t xml:space="preserve">60213</t>
  </si>
  <si>
    <t xml:space="preserve"> </t>
  </si>
  <si>
    <t xml:space="preserve">у      лютому    2023 року</t>
  </si>
  <si>
    <t xml:space="preserve">у      березні    2023 року</t>
  </si>
  <si>
    <t xml:space="preserve">у      квітні    2023 року</t>
  </si>
  <si>
    <t xml:space="preserve">у      травні    2023 року</t>
  </si>
  <si>
    <t xml:space="preserve">у      червні    2023 року</t>
  </si>
  <si>
    <t xml:space="preserve">Тариф</t>
  </si>
  <si>
    <t xml:space="preserve">у      липні    2023 року</t>
  </si>
  <si>
    <t xml:space="preserve">у      серпні    2023 року</t>
  </si>
  <si>
    <t xml:space="preserve">у      вересні    2023 року</t>
  </si>
  <si>
    <t xml:space="preserve">у      жовтні    2022 року</t>
  </si>
  <si>
    <t xml:space="preserve">у      листопаді    2023 року</t>
  </si>
  <si>
    <t xml:space="preserve">у      грудні    2023 року</t>
  </si>
  <si>
    <t xml:space="preserve">за 2023 год</t>
  </si>
  <si>
    <t xml:space="preserve">сальдо поч </t>
  </si>
  <si>
    <t xml:space="preserve">месяц</t>
  </si>
  <si>
    <t xml:space="preserve">начислено</t>
  </si>
  <si>
    <t xml:space="preserve">оплачено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</si>
</sst>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%"/>
    <numFmt numFmtId="167" formatCode="0.00"/>
    <numFmt numFmtId="168" formatCode="0"/>
    <numFmt numFmtId="169" formatCode="#,##0.00"/>
    <numFmt numFmtId="170" formatCode="0.000"/>
    <numFmt numFmtId="171" formatCode="0.00%"/>
  </numFmts>
  <fonts count="1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 Cyr"/>
      <family val="0"/>
      <charset val="204"/>
    </font>
    <font>
      <sz val="9"/>
      <name val="Tahoma"/>
      <family val="2"/>
      <charset val="204"/>
    </font>
    <font>
      <sz val="10"/>
      <name val="Tahoma"/>
      <family val="2"/>
      <charset val="204"/>
    </font>
    <font>
      <sz val="7.5"/>
      <name val="Tahoma"/>
      <family val="2"/>
      <charset val="204"/>
    </font>
    <font>
      <sz val="8"/>
      <name val="Tahoma"/>
      <family val="2"/>
      <charset val="204"/>
    </font>
    <font>
      <sz val="9"/>
      <name val="Tahoma"/>
      <family val="2"/>
    </font>
    <font>
      <sz val="10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 val="true"/>
      <u val="single"/>
      <sz val="11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8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externalLink" Target="externalLinks/externalLink2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&#1074;&#1110;&#1076;&#1086;&#1084;&#1110;&#1089;&#1090;&#1100;%20&#1087;&#1086;%20311-23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&#1074;&#1110;&#1076;&#1086;&#1084;&#1110;&#1089;&#1090;&#1100;%20&#1087;&#1086;%20311-2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ічень"/>
      <sheetName val="лютий"/>
      <sheetName val="березень"/>
      <sheetName val="квітень"/>
      <sheetName val="травень"/>
      <sheetName val="червень"/>
      <sheetName val="лип"/>
      <sheetName val="Серп"/>
      <sheetName val="верес"/>
      <sheetName val="жовт"/>
      <sheetName val="Листоп"/>
      <sheetName val="Груд"/>
      <sheetName val="Лист1"/>
    </sheetNames>
    <sheetDataSet>
      <sheetData sheetId="0">
        <row r="76">
          <cell r="F76">
            <v>29037.01</v>
          </cell>
        </row>
      </sheetData>
      <sheetData sheetId="1">
        <row r="74">
          <cell r="F74">
            <v>19269.39</v>
          </cell>
        </row>
      </sheetData>
      <sheetData sheetId="2">
        <row r="83">
          <cell r="F83">
            <v>29059.47</v>
          </cell>
        </row>
      </sheetData>
      <sheetData sheetId="3">
        <row r="98">
          <cell r="F98">
            <v>36214.91</v>
          </cell>
        </row>
      </sheetData>
      <sheetData sheetId="4">
        <row r="85">
          <cell r="F85">
            <v>28695.9</v>
          </cell>
        </row>
      </sheetData>
      <sheetData sheetId="5">
        <row r="83">
          <cell r="F83">
            <v>22808.34</v>
          </cell>
        </row>
      </sheetData>
      <sheetData sheetId="6">
        <row r="95">
          <cell r="F95">
            <v>39336.73</v>
          </cell>
        </row>
      </sheetData>
      <sheetData sheetId="7">
        <row r="78">
          <cell r="F78">
            <v>15895.5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січень"/>
      <sheetName val="лютий"/>
      <sheetName val="березень"/>
      <sheetName val="квітень"/>
      <sheetName val="травень"/>
      <sheetName val="червень"/>
      <sheetName val="лип"/>
      <sheetName val="Серп"/>
      <sheetName val="верес"/>
      <sheetName val="жовт"/>
      <sheetName val="Листоп"/>
      <sheetName val="Груд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3">
          <cell r="F73">
            <v>32505.7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30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20.29"/>
    <col collapsed="false" customWidth="true" hidden="false" outlineLevel="0" max="3" min="3" style="0" width="7.29"/>
    <col collapsed="false" customWidth="true" hidden="false" outlineLevel="0" max="5" min="5" style="0" width="8.29"/>
    <col collapsed="false" customWidth="true" hidden="false" outlineLevel="0" max="6" min="6" style="0" width="4.71"/>
    <col collapsed="false" customWidth="true" hidden="false" outlineLevel="0" max="7" min="7" style="0" width="7.71"/>
    <col collapsed="false" customWidth="true" hidden="false" outlineLevel="0" max="8" min="8" style="0" width="5.86"/>
    <col collapsed="false" customWidth="true" hidden="false" outlineLevel="0" max="9" min="9" style="0" width="7.15"/>
    <col collapsed="false" customWidth="true" hidden="false" outlineLevel="0" max="11" min="11" style="0" width="7.42"/>
    <col collapsed="false" customWidth="true" hidden="false" outlineLevel="0" max="12" min="12" style="0" width="7.71"/>
    <col collapsed="false" customWidth="true" hidden="false" outlineLevel="0" max="13" min="13" style="0" width="6.14"/>
    <col collapsed="false" customWidth="true" hidden="false" outlineLevel="0" max="16" min="16" style="0" width="10.29"/>
    <col collapsed="false" customWidth="true" hidden="false" outlineLevel="0" max="17" min="17" style="0" width="9"/>
    <col collapsed="false" customWidth="true" hidden="false" outlineLevel="0" max="20" min="20" style="0" width="11.85"/>
    <col collapsed="false" customWidth="true" hidden="false" outlineLevel="0" max="21" min="21" style="0" width="11.57"/>
    <col collapsed="false" customWidth="true" hidden="false" outlineLevel="0" max="26" min="23" style="0" width="9.29"/>
  </cols>
  <sheetData>
    <row r="1" customFormat="false" ht="15" hidden="false" customHeight="fals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V2" s="6" t="s">
        <v>2</v>
      </c>
      <c r="W2" s="7" t="n">
        <v>4.1</v>
      </c>
    </row>
    <row r="3" customFormat="false" ht="17.35" hidden="false" customHeight="false" outlineLevel="0" collapsed="false">
      <c r="A3" s="4"/>
      <c r="B3" s="8" t="s">
        <v>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0.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I5" s="2"/>
    </row>
    <row r="6" customFormat="false" ht="53.7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12</v>
      </c>
      <c r="J6" s="14" t="s">
        <v>13</v>
      </c>
      <c r="K6" s="12" t="s">
        <v>14</v>
      </c>
      <c r="L6" s="12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  <c r="W6" s="16"/>
      <c r="X6" s="16"/>
      <c r="Y6" s="16"/>
      <c r="Z6" s="16"/>
    </row>
    <row r="7" customFormat="false" ht="15" hidden="false" customHeight="false" outlineLevel="0" collapsed="false">
      <c r="A7" s="17" t="s">
        <v>19</v>
      </c>
      <c r="B7" s="18" t="s">
        <v>20</v>
      </c>
      <c r="C7" s="18" t="s">
        <v>21</v>
      </c>
      <c r="D7" s="19" t="n">
        <v>1051.23</v>
      </c>
      <c r="E7" s="19" t="n">
        <v>0</v>
      </c>
      <c r="F7" s="20" t="n">
        <v>0</v>
      </c>
      <c r="G7" s="21" t="n">
        <v>64.26</v>
      </c>
      <c r="H7" s="21" t="n">
        <v>0</v>
      </c>
      <c r="I7" s="22" t="n">
        <f aca="false">W$2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1314.7</v>
      </c>
      <c r="Q7" s="25" t="n">
        <f aca="false">IF(E7=0,IF((D7+N7-O7)&lt;0,ABS(D7+N7-O7),0),IF((N7-E7-O7)&lt;0,ABS(N7-E7-O7),0))</f>
        <v>0</v>
      </c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customFormat="false" ht="15" hidden="false" customHeight="false" outlineLevel="0" collapsed="false">
      <c r="A8" s="17" t="s">
        <v>22</v>
      </c>
      <c r="B8" s="18" t="s">
        <v>23</v>
      </c>
      <c r="C8" s="18" t="s">
        <v>24</v>
      </c>
      <c r="D8" s="19" t="n">
        <v>2324.06</v>
      </c>
      <c r="E8" s="19" t="n">
        <v>0</v>
      </c>
      <c r="F8" s="20" t="n">
        <v>0</v>
      </c>
      <c r="G8" s="21" t="n">
        <v>48.71</v>
      </c>
      <c r="H8" s="21" t="n">
        <v>0</v>
      </c>
      <c r="I8" s="22" t="n">
        <f aca="false">W$2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2523.77</v>
      </c>
      <c r="Q8" s="25" t="n">
        <f aca="false">IF(E8=0,IF((D8+N8-O8)&lt;0,ABS(D8+N8-O8),0),IF((N8-E8-O8)&lt;0,ABS(N8-E8-O8),0))</f>
        <v>0</v>
      </c>
      <c r="T8" s="26"/>
      <c r="U8" s="26"/>
      <c r="V8" s="26"/>
      <c r="W8" s="26"/>
      <c r="X8" s="26"/>
      <c r="Y8" s="26"/>
      <c r="Z8" s="26"/>
      <c r="AA8" s="26"/>
      <c r="AB8" s="26"/>
    </row>
    <row r="9" customFormat="false" ht="15" hidden="false" customHeight="false" outlineLevel="0" collapsed="false">
      <c r="A9" s="17" t="s">
        <v>25</v>
      </c>
      <c r="B9" s="18" t="s">
        <v>26</v>
      </c>
      <c r="C9" s="18" t="s">
        <v>27</v>
      </c>
      <c r="D9" s="19" t="n">
        <v>137.5</v>
      </c>
      <c r="E9" s="19" t="n">
        <v>0</v>
      </c>
      <c r="F9" s="20" t="n">
        <v>0</v>
      </c>
      <c r="G9" s="21" t="n">
        <v>35</v>
      </c>
      <c r="H9" s="21" t="n">
        <v>0</v>
      </c>
      <c r="I9" s="22" t="n">
        <f aca="false">W$2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281</v>
      </c>
      <c r="Q9" s="25" t="n">
        <f aca="false">IF(E9=0,IF((D9+N9-O9)&lt;0,ABS(D9+N9-O9),0),IF((N9-E9-O9)&lt;0,ABS(N9-E9-O9),0))</f>
        <v>0</v>
      </c>
      <c r="T9" s="26"/>
      <c r="U9" s="26"/>
      <c r="V9" s="26"/>
      <c r="W9" s="26"/>
      <c r="X9" s="26"/>
      <c r="Y9" s="26"/>
      <c r="Z9" s="26"/>
      <c r="AA9" s="26"/>
      <c r="AB9" s="26"/>
    </row>
    <row r="10" customFormat="false" ht="15" hidden="false" customHeight="false" outlineLevel="0" collapsed="false">
      <c r="A10" s="17" t="s">
        <v>28</v>
      </c>
      <c r="B10" s="18" t="s">
        <v>29</v>
      </c>
      <c r="C10" s="18" t="s">
        <v>30</v>
      </c>
      <c r="D10" s="19" t="n">
        <v>0</v>
      </c>
      <c r="E10" s="19" t="n">
        <v>0.0300000000002001</v>
      </c>
      <c r="F10" s="20" t="n">
        <v>0</v>
      </c>
      <c r="G10" s="21" t="n">
        <v>61.6</v>
      </c>
      <c r="H10" s="21" t="n">
        <v>0</v>
      </c>
      <c r="I10" s="22" t="n">
        <f aca="false">W$2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 t="n">
        <f aca="false">252.56</f>
        <v>252.56</v>
      </c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0.0300000000002001</v>
      </c>
      <c r="T10" s="26"/>
      <c r="U10" s="26"/>
      <c r="V10" s="26"/>
      <c r="W10" s="26"/>
      <c r="X10" s="26"/>
      <c r="Y10" s="26"/>
      <c r="Z10" s="26"/>
      <c r="AA10" s="26"/>
      <c r="AB10" s="26"/>
    </row>
    <row r="11" customFormat="false" ht="15" hidden="false" customHeight="false" outlineLevel="0" collapsed="false">
      <c r="A11" s="17" t="s">
        <v>31</v>
      </c>
      <c r="B11" s="18" t="s">
        <v>32</v>
      </c>
      <c r="C11" s="18" t="s">
        <v>33</v>
      </c>
      <c r="D11" s="19" t="n">
        <v>161.030000000001</v>
      </c>
      <c r="E11" s="19" t="n">
        <v>0</v>
      </c>
      <c r="F11" s="20" t="n">
        <v>0</v>
      </c>
      <c r="G11" s="21" t="n">
        <v>28.34</v>
      </c>
      <c r="H11" s="21" t="n">
        <v>0</v>
      </c>
      <c r="I11" s="22" t="n">
        <f aca="false">W$2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277.220000000001</v>
      </c>
      <c r="Q11" s="25" t="n">
        <f aca="false">IF(E11=0,IF((D11+N11-O11)&lt;0,ABS(D11+N11-O11),0),IF((N11-E11-O11)&lt;0,ABS(N11-E11-O11),0))</f>
        <v>0</v>
      </c>
      <c r="T11" s="26"/>
      <c r="U11" s="26"/>
      <c r="V11" s="26"/>
      <c r="W11" s="26"/>
      <c r="X11" s="26"/>
      <c r="Y11" s="26"/>
      <c r="Z11" s="26"/>
      <c r="AA11" s="26"/>
      <c r="AB11" s="26"/>
    </row>
    <row r="12" customFormat="false" ht="15" hidden="false" customHeight="false" outlineLevel="0" collapsed="false">
      <c r="A12" s="17" t="s">
        <v>31</v>
      </c>
      <c r="B12" s="18" t="s">
        <v>34</v>
      </c>
      <c r="C12" s="18" t="s">
        <v>35</v>
      </c>
      <c r="D12" s="19" t="n">
        <v>598.100000000001</v>
      </c>
      <c r="E12" s="19" t="n">
        <v>0</v>
      </c>
      <c r="F12" s="20" t="n">
        <v>0</v>
      </c>
      <c r="G12" s="21" t="n">
        <v>36.66</v>
      </c>
      <c r="H12" s="21" t="n">
        <v>0</v>
      </c>
      <c r="I12" s="22" t="n">
        <f aca="false">W$2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 t="n">
        <v>500</v>
      </c>
      <c r="P12" s="25" t="n">
        <f aca="false">IF(D12=0,IF((N12-E12-O12)&gt;0,(N12-E12-O12),0),IF((D12+N12-O12)&gt;0,(D12+N12-O12),0))</f>
        <v>248.410000000001</v>
      </c>
      <c r="Q12" s="25" t="n">
        <f aca="false">IF(E12=0,IF((D12+N12-O12)&lt;0,ABS(D12+N12-O12),0),IF((N12-E12-O12)&lt;0,ABS(N12-E12-O12),0))</f>
        <v>0</v>
      </c>
      <c r="T12" s="26"/>
      <c r="U12" s="26"/>
      <c r="V12" s="26"/>
      <c r="W12" s="26"/>
      <c r="X12" s="26"/>
      <c r="Y12" s="26"/>
      <c r="Z12" s="26"/>
      <c r="AA12" s="26"/>
      <c r="AB12" s="26"/>
    </row>
    <row r="13" customFormat="false" ht="15" hidden="false" customHeight="false" outlineLevel="0" collapsed="false">
      <c r="A13" s="17" t="s">
        <v>36</v>
      </c>
      <c r="B13" s="18" t="s">
        <v>37</v>
      </c>
      <c r="C13" s="18" t="s">
        <v>38</v>
      </c>
      <c r="D13" s="19" t="n">
        <v>1264.08</v>
      </c>
      <c r="E13" s="19" t="n">
        <v>0</v>
      </c>
      <c r="F13" s="20" t="n">
        <v>0</v>
      </c>
      <c r="G13" s="21" t="n">
        <v>49.8</v>
      </c>
      <c r="H13" s="21" t="n">
        <v>0</v>
      </c>
      <c r="I13" s="22" t="n">
        <f aca="false">W$2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1468.26</v>
      </c>
      <c r="Q13" s="25" t="n">
        <f aca="false">IF(E13=0,IF((D13+N13-O13)&lt;0,ABS(D13+N13-O13),0),IF((N13-E13-O13)&lt;0,ABS(N13-E13-O13),0))</f>
        <v>0</v>
      </c>
      <c r="T13" s="26"/>
      <c r="U13" s="26"/>
      <c r="V13" s="26"/>
      <c r="W13" s="26"/>
      <c r="X13" s="26"/>
      <c r="Y13" s="26"/>
      <c r="Z13" s="26"/>
      <c r="AA13" s="26"/>
      <c r="AB13" s="26"/>
    </row>
    <row r="14" customFormat="false" ht="15" hidden="false" customHeight="false" outlineLevel="0" collapsed="false">
      <c r="A14" s="17" t="s">
        <v>39</v>
      </c>
      <c r="B14" s="18" t="s">
        <v>40</v>
      </c>
      <c r="C14" s="18" t="s">
        <v>41</v>
      </c>
      <c r="D14" s="19" t="n">
        <v>0</v>
      </c>
      <c r="E14" s="19" t="n">
        <v>0.160000000000082</v>
      </c>
      <c r="F14" s="20" t="n">
        <v>0</v>
      </c>
      <c r="G14" s="21" t="n">
        <v>34.65</v>
      </c>
      <c r="H14" s="21" t="n">
        <v>0</v>
      </c>
      <c r="I14" s="22" t="n">
        <f aca="false">W$2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143</v>
      </c>
      <c r="P14" s="25" t="n">
        <f aca="false">IF(D14=0,IF((N14-E14-O14)&gt;0,(N14-E14-O14),0),IF((D14+N14-O14)&gt;0,(D14+N14-O14),0))</f>
        <v>0</v>
      </c>
      <c r="Q14" s="25" t="n">
        <f aca="false">IF(E14=0,IF((D14+N14-O14)&lt;0,ABS(D14+N14-O14),0),IF((N14-E14-O14)&lt;0,ABS(N14-E14-O14),0))</f>
        <v>1.09000000000009</v>
      </c>
      <c r="T14" s="26"/>
      <c r="U14" s="26"/>
      <c r="V14" s="26"/>
      <c r="W14" s="26"/>
      <c r="X14" s="26"/>
      <c r="Y14" s="26"/>
      <c r="Z14" s="26"/>
      <c r="AA14" s="26"/>
      <c r="AB14" s="26"/>
    </row>
    <row r="15" customFormat="false" ht="15" hidden="false" customHeight="false" outlineLevel="0" collapsed="false">
      <c r="A15" s="17" t="s">
        <v>42</v>
      </c>
      <c r="B15" s="18" t="s">
        <v>43</v>
      </c>
      <c r="C15" s="18" t="s">
        <v>44</v>
      </c>
      <c r="D15" s="19" t="n">
        <v>1171.25</v>
      </c>
      <c r="E15" s="19" t="n">
        <v>0</v>
      </c>
      <c r="F15" s="20" t="n">
        <v>0</v>
      </c>
      <c r="G15" s="21" t="n">
        <v>62.14</v>
      </c>
      <c r="H15" s="21" t="n">
        <v>0</v>
      </c>
      <c r="I15" s="22" t="n">
        <f aca="false">W$2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 t="n">
        <v>1200</v>
      </c>
      <c r="P15" s="25" t="n">
        <f aca="false">IF(D15=0,IF((N15-E15-O15)&gt;0,(N15-E15-O15),0),IF((D15+N15-O15)&gt;0,(D15+N15-O15),0))</f>
        <v>226.02</v>
      </c>
      <c r="Q15" s="25" t="n">
        <f aca="false">IF(E15=0,IF((D15+N15-O15)&lt;0,ABS(D15+N15-O15),0),IF((N15-E15-O15)&lt;0,ABS(N15-E15-O15),0))</f>
        <v>0</v>
      </c>
      <c r="T15" s="26"/>
      <c r="U15" s="26"/>
      <c r="V15" s="26"/>
      <c r="W15" s="26"/>
      <c r="X15" s="26"/>
      <c r="Y15" s="26"/>
      <c r="Z15" s="26"/>
      <c r="AA15" s="26"/>
      <c r="AB15" s="26"/>
    </row>
    <row r="16" customFormat="false" ht="15" hidden="false" customHeight="false" outlineLevel="0" collapsed="false">
      <c r="A16" s="17" t="s">
        <v>45</v>
      </c>
      <c r="B16" s="18" t="s">
        <v>46</v>
      </c>
      <c r="C16" s="18" t="s">
        <v>47</v>
      </c>
      <c r="D16" s="19" t="n">
        <v>2905.96</v>
      </c>
      <c r="E16" s="19" t="n">
        <v>0</v>
      </c>
      <c r="F16" s="20" t="n">
        <v>0</v>
      </c>
      <c r="G16" s="21" t="n">
        <v>65.16</v>
      </c>
      <c r="H16" s="21" t="n">
        <v>0</v>
      </c>
      <c r="I16" s="22" t="n">
        <f aca="false">W$2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3173.12</v>
      </c>
      <c r="Q16" s="25" t="n">
        <f aca="false">IF(E16=0,IF((D16+N16-O16)&lt;0,ABS(D16+N16-O16),0),IF((N16-E16-O16)&lt;0,ABS(N16-E16-O16),0))</f>
        <v>0</v>
      </c>
      <c r="T16" s="26"/>
      <c r="U16" s="26"/>
      <c r="V16" s="26"/>
      <c r="W16" s="26"/>
      <c r="X16" s="26"/>
      <c r="Y16" s="26"/>
      <c r="Z16" s="26"/>
      <c r="AA16" s="26"/>
      <c r="AB16" s="26"/>
    </row>
    <row r="17" customFormat="false" ht="15" hidden="false" customHeight="false" outlineLevel="0" collapsed="false">
      <c r="A17" s="17" t="s">
        <v>48</v>
      </c>
      <c r="B17" s="18" t="s">
        <v>49</v>
      </c>
      <c r="C17" s="18" t="s">
        <v>50</v>
      </c>
      <c r="D17" s="19" t="n">
        <v>1581.93</v>
      </c>
      <c r="E17" s="19" t="n">
        <v>0</v>
      </c>
      <c r="F17" s="20" t="n">
        <v>0</v>
      </c>
      <c r="G17" s="21" t="n">
        <v>50.1</v>
      </c>
      <c r="H17" s="21" t="n">
        <v>0</v>
      </c>
      <c r="I17" s="22" t="n">
        <f aca="false">W$2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1787.34</v>
      </c>
      <c r="Q17" s="25" t="n">
        <f aca="false">IF(E17=0,IF((D17+N17-O17)&lt;0,ABS(D17+N17-O17),0),IF((N17-E17-O17)&lt;0,ABS(N17-E17-O17),0))</f>
        <v>0</v>
      </c>
      <c r="T17" s="26"/>
      <c r="U17" s="26"/>
      <c r="V17" s="26"/>
      <c r="W17" s="26"/>
      <c r="X17" s="26"/>
      <c r="Y17" s="26"/>
      <c r="Z17" s="26"/>
      <c r="AA17" s="26"/>
      <c r="AB17" s="26"/>
    </row>
    <row r="18" customFormat="false" ht="15" hidden="false" customHeight="false" outlineLevel="0" collapsed="false">
      <c r="A18" s="17" t="s">
        <v>51</v>
      </c>
      <c r="B18" s="18" t="s">
        <v>52</v>
      </c>
      <c r="C18" s="18" t="s">
        <v>53</v>
      </c>
      <c r="D18" s="19" t="n">
        <v>1352.68</v>
      </c>
      <c r="E18" s="19" t="n">
        <v>0</v>
      </c>
      <c r="F18" s="20" t="n">
        <v>0</v>
      </c>
      <c r="G18" s="21" t="n">
        <v>35.2</v>
      </c>
      <c r="H18" s="21" t="n">
        <v>0</v>
      </c>
      <c r="I18" s="22" t="n">
        <f aca="false">W$2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1497</v>
      </c>
      <c r="Q18" s="25" t="n">
        <f aca="false">IF(E18=0,IF((D18+N18-O18)&lt;0,ABS(D18+N18-O18),0),IF((N18-E18-O18)&lt;0,ABS(N18-E18-O18),0))</f>
        <v>0</v>
      </c>
      <c r="T18" s="26"/>
      <c r="U18" s="26"/>
      <c r="V18" s="26"/>
      <c r="W18" s="26"/>
      <c r="X18" s="26"/>
      <c r="Y18" s="26"/>
      <c r="Z18" s="26"/>
      <c r="AA18" s="26"/>
      <c r="AB18" s="26"/>
    </row>
    <row r="19" customFormat="false" ht="15" hidden="false" customHeight="false" outlineLevel="0" collapsed="false">
      <c r="A19" s="17" t="s">
        <v>54</v>
      </c>
      <c r="B19" s="18" t="s">
        <v>55</v>
      </c>
      <c r="C19" s="18" t="s">
        <v>56</v>
      </c>
      <c r="D19" s="19" t="n">
        <v>2913.21</v>
      </c>
      <c r="E19" s="19" t="n">
        <v>0</v>
      </c>
      <c r="F19" s="20" t="n">
        <v>0</v>
      </c>
      <c r="G19" s="21" t="n">
        <v>62.78</v>
      </c>
      <c r="H19" s="21" t="n">
        <v>0</v>
      </c>
      <c r="I19" s="22" t="n">
        <f aca="false">W$2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3170.61</v>
      </c>
      <c r="Q19" s="25" t="n">
        <f aca="false">IF(E19=0,IF((D19+N19-O19)&lt;0,ABS(D19+N19-O19),0),IF((N19-E19-O19)&lt;0,ABS(N19-E19-O19),0))</f>
        <v>0</v>
      </c>
      <c r="T19" s="26"/>
      <c r="U19" s="26"/>
      <c r="V19" s="26"/>
      <c r="W19" s="26"/>
      <c r="X19" s="26"/>
      <c r="Y19" s="26"/>
      <c r="Z19" s="26"/>
      <c r="AA19" s="26"/>
      <c r="AB19" s="26"/>
    </row>
    <row r="20" customFormat="false" ht="15" hidden="false" customHeight="false" outlineLevel="0" collapsed="false">
      <c r="A20" s="17" t="s">
        <v>57</v>
      </c>
      <c r="B20" s="18" t="s">
        <v>58</v>
      </c>
      <c r="C20" s="18" t="s">
        <v>59</v>
      </c>
      <c r="D20" s="19" t="n">
        <v>2136.87</v>
      </c>
      <c r="E20" s="19" t="n">
        <v>0</v>
      </c>
      <c r="F20" s="20" t="n">
        <v>0</v>
      </c>
      <c r="G20" s="21" t="n">
        <v>28.23</v>
      </c>
      <c r="H20" s="21" t="n">
        <v>0</v>
      </c>
      <c r="I20" s="22" t="n">
        <f aca="false">W$2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2252.61</v>
      </c>
      <c r="Q20" s="25" t="n">
        <f aca="false">IF(E20=0,IF((D20+N20-O20)&lt;0,ABS(D20+N20-O20),0),IF((N20-E20-O20)&lt;0,ABS(N20-E20-O20),0))</f>
        <v>0</v>
      </c>
      <c r="T20" s="26"/>
      <c r="U20" s="26"/>
      <c r="V20" s="26"/>
      <c r="W20" s="26"/>
      <c r="X20" s="26"/>
      <c r="Y20" s="26"/>
      <c r="Z20" s="26"/>
      <c r="AA20" s="26"/>
      <c r="AB20" s="26"/>
    </row>
    <row r="21" customFormat="false" ht="15" hidden="false" customHeight="false" outlineLevel="0" collapsed="false">
      <c r="A21" s="17" t="s">
        <v>57</v>
      </c>
      <c r="B21" s="18" t="s">
        <v>60</v>
      </c>
      <c r="C21" s="18" t="s">
        <v>61</v>
      </c>
      <c r="D21" s="19" t="n">
        <v>3257.9</v>
      </c>
      <c r="E21" s="19" t="n">
        <v>0</v>
      </c>
      <c r="F21" s="20" t="n">
        <v>0</v>
      </c>
      <c r="G21" s="21" t="n">
        <v>37.84</v>
      </c>
      <c r="H21" s="21" t="n">
        <v>0</v>
      </c>
      <c r="I21" s="22" t="n">
        <f aca="false">W$2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3413.04</v>
      </c>
      <c r="Q21" s="25" t="n">
        <f aca="false">IF(E21=0,IF((D21+N21-O21)&lt;0,ABS(D21+N21-O21),0),IF((N21-E21-O21)&lt;0,ABS(N21-E21-O21),0))</f>
        <v>0</v>
      </c>
      <c r="T21" s="26"/>
      <c r="U21" s="26"/>
      <c r="V21" s="26"/>
      <c r="W21" s="26"/>
      <c r="X21" s="26"/>
      <c r="Y21" s="26"/>
      <c r="Z21" s="26"/>
      <c r="AA21" s="26"/>
      <c r="AB21" s="26"/>
    </row>
    <row r="22" customFormat="false" ht="15" hidden="false" customHeight="false" outlineLevel="0" collapsed="false">
      <c r="A22" s="17" t="s">
        <v>62</v>
      </c>
      <c r="B22" s="18" t="s">
        <v>63</v>
      </c>
      <c r="C22" s="18" t="s">
        <v>64</v>
      </c>
      <c r="D22" s="19" t="n">
        <v>1211.28</v>
      </c>
      <c r="E22" s="19" t="n">
        <v>0</v>
      </c>
      <c r="F22" s="20" t="n">
        <v>0</v>
      </c>
      <c r="G22" s="21" t="n">
        <v>49.24</v>
      </c>
      <c r="H22" s="21" t="n">
        <v>0</v>
      </c>
      <c r="I22" s="22" t="n">
        <f aca="false">W$2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 t="n">
        <v>500</v>
      </c>
      <c r="P22" s="25" t="n">
        <f aca="false">IF(D22=0,IF((N22-E22-O22)&gt;0,(N22-E22-O22),0),IF((D22+N22-O22)&gt;0,(D22+N22-O22),0))</f>
        <v>913.16</v>
      </c>
      <c r="Q22" s="25" t="n">
        <f aca="false">IF(E22=0,IF((D22+N22-O22)&lt;0,ABS(D22+N22-O22),0),IF((N22-E22-O22)&lt;0,ABS(N22-E22-O22),0))</f>
        <v>0</v>
      </c>
      <c r="T22" s="26"/>
      <c r="U22" s="26"/>
      <c r="V22" s="26"/>
      <c r="W22" s="26"/>
      <c r="X22" s="26"/>
      <c r="Y22" s="26"/>
      <c r="Z22" s="26"/>
      <c r="AA22" s="26"/>
      <c r="AB22" s="26"/>
    </row>
    <row r="23" customFormat="false" ht="15" hidden="false" customHeight="false" outlineLevel="0" collapsed="false">
      <c r="A23" s="17" t="s">
        <v>65</v>
      </c>
      <c r="B23" s="18" t="s">
        <v>66</v>
      </c>
      <c r="C23" s="18" t="s">
        <v>67</v>
      </c>
      <c r="D23" s="19" t="n">
        <v>909.04</v>
      </c>
      <c r="E23" s="19" t="n">
        <v>0</v>
      </c>
      <c r="F23" s="20" t="n">
        <v>0</v>
      </c>
      <c r="G23" s="21" t="n">
        <v>35.1</v>
      </c>
      <c r="H23" s="21" t="n">
        <v>0</v>
      </c>
      <c r="I23" s="22" t="n">
        <f aca="false">W$2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1052.95</v>
      </c>
      <c r="Q23" s="25" t="n">
        <f aca="false">IF(E23=0,IF((D23+N23-O23)&lt;0,ABS(D23+N23-O23),0),IF((N23-E23-O23)&lt;0,ABS(N23-E23-O23),0))</f>
        <v>0</v>
      </c>
      <c r="T23" s="26"/>
      <c r="U23" s="26"/>
      <c r="V23" s="26"/>
      <c r="W23" s="26"/>
      <c r="X23" s="26"/>
      <c r="Y23" s="26"/>
      <c r="Z23" s="26"/>
      <c r="AA23" s="26"/>
      <c r="AB23" s="26"/>
    </row>
    <row r="24" customFormat="false" ht="15" hidden="false" customHeight="false" outlineLevel="0" collapsed="false">
      <c r="A24" s="17" t="s">
        <v>68</v>
      </c>
      <c r="B24" s="18" t="s">
        <v>69</v>
      </c>
      <c r="C24" s="18" t="s">
        <v>70</v>
      </c>
      <c r="D24" s="19" t="n">
        <v>1352.41</v>
      </c>
      <c r="E24" s="19" t="n">
        <v>0</v>
      </c>
      <c r="F24" s="20" t="n">
        <v>0</v>
      </c>
      <c r="G24" s="21" t="n">
        <v>61.9</v>
      </c>
      <c r="H24" s="21" t="n">
        <v>0</v>
      </c>
      <c r="I24" s="22" t="n">
        <f aca="false">W$2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1606.2</v>
      </c>
      <c r="Q24" s="25" t="n">
        <f aca="false">IF(E24=0,IF((D24+N24-O24)&lt;0,ABS(D24+N24-O24),0),IF((N24-E24-O24)&lt;0,ABS(N24-E24-O24),0))</f>
        <v>0</v>
      </c>
      <c r="T24" s="26"/>
      <c r="U24" s="26"/>
      <c r="V24" s="26"/>
      <c r="W24" s="26"/>
      <c r="X24" s="26"/>
      <c r="Y24" s="26"/>
      <c r="Z24" s="26"/>
      <c r="AA24" s="26"/>
      <c r="AB24" s="26"/>
    </row>
    <row r="25" customFormat="false" ht="15" hidden="false" customHeight="false" outlineLevel="0" collapsed="false">
      <c r="A25" s="17" t="s">
        <v>71</v>
      </c>
      <c r="B25" s="18" t="s">
        <v>72</v>
      </c>
      <c r="C25" s="18" t="s">
        <v>73</v>
      </c>
      <c r="D25" s="19" t="n">
        <v>1630.98</v>
      </c>
      <c r="E25" s="19" t="n">
        <v>0</v>
      </c>
      <c r="F25" s="20" t="n">
        <v>0</v>
      </c>
      <c r="G25" s="21" t="n">
        <v>66.3</v>
      </c>
      <c r="H25" s="21" t="n">
        <v>0</v>
      </c>
      <c r="I25" s="22" t="n">
        <f aca="false">W$2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 t="n">
        <f aca="false">815.49+815.49</f>
        <v>1630.98</v>
      </c>
      <c r="P25" s="25" t="n">
        <f aca="false">IF(D25=0,IF((N25-E25-O25)&gt;0,(N25-E25-O25),0),IF((D25+N25-O25)&gt;0,(D25+N25-O25),0))</f>
        <v>271.829999999999</v>
      </c>
      <c r="Q25" s="25" t="n">
        <f aca="false">IF(E25=0,IF((D25+N25-O25)&lt;0,ABS(D25+N25-O25),0),IF((N25-E25-O25)&lt;0,ABS(N25-E25-O25),0))</f>
        <v>0</v>
      </c>
      <c r="T25" s="26"/>
      <c r="U25" s="26"/>
      <c r="V25" s="26"/>
      <c r="W25" s="26"/>
      <c r="X25" s="26"/>
      <c r="Y25" s="26"/>
      <c r="Z25" s="26"/>
      <c r="AA25" s="26"/>
      <c r="AB25" s="26"/>
    </row>
    <row r="26" customFormat="false" ht="15" hidden="false" customHeight="false" outlineLevel="0" collapsed="false">
      <c r="A26" s="17" t="s">
        <v>74</v>
      </c>
      <c r="B26" s="18" t="s">
        <v>75</v>
      </c>
      <c r="C26" s="18" t="s">
        <v>76</v>
      </c>
      <c r="D26" s="19" t="n">
        <v>0</v>
      </c>
      <c r="E26" s="19" t="n">
        <v>1406.07</v>
      </c>
      <c r="F26" s="20" t="n">
        <v>0</v>
      </c>
      <c r="G26" s="21" t="n">
        <v>51.48</v>
      </c>
      <c r="H26" s="21" t="n">
        <v>0</v>
      </c>
      <c r="I26" s="22" t="n">
        <f aca="false">W$2</f>
        <v>4.1</v>
      </c>
      <c r="J26" s="23" t="n">
        <f aca="false">ROUND(G26*I26,2)</f>
        <v>211.07</v>
      </c>
      <c r="K26" s="19"/>
      <c r="L26" s="19" t="n">
        <v>211.07</v>
      </c>
      <c r="M26" s="19"/>
      <c r="N26" s="19" t="n">
        <f aca="false">ROUND((G26*I26)-K26-L26-M26,2)</f>
        <v>-0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1406.07</v>
      </c>
      <c r="T26" s="26"/>
      <c r="U26" s="26"/>
      <c r="V26" s="26"/>
      <c r="W26" s="26"/>
      <c r="X26" s="26"/>
      <c r="Y26" s="26"/>
      <c r="Z26" s="26"/>
      <c r="AA26" s="26"/>
      <c r="AB26" s="26"/>
    </row>
    <row r="27" customFormat="false" ht="15" hidden="false" customHeight="false" outlineLevel="0" collapsed="false">
      <c r="A27" s="17" t="s">
        <v>77</v>
      </c>
      <c r="B27" s="18" t="s">
        <v>78</v>
      </c>
      <c r="C27" s="18" t="s">
        <v>79</v>
      </c>
      <c r="D27" s="19" t="n">
        <v>0</v>
      </c>
      <c r="E27" s="19" t="n">
        <v>1.62000000000018</v>
      </c>
      <c r="F27" s="20" t="n">
        <v>0</v>
      </c>
      <c r="G27" s="21" t="n">
        <v>35.1</v>
      </c>
      <c r="H27" s="21" t="n">
        <v>0</v>
      </c>
      <c r="I27" s="22" t="n">
        <f aca="false">W$2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142.29</v>
      </c>
      <c r="Q27" s="25" t="n">
        <f aca="false">IF(E27=0,IF((D27+N27-O27)&lt;0,ABS(D27+N27-O27),0),IF((N27-E27-O27)&lt;0,ABS(N27-E27-O27),0))</f>
        <v>0</v>
      </c>
      <c r="T27" s="26"/>
      <c r="U27" s="26"/>
      <c r="V27" s="26"/>
      <c r="W27" s="26"/>
      <c r="X27" s="26"/>
      <c r="Y27" s="26"/>
      <c r="Z27" s="26"/>
      <c r="AA27" s="26"/>
      <c r="AB27" s="26"/>
    </row>
    <row r="28" customFormat="false" ht="15" hidden="false" customHeight="false" outlineLevel="0" collapsed="false">
      <c r="A28" s="17" t="s">
        <v>80</v>
      </c>
      <c r="B28" s="18" t="s">
        <v>81</v>
      </c>
      <c r="C28" s="18" t="s">
        <v>82</v>
      </c>
      <c r="D28" s="19" t="n">
        <v>0</v>
      </c>
      <c r="E28" s="19" t="n">
        <v>1.02318153949454E-012</v>
      </c>
      <c r="F28" s="20" t="n">
        <v>0</v>
      </c>
      <c r="G28" s="21" t="n">
        <v>62.7</v>
      </c>
      <c r="H28" s="21" t="n">
        <v>0</v>
      </c>
      <c r="I28" s="22" t="n">
        <f aca="false">W$2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257.069999999999</v>
      </c>
      <c r="Q28" s="25" t="n">
        <f aca="false">IF(E28=0,IF((D28+N28-O28)&lt;0,ABS(D28+N28-O28),0),IF((N28-E28-O28)&lt;0,ABS(N28-E28-O28),0))</f>
        <v>0</v>
      </c>
      <c r="T28" s="26"/>
      <c r="U28" s="26"/>
      <c r="V28" s="26"/>
      <c r="W28" s="26"/>
      <c r="X28" s="26"/>
      <c r="Y28" s="26"/>
      <c r="Z28" s="26"/>
      <c r="AA28" s="26"/>
      <c r="AB28" s="26"/>
    </row>
    <row r="29" customFormat="false" ht="15" hidden="false" customHeight="false" outlineLevel="0" collapsed="false">
      <c r="A29" s="17" t="s">
        <v>83</v>
      </c>
      <c r="B29" s="18" t="s">
        <v>84</v>
      </c>
      <c r="C29" s="18" t="s">
        <v>85</v>
      </c>
      <c r="D29" s="19" t="n">
        <v>1703.73</v>
      </c>
      <c r="E29" s="19" t="n">
        <v>0</v>
      </c>
      <c r="F29" s="20" t="n">
        <v>0</v>
      </c>
      <c r="G29" s="21" t="n">
        <v>65.32</v>
      </c>
      <c r="H29" s="21" t="n">
        <v>0</v>
      </c>
      <c r="I29" s="22" t="n">
        <f aca="false">W$2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/>
      <c r="P29" s="25" t="n">
        <f aca="false">IF(D29=0,IF((N29-E29-O29)&gt;0,(N29-E29-O29),0),IF((D29+N29-O29)&gt;0,(D29+N29-O29),0))</f>
        <v>1971.54</v>
      </c>
      <c r="Q29" s="25" t="n">
        <f aca="false">IF(E29=0,IF((D29+N29-O29)&lt;0,ABS(D29+N29-O29),0),IF((N29-E29-O29)&lt;0,ABS(N29-E29-O29),0))</f>
        <v>0</v>
      </c>
      <c r="T29" s="26"/>
      <c r="U29" s="26"/>
      <c r="V29" s="26"/>
      <c r="W29" s="26"/>
      <c r="X29" s="26"/>
      <c r="Y29" s="26"/>
      <c r="Z29" s="26"/>
      <c r="AA29" s="26"/>
      <c r="AB29" s="26"/>
    </row>
    <row r="30" customFormat="false" ht="15" hidden="false" customHeight="false" outlineLevel="0" collapsed="false">
      <c r="A30" s="17" t="s">
        <v>86</v>
      </c>
      <c r="B30" s="18" t="s">
        <v>87</v>
      </c>
      <c r="C30" s="18" t="s">
        <v>88</v>
      </c>
      <c r="D30" s="19" t="n">
        <v>1630.16</v>
      </c>
      <c r="E30" s="19" t="n">
        <v>0</v>
      </c>
      <c r="F30" s="20" t="n">
        <v>0</v>
      </c>
      <c r="G30" s="21" t="n">
        <v>49.7</v>
      </c>
      <c r="H30" s="21" t="n">
        <v>0</v>
      </c>
      <c r="I30" s="22" t="n">
        <f aca="false">W$2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 t="n">
        <v>630</v>
      </c>
      <c r="P30" s="25" t="n">
        <f aca="false">IF(D30=0,IF((N30-E30-O30)&gt;0,(N30-E30-O30),0),IF((D30+N30-O30)&gt;0,(D30+N30-O30),0))</f>
        <v>1203.93</v>
      </c>
      <c r="Q30" s="25" t="n">
        <f aca="false">IF(E30=0,IF((D30+N30-O30)&lt;0,ABS(D30+N30-O30),0),IF((N30-E30-O30)&lt;0,ABS(N30-E30-O30),0))</f>
        <v>0</v>
      </c>
      <c r="T30" s="26"/>
      <c r="U30" s="26"/>
      <c r="V30" s="26"/>
      <c r="W30" s="26"/>
      <c r="X30" s="26"/>
      <c r="Y30" s="26"/>
      <c r="Z30" s="26"/>
      <c r="AA30" s="26"/>
      <c r="AB30" s="26"/>
    </row>
    <row r="31" customFormat="false" ht="15" hidden="false" customHeight="false" outlineLevel="0" collapsed="false">
      <c r="A31" s="17" t="s">
        <v>89</v>
      </c>
      <c r="B31" s="18" t="s">
        <v>90</v>
      </c>
      <c r="C31" s="18" t="s">
        <v>91</v>
      </c>
      <c r="D31" s="19" t="n">
        <v>0</v>
      </c>
      <c r="E31" s="19" t="n">
        <v>3.97903932025656E-013</v>
      </c>
      <c r="F31" s="20" t="n">
        <v>0</v>
      </c>
      <c r="G31" s="21" t="n">
        <v>35.1</v>
      </c>
      <c r="H31" s="21" t="n">
        <v>0</v>
      </c>
      <c r="I31" s="22" t="n">
        <f aca="false">W$2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143.91</v>
      </c>
      <c r="Q31" s="25" t="n">
        <f aca="false">IF(E31=0,IF((D31+N31-O31)&lt;0,ABS(D31+N31-O31),0),IF((N31-E31-O31)&lt;0,ABS(N31-E31-O31),0))</f>
        <v>0</v>
      </c>
      <c r="T31" s="26"/>
      <c r="U31" s="26"/>
      <c r="V31" s="26"/>
      <c r="W31" s="26"/>
      <c r="X31" s="26"/>
      <c r="Y31" s="26"/>
      <c r="Z31" s="26"/>
      <c r="AA31" s="26"/>
      <c r="AB31" s="26"/>
    </row>
    <row r="32" customFormat="false" ht="15" hidden="false" customHeight="false" outlineLevel="0" collapsed="false">
      <c r="A32" s="17" t="s">
        <v>92</v>
      </c>
      <c r="B32" s="18" t="s">
        <v>93</v>
      </c>
      <c r="C32" s="18" t="s">
        <v>94</v>
      </c>
      <c r="D32" s="19" t="n">
        <v>1628.61</v>
      </c>
      <c r="E32" s="19" t="n">
        <v>0</v>
      </c>
      <c r="F32" s="20" t="n">
        <v>0</v>
      </c>
      <c r="G32" s="21" t="n">
        <v>62.31</v>
      </c>
      <c r="H32" s="21" t="n">
        <v>0</v>
      </c>
      <c r="I32" s="22" t="n">
        <f aca="false">W$2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/>
      <c r="P32" s="25" t="n">
        <f aca="false">IF(D32=0,IF((N32-E32-O32)&gt;0,(N32-E32-O32),0),IF((D32+N32-O32)&gt;0,(D32+N32-O32),0))</f>
        <v>1884.08</v>
      </c>
      <c r="Q32" s="25" t="n">
        <f aca="false">IF(E32=0,IF((D32+N32-O32)&lt;0,ABS(D32+N32-O32),0),IF((N32-E32-O32)&lt;0,ABS(N32-E32-O32),0))</f>
        <v>0</v>
      </c>
      <c r="T32" s="26"/>
      <c r="U32" s="26"/>
      <c r="V32" s="26"/>
      <c r="W32" s="26"/>
      <c r="X32" s="26"/>
      <c r="Y32" s="26"/>
      <c r="Z32" s="26"/>
      <c r="AA32" s="26"/>
      <c r="AB32" s="26"/>
    </row>
    <row r="33" customFormat="false" ht="15" hidden="false" customHeight="false" outlineLevel="0" collapsed="false">
      <c r="A33" s="17" t="s">
        <v>95</v>
      </c>
      <c r="B33" s="18" t="s">
        <v>96</v>
      </c>
      <c r="C33" s="18" t="s">
        <v>97</v>
      </c>
      <c r="D33" s="19" t="n">
        <v>2787.48</v>
      </c>
      <c r="E33" s="19" t="n">
        <v>0</v>
      </c>
      <c r="F33" s="20" t="n">
        <v>0</v>
      </c>
      <c r="G33" s="21" t="n">
        <v>65.04</v>
      </c>
      <c r="H33" s="21"/>
      <c r="I33" s="22" t="n">
        <f aca="false">W$2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3054.14</v>
      </c>
      <c r="Q33" s="25" t="n">
        <f aca="false">IF(E33=0,IF((D33+N33-O33)&lt;0,ABS(D33+N33-O33),0),IF((N33-E33-O33)&lt;0,ABS(N33-E33-O33),0))</f>
        <v>0</v>
      </c>
      <c r="T33" s="26"/>
      <c r="U33" s="26"/>
      <c r="V33" s="26"/>
      <c r="W33" s="26"/>
      <c r="X33" s="26"/>
      <c r="Y33" s="26"/>
      <c r="Z33" s="26"/>
      <c r="AA33" s="26"/>
      <c r="AB33" s="26"/>
    </row>
    <row r="34" customFormat="false" ht="15" hidden="false" customHeight="false" outlineLevel="0" collapsed="false">
      <c r="A34" s="17" t="s">
        <v>98</v>
      </c>
      <c r="B34" s="18" t="s">
        <v>99</v>
      </c>
      <c r="C34" s="18" t="s">
        <v>100</v>
      </c>
      <c r="D34" s="19" t="n">
        <v>1036.97</v>
      </c>
      <c r="E34" s="19" t="n">
        <v>0</v>
      </c>
      <c r="F34" s="20" t="n">
        <v>0</v>
      </c>
      <c r="G34" s="21" t="n">
        <v>49.8</v>
      </c>
      <c r="H34" s="21" t="n">
        <v>0</v>
      </c>
      <c r="I34" s="22" t="n">
        <f aca="false">W$2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1241.15</v>
      </c>
      <c r="Q34" s="25" t="n">
        <f aca="false">IF(E34=0,IF((D34+N34-O34)&lt;0,ABS(D34+N34-O34),0),IF((N34-E34-O34)&lt;0,ABS(N34-E34-O34),0))</f>
        <v>0</v>
      </c>
      <c r="T34" s="26"/>
      <c r="U34" s="26"/>
      <c r="V34" s="26"/>
      <c r="W34" s="26"/>
      <c r="X34" s="26"/>
      <c r="Y34" s="26"/>
      <c r="Z34" s="26"/>
      <c r="AA34" s="26"/>
      <c r="AB34" s="26"/>
    </row>
    <row r="35" customFormat="false" ht="15" hidden="false" customHeight="false" outlineLevel="0" collapsed="false">
      <c r="A35" s="17" t="s">
        <v>101</v>
      </c>
      <c r="B35" s="18" t="s">
        <v>102</v>
      </c>
      <c r="C35" s="18" t="s">
        <v>103</v>
      </c>
      <c r="D35" s="19" t="n">
        <v>918.9</v>
      </c>
      <c r="E35" s="19" t="n">
        <v>0</v>
      </c>
      <c r="F35" s="20" t="n">
        <v>0</v>
      </c>
      <c r="G35" s="21" t="n">
        <v>35.17</v>
      </c>
      <c r="H35" s="21" t="n">
        <v>0</v>
      </c>
      <c r="I35" s="22" t="n">
        <f aca="false">W$2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/>
      <c r="P35" s="25" t="n">
        <f aca="false">IF(D35=0,IF((N35-E35-O35)&gt;0,(N35-E35-O35),0),IF((D35+N35-O35)&gt;0,(D35+N35-O35),0))</f>
        <v>1063.1</v>
      </c>
      <c r="Q35" s="25" t="n">
        <f aca="false">IF(E35=0,IF((D35+N35-O35)&lt;0,ABS(D35+N35-O35),0),IF((N35-E35-O35)&lt;0,ABS(N35-E35-O35),0))</f>
        <v>0</v>
      </c>
      <c r="T35" s="26"/>
      <c r="U35" s="26"/>
      <c r="V35" s="26"/>
      <c r="W35" s="26"/>
      <c r="X35" s="26"/>
      <c r="Y35" s="26"/>
      <c r="Z35" s="26"/>
      <c r="AA35" s="26"/>
      <c r="AB35" s="26"/>
    </row>
    <row r="36" customFormat="false" ht="15" hidden="false" customHeight="false" outlineLevel="0" collapsed="false">
      <c r="A36" s="17" t="s">
        <v>104</v>
      </c>
      <c r="B36" s="18" t="s">
        <v>105</v>
      </c>
      <c r="C36" s="18" t="s">
        <v>106</v>
      </c>
      <c r="D36" s="19" t="n">
        <v>2073.31</v>
      </c>
      <c r="E36" s="19" t="n">
        <v>0</v>
      </c>
      <c r="F36" s="20" t="n">
        <v>0</v>
      </c>
      <c r="G36" s="21" t="n">
        <v>62.47</v>
      </c>
      <c r="H36" s="21" t="n">
        <v>0</v>
      </c>
      <c r="I36" s="22" t="n">
        <f aca="false">W$2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 t="n">
        <f aca="false">200+1900</f>
        <v>2100</v>
      </c>
      <c r="P36" s="25" t="n">
        <f aca="false">IF(D36=0,IF((N36-E36-O36)&gt;0,(N36-E36-O36),0),IF((D36+N36-O36)&gt;0,(D36+N36-O36),0))</f>
        <v>229.44</v>
      </c>
      <c r="Q36" s="25" t="n">
        <f aca="false">IF(E36=0,IF((D36+N36-O36)&lt;0,ABS(D36+N36-O36),0),IF((N36-E36-O36)&lt;0,ABS(N36-E36-O36),0))</f>
        <v>0</v>
      </c>
      <c r="T36" s="26"/>
      <c r="U36" s="26"/>
      <c r="V36" s="26"/>
      <c r="W36" s="26"/>
      <c r="X36" s="26"/>
      <c r="Y36" s="26"/>
      <c r="Z36" s="26"/>
      <c r="AA36" s="26"/>
      <c r="AB36" s="26"/>
    </row>
    <row r="37" customFormat="false" ht="15" hidden="false" customHeight="false" outlineLevel="0" collapsed="false">
      <c r="A37" s="17" t="s">
        <v>107</v>
      </c>
      <c r="B37" s="18" t="s">
        <v>108</v>
      </c>
      <c r="C37" s="18" t="s">
        <v>109</v>
      </c>
      <c r="D37" s="19" t="n">
        <v>1478.64</v>
      </c>
      <c r="E37" s="19" t="n">
        <v>0</v>
      </c>
      <c r="F37" s="20" t="n">
        <v>0</v>
      </c>
      <c r="G37" s="21" t="n">
        <v>65.75</v>
      </c>
      <c r="H37" s="21" t="n">
        <v>0</v>
      </c>
      <c r="I37" s="22" t="n">
        <f aca="false">W$2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1748.22</v>
      </c>
      <c r="Q37" s="25" t="n">
        <f aca="false">IF(E37=0,IF((D37+N37-O37)&lt;0,ABS(D37+N37-O37),0),IF((N37-E37-O37)&lt;0,ABS(N37-E37-O37),0))</f>
        <v>0</v>
      </c>
      <c r="T37" s="26"/>
      <c r="U37" s="26"/>
      <c r="V37" s="26"/>
      <c r="W37" s="26"/>
      <c r="X37" s="26"/>
      <c r="Y37" s="26"/>
      <c r="Z37" s="26"/>
      <c r="AA37" s="26"/>
      <c r="AB37" s="26"/>
    </row>
    <row r="38" customFormat="false" ht="15" hidden="false" customHeight="false" outlineLevel="0" collapsed="false">
      <c r="A38" s="17" t="s">
        <v>110</v>
      </c>
      <c r="B38" s="18" t="s">
        <v>111</v>
      </c>
      <c r="C38" s="18" t="s">
        <v>112</v>
      </c>
      <c r="D38" s="19" t="n">
        <v>2232.83</v>
      </c>
      <c r="E38" s="19" t="n">
        <v>0</v>
      </c>
      <c r="F38" s="20" t="n">
        <v>0</v>
      </c>
      <c r="G38" s="21" t="n">
        <v>49.7</v>
      </c>
      <c r="H38" s="21" t="n">
        <v>0</v>
      </c>
      <c r="I38" s="22" t="n">
        <f aca="false">W$2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2436.6</v>
      </c>
      <c r="Q38" s="25" t="n">
        <f aca="false">IF(E38=0,IF((D38+N38-O38)&lt;0,ABS(D38+N38-O38),0),IF((N38-E38-O38)&lt;0,ABS(N38-E38-O38),0))</f>
        <v>0</v>
      </c>
      <c r="T38" s="26"/>
      <c r="U38" s="26"/>
      <c r="V38" s="26"/>
      <c r="W38" s="26"/>
      <c r="X38" s="26"/>
      <c r="Y38" s="26"/>
      <c r="Z38" s="26"/>
      <c r="AA38" s="26"/>
      <c r="AB38" s="26"/>
    </row>
    <row r="39" customFormat="false" ht="15" hidden="false" customHeight="false" outlineLevel="0" collapsed="false">
      <c r="A39" s="17" t="s">
        <v>113</v>
      </c>
      <c r="B39" s="18" t="s">
        <v>114</v>
      </c>
      <c r="C39" s="18" t="s">
        <v>115</v>
      </c>
      <c r="D39" s="19" t="n">
        <v>0</v>
      </c>
      <c r="E39" s="19" t="n">
        <v>5.6843418860808E-014</v>
      </c>
      <c r="F39" s="20" t="n">
        <v>0</v>
      </c>
      <c r="G39" s="21" t="n">
        <v>35.1</v>
      </c>
      <c r="H39" s="21" t="n">
        <v>0</v>
      </c>
      <c r="I39" s="22" t="n">
        <f aca="false">W$2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 t="n">
        <v>143.91</v>
      </c>
      <c r="P39" s="25" t="n">
        <f aca="false">IF(D39=0,IF((N39-E39-O39)&gt;0,(N39-E39-O39),0),IF((D39+N39-O39)&gt;0,(D39+N39-O39),0))</f>
        <v>0</v>
      </c>
      <c r="Q39" s="25" t="n">
        <f aca="false">IF(E39=0,IF((D39+N39-O39)&lt;0,ABS(D39+N39-O39),0),IF((N39-E39-O39)&lt;0,ABS(N39-E39-O39),0))</f>
        <v>0</v>
      </c>
      <c r="T39" s="26"/>
      <c r="U39" s="26"/>
      <c r="V39" s="26"/>
      <c r="W39" s="26"/>
      <c r="X39" s="26"/>
      <c r="Y39" s="26"/>
      <c r="Z39" s="26"/>
      <c r="AA39" s="26"/>
      <c r="AB39" s="26"/>
    </row>
    <row r="40" customFormat="false" ht="15" hidden="false" customHeight="false" outlineLevel="0" collapsed="false">
      <c r="A40" s="17" t="s">
        <v>116</v>
      </c>
      <c r="B40" s="18" t="s">
        <v>117</v>
      </c>
      <c r="C40" s="18" t="s">
        <v>118</v>
      </c>
      <c r="D40" s="19" t="n">
        <v>1759.67</v>
      </c>
      <c r="E40" s="19" t="n">
        <v>0</v>
      </c>
      <c r="F40" s="20" t="n">
        <v>0</v>
      </c>
      <c r="G40" s="21" t="n">
        <v>61.9</v>
      </c>
      <c r="H40" s="21" t="n">
        <v>0</v>
      </c>
      <c r="I40" s="22" t="n">
        <f aca="false">W$2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2013.46</v>
      </c>
      <c r="Q40" s="25" t="n">
        <f aca="false">IF(E40=0,IF((D40+N40-O40)&lt;0,ABS(D40+N40-O40),0),IF((N40-E40-O40)&lt;0,ABS(N40-E40-O40),0))</f>
        <v>0</v>
      </c>
      <c r="T40" s="26"/>
      <c r="U40" s="26"/>
      <c r="V40" s="26"/>
      <c r="W40" s="26"/>
      <c r="X40" s="26"/>
      <c r="Y40" s="26"/>
      <c r="Z40" s="26"/>
      <c r="AA40" s="26"/>
      <c r="AB40" s="26"/>
    </row>
    <row r="41" customFormat="false" ht="15" hidden="false" customHeight="false" outlineLevel="0" collapsed="false">
      <c r="A41" s="17" t="s">
        <v>119</v>
      </c>
      <c r="B41" s="18" t="s">
        <v>120</v>
      </c>
      <c r="C41" s="18" t="s">
        <v>121</v>
      </c>
      <c r="D41" s="19" t="n">
        <v>1232.64</v>
      </c>
      <c r="E41" s="19" t="n">
        <v>0</v>
      </c>
      <c r="F41" s="20" t="n">
        <v>0</v>
      </c>
      <c r="G41" s="21" t="n">
        <v>65.53</v>
      </c>
      <c r="H41" s="21"/>
      <c r="I41" s="22" t="n">
        <f aca="false">W$2</f>
        <v>4.1</v>
      </c>
      <c r="J41" s="23" t="n">
        <f aca="false">ROUND(G41*I41,2)</f>
        <v>268.67</v>
      </c>
      <c r="K41" s="19"/>
      <c r="L41" s="19" t="n">
        <v>268.67</v>
      </c>
      <c r="M41" s="19"/>
      <c r="N41" s="19" t="n">
        <f aca="false">ROUND((G41*I41)-K41-L41-M41,2)</f>
        <v>0</v>
      </c>
      <c r="O41" s="19"/>
      <c r="P41" s="25" t="n">
        <f aca="false">IF(D41=0,IF((N41-E41-O41)&gt;0,(N41-E41-O41),0),IF((D41+N41-O41)&gt;0,(D41+N41-O41),0))</f>
        <v>1232.64</v>
      </c>
      <c r="Q41" s="25" t="n">
        <f aca="false">IF(E41=0,IF((D41+N41-O41)&lt;0,ABS(D41+N41-O41),0),IF((N41-E41-O41)&lt;0,ABS(N41-E41-O41),0))</f>
        <v>0</v>
      </c>
      <c r="T41" s="26"/>
      <c r="U41" s="26"/>
      <c r="V41" s="26"/>
      <c r="W41" s="26"/>
      <c r="X41" s="26"/>
      <c r="Y41" s="26"/>
      <c r="Z41" s="26"/>
      <c r="AA41" s="26"/>
      <c r="AB41" s="26"/>
    </row>
    <row r="42" customFormat="false" ht="15" hidden="false" customHeight="false" outlineLevel="0" collapsed="false">
      <c r="A42" s="17" t="s">
        <v>122</v>
      </c>
      <c r="B42" s="18" t="s">
        <v>123</v>
      </c>
      <c r="C42" s="18" t="s">
        <v>124</v>
      </c>
      <c r="D42" s="19" t="n">
        <v>925.74</v>
      </c>
      <c r="E42" s="19" t="n">
        <v>0</v>
      </c>
      <c r="F42" s="20" t="n">
        <v>0</v>
      </c>
      <c r="G42" s="21" t="n">
        <v>49.7</v>
      </c>
      <c r="H42" s="21" t="n">
        <v>0</v>
      </c>
      <c r="I42" s="22" t="n">
        <f aca="false">W$2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1129.51</v>
      </c>
      <c r="Q42" s="25" t="n">
        <f aca="false">IF(E42=0,IF((D42+N42-O42)&lt;0,ABS(D42+N42-O42),0),IF((N42-E42-O42)&lt;0,ABS(N42-E42-O42),0))</f>
        <v>0</v>
      </c>
      <c r="T42" s="26"/>
      <c r="U42" s="26"/>
      <c r="V42" s="26"/>
      <c r="W42" s="26"/>
      <c r="X42" s="26"/>
      <c r="Y42" s="26"/>
      <c r="Z42" s="26"/>
      <c r="AA42" s="26"/>
      <c r="AB42" s="26"/>
    </row>
    <row r="43" customFormat="false" ht="15" hidden="false" customHeight="false" outlineLevel="0" collapsed="false">
      <c r="A43" s="17" t="s">
        <v>125</v>
      </c>
      <c r="B43" s="18" t="s">
        <v>126</v>
      </c>
      <c r="C43" s="18" t="s">
        <v>127</v>
      </c>
      <c r="D43" s="19" t="n">
        <v>1196.3</v>
      </c>
      <c r="E43" s="19" t="n">
        <v>0</v>
      </c>
      <c r="F43" s="20" t="n">
        <v>0</v>
      </c>
      <c r="G43" s="21" t="n">
        <v>35.1</v>
      </c>
      <c r="H43" s="21" t="n">
        <v>0</v>
      </c>
      <c r="I43" s="22" t="n">
        <f aca="false">W$2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 t="n">
        <v>600</v>
      </c>
      <c r="P43" s="25" t="n">
        <f aca="false">IF(D43=0,IF((N43-E43-O43)&gt;0,(N43-E43-O43),0),IF((D43+N43-O43)&gt;0,(D43+N43-O43),0))</f>
        <v>740.21</v>
      </c>
      <c r="Q43" s="25" t="n">
        <f aca="false">IF(E43=0,IF((D43+N43-O43)&lt;0,ABS(D43+N43-O43),0),IF((N43-E43-O43)&lt;0,ABS(N43-E43-O43),0))</f>
        <v>0</v>
      </c>
      <c r="T43" s="26"/>
      <c r="U43" s="26"/>
      <c r="V43" s="26"/>
      <c r="W43" s="26"/>
      <c r="X43" s="26"/>
      <c r="Y43" s="26"/>
      <c r="Z43" s="26"/>
      <c r="AA43" s="26"/>
      <c r="AB43" s="26"/>
    </row>
    <row r="44" customFormat="false" ht="15" hidden="false" customHeight="false" outlineLevel="0" collapsed="false">
      <c r="A44" s="17" t="s">
        <v>128</v>
      </c>
      <c r="B44" s="18" t="s">
        <v>129</v>
      </c>
      <c r="C44" s="18" t="s">
        <v>130</v>
      </c>
      <c r="D44" s="19" t="n">
        <v>2887.83</v>
      </c>
      <c r="E44" s="19" t="n">
        <v>0</v>
      </c>
      <c r="F44" s="20" t="n">
        <v>0</v>
      </c>
      <c r="G44" s="21" t="n">
        <v>61.88</v>
      </c>
      <c r="H44" s="21" t="n">
        <v>0</v>
      </c>
      <c r="I44" s="22" t="n">
        <f aca="false">W$2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3141.54</v>
      </c>
      <c r="Q44" s="25" t="n">
        <f aca="false">IF(E44=0,IF((D44+N44-O44)&lt;0,ABS(D44+N44-O44),0),IF((N44-E44-O44)&lt;0,ABS(N44-E44-O44),0))</f>
        <v>0</v>
      </c>
      <c r="T44" s="26"/>
      <c r="U44" s="26"/>
      <c r="V44" s="26"/>
      <c r="W44" s="26"/>
      <c r="X44" s="26"/>
      <c r="Y44" s="26"/>
      <c r="Z44" s="26"/>
      <c r="AA44" s="26"/>
      <c r="AB44" s="26"/>
    </row>
    <row r="45" customFormat="false" ht="15" hidden="false" customHeight="false" outlineLevel="0" collapsed="false">
      <c r="A45" s="17" t="s">
        <v>131</v>
      </c>
      <c r="B45" s="18" t="s">
        <v>132</v>
      </c>
      <c r="C45" s="18" t="s">
        <v>133</v>
      </c>
      <c r="D45" s="19" t="n">
        <v>958.67</v>
      </c>
      <c r="E45" s="19" t="n">
        <v>0</v>
      </c>
      <c r="F45" s="20" t="n">
        <v>0</v>
      </c>
      <c r="G45" s="21" t="n">
        <v>62.2</v>
      </c>
      <c r="H45" s="21" t="n">
        <v>0</v>
      </c>
      <c r="I45" s="22" t="n">
        <f aca="false">W$2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1213.69</v>
      </c>
      <c r="Q45" s="25" t="n">
        <f aca="false">IF(E45=0,IF((D45+N45-O45)&lt;0,ABS(D45+N45-O45),0),IF((N45-E45-O45)&lt;0,ABS(N45-E45-O45),0))</f>
        <v>0</v>
      </c>
      <c r="T45" s="26"/>
      <c r="U45" s="26"/>
      <c r="V45" s="26"/>
      <c r="W45" s="26"/>
      <c r="X45" s="26"/>
      <c r="Y45" s="26"/>
      <c r="Z45" s="26"/>
      <c r="AA45" s="26"/>
      <c r="AB45" s="26"/>
    </row>
    <row r="46" customFormat="false" ht="15" hidden="false" customHeight="false" outlineLevel="0" collapsed="false">
      <c r="A46" s="17" t="s">
        <v>134</v>
      </c>
      <c r="B46" s="18" t="s">
        <v>135</v>
      </c>
      <c r="C46" s="18" t="s">
        <v>136</v>
      </c>
      <c r="D46" s="19" t="n">
        <v>406</v>
      </c>
      <c r="E46" s="19" t="n">
        <v>0</v>
      </c>
      <c r="F46" s="20" t="n">
        <v>0</v>
      </c>
      <c r="G46" s="21" t="n">
        <v>34.9</v>
      </c>
      <c r="H46" s="21" t="n">
        <v>0</v>
      </c>
      <c r="I46" s="22" t="n">
        <f aca="false">W$2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549.09</v>
      </c>
      <c r="Q46" s="25" t="n">
        <f aca="false">IF(E46=0,IF((D46+N46-O46)&lt;0,ABS(D46+N46-O46),0),IF((N46-E46-O46)&lt;0,ABS(N46-E46-O46),0))</f>
        <v>0</v>
      </c>
      <c r="T46" s="26"/>
      <c r="U46" s="26"/>
      <c r="V46" s="26"/>
      <c r="W46" s="26"/>
      <c r="X46" s="26"/>
      <c r="Y46" s="26"/>
      <c r="Z46" s="26"/>
      <c r="AA46" s="26"/>
      <c r="AB46" s="26"/>
    </row>
    <row r="47" customFormat="false" ht="15" hidden="false" customHeight="false" outlineLevel="0" collapsed="false">
      <c r="A47" s="17" t="s">
        <v>137</v>
      </c>
      <c r="B47" s="18" t="s">
        <v>138</v>
      </c>
      <c r="C47" s="18" t="s">
        <v>139</v>
      </c>
      <c r="D47" s="19" t="n">
        <v>0.0400000000004184</v>
      </c>
      <c r="E47" s="19" t="n">
        <v>0</v>
      </c>
      <c r="F47" s="20" t="n">
        <v>0</v>
      </c>
      <c r="G47" s="21" t="n">
        <v>48.8</v>
      </c>
      <c r="H47" s="21"/>
      <c r="I47" s="22" t="n">
        <f aca="false">W$2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/>
      <c r="P47" s="25" t="n">
        <f aca="false">IF(D47=0,IF((N47-E47-O47)&gt;0,(N47-E47-O47),0),IF((D47+N47-O47)&gt;0,(D47+N47-O47),0))</f>
        <v>200.12</v>
      </c>
      <c r="Q47" s="25" t="n">
        <f aca="false">IF(E47=0,IF((D47+N47-O47)&lt;0,ABS(D47+N47-O47),0),IF((N47-E47-O47)&lt;0,ABS(N47-E47-O47),0))</f>
        <v>0</v>
      </c>
      <c r="T47" s="26"/>
      <c r="U47" s="26"/>
      <c r="V47" s="26"/>
      <c r="W47" s="26"/>
      <c r="X47" s="26"/>
      <c r="Y47" s="26"/>
      <c r="Z47" s="26"/>
      <c r="AA47" s="26"/>
      <c r="AB47" s="26"/>
    </row>
    <row r="48" customFormat="false" ht="15" hidden="false" customHeight="false" outlineLevel="0" collapsed="false">
      <c r="A48" s="17" t="s">
        <v>140</v>
      </c>
      <c r="B48" s="18" t="s">
        <v>141</v>
      </c>
      <c r="C48" s="18" t="s">
        <v>142</v>
      </c>
      <c r="D48" s="19" t="n">
        <v>934.27</v>
      </c>
      <c r="E48" s="19" t="n">
        <v>0</v>
      </c>
      <c r="F48" s="20" t="n">
        <v>0</v>
      </c>
      <c r="G48" s="21" t="n">
        <v>57.3</v>
      </c>
      <c r="H48" s="21" t="n">
        <v>0</v>
      </c>
      <c r="I48" s="22" t="n">
        <f aca="false">W$2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v>205</v>
      </c>
      <c r="P48" s="25" t="n">
        <f aca="false">IF(D48=0,IF((N48-E48-O48)&gt;0,(N48-E48-O48),0),IF((D48+N48-O48)&gt;0,(D48+N48-O48),0))</f>
        <v>964.200000000001</v>
      </c>
      <c r="Q48" s="25" t="n">
        <f aca="false">IF(E48=0,IF((D48+N48-O48)&lt;0,ABS(D48+N48-O48),0),IF((N48-E48-O48)&lt;0,ABS(N48-E48-O48),0))</f>
        <v>0</v>
      </c>
      <c r="T48" s="26"/>
      <c r="U48" s="26"/>
      <c r="V48" s="26"/>
      <c r="W48" s="26"/>
      <c r="X48" s="26"/>
      <c r="Y48" s="26"/>
      <c r="Z48" s="26"/>
      <c r="AA48" s="26"/>
      <c r="AB48" s="26"/>
    </row>
    <row r="49" customFormat="false" ht="15" hidden="false" customHeight="false" outlineLevel="0" collapsed="false">
      <c r="A49" s="17" t="s">
        <v>143</v>
      </c>
      <c r="B49" s="18" t="s">
        <v>144</v>
      </c>
      <c r="C49" s="18" t="s">
        <v>145</v>
      </c>
      <c r="D49" s="19" t="n">
        <v>1814.57</v>
      </c>
      <c r="E49" s="19" t="n">
        <v>0</v>
      </c>
      <c r="F49" s="20" t="n">
        <v>0</v>
      </c>
      <c r="G49" s="21" t="n">
        <v>63.3</v>
      </c>
      <c r="H49" s="21" t="n">
        <v>0</v>
      </c>
      <c r="I49" s="22" t="n">
        <f aca="false">W$2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2074.1</v>
      </c>
      <c r="Q49" s="25" t="n">
        <f aca="false">IF(E49=0,IF((D49+N49-O49)&lt;0,ABS(D49+N49-O49),0),IF((N49-E49-O49)&lt;0,ABS(N49-E49-O49),0))</f>
        <v>0</v>
      </c>
      <c r="T49" s="26"/>
      <c r="U49" s="26"/>
      <c r="V49" s="26"/>
      <c r="W49" s="26"/>
      <c r="X49" s="26"/>
      <c r="Y49" s="26"/>
      <c r="Z49" s="26"/>
      <c r="AA49" s="26"/>
      <c r="AB49" s="26"/>
    </row>
    <row r="50" customFormat="false" ht="15" hidden="false" customHeight="false" outlineLevel="0" collapsed="false">
      <c r="A50" s="17" t="s">
        <v>146</v>
      </c>
      <c r="B50" s="18" t="s">
        <v>147</v>
      </c>
      <c r="C50" s="18" t="s">
        <v>148</v>
      </c>
      <c r="D50" s="19" t="n">
        <v>1031.37</v>
      </c>
      <c r="E50" s="19" t="n">
        <v>0</v>
      </c>
      <c r="F50" s="20" t="n">
        <v>0</v>
      </c>
      <c r="G50" s="21" t="n">
        <v>35.68</v>
      </c>
      <c r="H50" s="21" t="n">
        <v>0</v>
      </c>
      <c r="I50" s="22" t="n">
        <f aca="false">W$2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1177.66</v>
      </c>
      <c r="Q50" s="25" t="n">
        <f aca="false">IF(E50=0,IF((D50+N50-O50)&lt;0,ABS(D50+N50-O50),0),IF((N50-E50-O50)&lt;0,ABS(N50-E50-O50),0))</f>
        <v>0</v>
      </c>
      <c r="T50" s="26"/>
      <c r="U50" s="26"/>
      <c r="V50" s="26"/>
      <c r="W50" s="26"/>
      <c r="X50" s="26"/>
      <c r="Y50" s="26"/>
      <c r="Z50" s="26"/>
      <c r="AA50" s="26"/>
      <c r="AB50" s="26"/>
    </row>
    <row r="51" customFormat="false" ht="15" hidden="false" customHeight="false" outlineLevel="0" collapsed="false">
      <c r="A51" s="17" t="s">
        <v>149</v>
      </c>
      <c r="B51" s="18" t="s">
        <v>150</v>
      </c>
      <c r="C51" s="18" t="s">
        <v>151</v>
      </c>
      <c r="D51" s="19" t="n">
        <v>816.720000000001</v>
      </c>
      <c r="E51" s="19" t="n">
        <v>0</v>
      </c>
      <c r="F51" s="20" t="n">
        <v>0</v>
      </c>
      <c r="G51" s="21" t="n">
        <v>49.8</v>
      </c>
      <c r="H51" s="21" t="n">
        <v>0</v>
      </c>
      <c r="I51" s="22" t="n">
        <f aca="false">W$2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1020.9</v>
      </c>
      <c r="Q51" s="25" t="n">
        <f aca="false">IF(E51=0,IF((D51+N51-O51)&lt;0,ABS(D51+N51-O51),0),IF((N51-E51-O51)&lt;0,ABS(N51-E51-O51),0))</f>
        <v>0</v>
      </c>
      <c r="T51" s="26"/>
      <c r="U51" s="26"/>
      <c r="V51" s="26"/>
      <c r="W51" s="26"/>
      <c r="X51" s="26"/>
      <c r="Y51" s="26"/>
      <c r="Z51" s="26"/>
      <c r="AA51" s="26"/>
      <c r="AB51" s="26"/>
    </row>
    <row r="52" customFormat="false" ht="15" hidden="false" customHeight="false" outlineLevel="0" collapsed="false">
      <c r="A52" s="17" t="s">
        <v>152</v>
      </c>
      <c r="B52" s="18" t="s">
        <v>153</v>
      </c>
      <c r="C52" s="18" t="s">
        <v>154</v>
      </c>
      <c r="D52" s="19" t="n">
        <v>4644.71</v>
      </c>
      <c r="E52" s="19" t="n">
        <v>0</v>
      </c>
      <c r="F52" s="20" t="n">
        <v>0</v>
      </c>
      <c r="G52" s="21" t="n">
        <v>65.9</v>
      </c>
      <c r="H52" s="21" t="n">
        <v>0</v>
      </c>
      <c r="I52" s="22" t="n">
        <f aca="false">W$2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4914.9</v>
      </c>
      <c r="Q52" s="25" t="n">
        <f aca="false">IF(E52=0,IF((D52+N52-O52)&lt;0,ABS(D52+N52-O52),0),IF((N52-E52-O52)&lt;0,ABS(N52-E52-O52),0))</f>
        <v>0</v>
      </c>
      <c r="T52" s="26"/>
      <c r="U52" s="26"/>
      <c r="V52" s="26"/>
      <c r="W52" s="26"/>
      <c r="X52" s="26"/>
      <c r="Y52" s="26"/>
      <c r="Z52" s="26"/>
      <c r="AA52" s="26"/>
      <c r="AB52" s="26"/>
    </row>
    <row r="53" customFormat="false" ht="15" hidden="false" customHeight="false" outlineLevel="0" collapsed="false">
      <c r="A53" s="17" t="s">
        <v>155</v>
      </c>
      <c r="B53" s="18" t="s">
        <v>156</v>
      </c>
      <c r="C53" s="18" t="s">
        <v>157</v>
      </c>
      <c r="D53" s="19" t="n">
        <v>1525.2</v>
      </c>
      <c r="E53" s="19" t="n">
        <v>0</v>
      </c>
      <c r="F53" s="20" t="n">
        <v>0</v>
      </c>
      <c r="G53" s="21" t="n">
        <v>62</v>
      </c>
      <c r="H53" s="21" t="n">
        <v>0</v>
      </c>
      <c r="I53" s="22" t="n">
        <f aca="false">W$2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 t="n">
        <f aca="false">762.6+762.6</f>
        <v>1525.2</v>
      </c>
      <c r="P53" s="25" t="n">
        <f aca="false">IF(D53=0,IF((N53-E53-O53)&gt;0,(N53-E53-O53),0),IF((D53+N53-O53)&gt;0,(D53+N53-O53),0))</f>
        <v>254.2</v>
      </c>
      <c r="Q53" s="25" t="n">
        <f aca="false">IF(E53=0,IF((D53+N53-O53)&lt;0,ABS(D53+N53-O53),0),IF((N53-E53-O53)&lt;0,ABS(N53-E53-O53),0))</f>
        <v>0</v>
      </c>
      <c r="T53" s="26"/>
      <c r="U53" s="26"/>
      <c r="V53" s="26"/>
      <c r="W53" s="26"/>
      <c r="X53" s="26"/>
      <c r="Y53" s="26"/>
      <c r="Z53" s="26"/>
      <c r="AA53" s="26"/>
      <c r="AB53" s="26"/>
    </row>
    <row r="54" customFormat="false" ht="15" hidden="false" customHeight="false" outlineLevel="0" collapsed="false">
      <c r="A54" s="17" t="s">
        <v>158</v>
      </c>
      <c r="B54" s="18" t="s">
        <v>159</v>
      </c>
      <c r="C54" s="18" t="s">
        <v>160</v>
      </c>
      <c r="D54" s="19" t="n">
        <v>1000</v>
      </c>
      <c r="E54" s="19" t="n">
        <v>0</v>
      </c>
      <c r="F54" s="20" t="n">
        <v>0</v>
      </c>
      <c r="G54" s="21" t="n">
        <v>35.1</v>
      </c>
      <c r="H54" s="21"/>
      <c r="I54" s="22" t="n">
        <f aca="false">W$2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1143.91</v>
      </c>
      <c r="Q54" s="25" t="n">
        <f aca="false">IF(E54=0,IF((D54+N54-O54)&lt;0,ABS(D54+N54-O54),0),IF((N54-E54-O54)&lt;0,ABS(N54-E54-O54),0))</f>
        <v>0</v>
      </c>
      <c r="T54" s="26"/>
      <c r="U54" s="26"/>
      <c r="V54" s="26"/>
      <c r="W54" s="26"/>
      <c r="X54" s="26"/>
      <c r="Y54" s="26"/>
      <c r="Z54" s="26"/>
      <c r="AA54" s="26"/>
      <c r="AB54" s="26"/>
    </row>
    <row r="55" customFormat="false" ht="15" hidden="false" customHeight="false" outlineLevel="0" collapsed="false">
      <c r="A55" s="17" t="s">
        <v>161</v>
      </c>
      <c r="B55" s="18" t="s">
        <v>162</v>
      </c>
      <c r="C55" s="18" t="s">
        <v>163</v>
      </c>
      <c r="D55" s="19" t="n">
        <v>1015.88</v>
      </c>
      <c r="E55" s="19" t="n">
        <v>0</v>
      </c>
      <c r="F55" s="20" t="n">
        <v>0</v>
      </c>
      <c r="G55" s="21" t="n">
        <v>49.6</v>
      </c>
      <c r="H55" s="21" t="n">
        <v>0</v>
      </c>
      <c r="I55" s="22" t="n">
        <f aca="false">W$2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1219.24</v>
      </c>
      <c r="Q55" s="25" t="n">
        <f aca="false">IF(E55=0,IF((D55+N55-O55)&lt;0,ABS(D55+N55-O55),0),IF((N55-E55-O55)&lt;0,ABS(N55-E55-O55),0))</f>
        <v>0</v>
      </c>
      <c r="T55" s="26"/>
      <c r="U55" s="26"/>
      <c r="V55" s="26"/>
      <c r="W55" s="26"/>
      <c r="X55" s="26"/>
      <c r="Y55" s="26"/>
      <c r="Z55" s="26"/>
      <c r="AA55" s="26"/>
      <c r="AB55" s="26"/>
    </row>
    <row r="56" customFormat="false" ht="15" hidden="false" customHeight="false" outlineLevel="0" collapsed="false">
      <c r="A56" s="17" t="s">
        <v>164</v>
      </c>
      <c r="B56" s="18" t="s">
        <v>165</v>
      </c>
      <c r="C56" s="18" t="s">
        <v>166</v>
      </c>
      <c r="D56" s="19" t="n">
        <v>1906.79</v>
      </c>
      <c r="E56" s="19" t="n">
        <v>0</v>
      </c>
      <c r="F56" s="20" t="n">
        <v>0</v>
      </c>
      <c r="G56" s="21" t="n">
        <v>66.44</v>
      </c>
      <c r="H56" s="21" t="n">
        <v>0</v>
      </c>
      <c r="I56" s="22" t="n">
        <f aca="false">W$2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 t="n">
        <v>1907</v>
      </c>
      <c r="P56" s="25" t="n">
        <f aca="false">IF(D56=0,IF((N56-E56-O56)&gt;0,(N56-E56-O56),0),IF((D56+N56-O56)&gt;0,(D56+N56-O56),0))</f>
        <v>272.19</v>
      </c>
      <c r="Q56" s="25" t="n">
        <f aca="false">IF(E56=0,IF((D56+N56-O56)&lt;0,ABS(D56+N56-O56),0),IF((N56-E56-O56)&lt;0,ABS(N56-E56-O56),0))</f>
        <v>0</v>
      </c>
      <c r="T56" s="26"/>
      <c r="U56" s="26"/>
      <c r="V56" s="26"/>
      <c r="W56" s="26"/>
      <c r="X56" s="26"/>
      <c r="Y56" s="26"/>
      <c r="Z56" s="26"/>
      <c r="AA56" s="26"/>
      <c r="AB56" s="26"/>
    </row>
    <row r="57" customFormat="false" ht="15" hidden="false" customHeight="false" outlineLevel="0" collapsed="false">
      <c r="A57" s="17" t="s">
        <v>167</v>
      </c>
      <c r="B57" s="18" t="s">
        <v>168</v>
      </c>
      <c r="C57" s="18" t="s">
        <v>169</v>
      </c>
      <c r="D57" s="19" t="n">
        <v>1760.27</v>
      </c>
      <c r="E57" s="19" t="n">
        <v>0</v>
      </c>
      <c r="F57" s="20" t="n">
        <v>0</v>
      </c>
      <c r="G57" s="21" t="n">
        <v>62.1</v>
      </c>
      <c r="H57" s="21" t="n">
        <v>0</v>
      </c>
      <c r="I57" s="22" t="n">
        <f aca="false">W$2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2014.88</v>
      </c>
      <c r="Q57" s="25" t="n">
        <f aca="false">IF(E57=0,IF((D57+N57-O57)&lt;0,ABS(D57+N57-O57),0),IF((N57-E57-O57)&lt;0,ABS(N57-E57-O57),0))</f>
        <v>0</v>
      </c>
      <c r="T57" s="26"/>
      <c r="U57" s="26"/>
      <c r="V57" s="26"/>
      <c r="W57" s="26"/>
      <c r="X57" s="26"/>
      <c r="Y57" s="26"/>
      <c r="Z57" s="26"/>
      <c r="AA57" s="26"/>
      <c r="AB57" s="26"/>
    </row>
    <row r="58" customFormat="false" ht="15" hidden="false" customHeight="false" outlineLevel="0" collapsed="false">
      <c r="A58" s="17" t="s">
        <v>170</v>
      </c>
      <c r="B58" s="18" t="s">
        <v>171</v>
      </c>
      <c r="C58" s="18" t="s">
        <v>172</v>
      </c>
      <c r="D58" s="19" t="n">
        <v>0</v>
      </c>
      <c r="E58" s="19" t="n">
        <v>0</v>
      </c>
      <c r="F58" s="20" t="n">
        <v>0</v>
      </c>
      <c r="G58" s="21" t="n">
        <v>34.9</v>
      </c>
      <c r="H58" s="21" t="n">
        <v>0</v>
      </c>
      <c r="I58" s="22" t="n">
        <f aca="false">W$2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143.09</v>
      </c>
      <c r="Q58" s="25" t="n">
        <f aca="false">IF(E58=0,IF((D58+N58-O58)&lt;0,ABS(D58+N58-O58),0),IF((N58-E58-O58)&lt;0,ABS(N58-E58-O58),0))</f>
        <v>0</v>
      </c>
      <c r="T58" s="26"/>
      <c r="U58" s="26"/>
      <c r="V58" s="26"/>
      <c r="W58" s="26"/>
      <c r="X58" s="26"/>
      <c r="Y58" s="26"/>
      <c r="Z58" s="26"/>
      <c r="AA58" s="26"/>
      <c r="AB58" s="26"/>
    </row>
    <row r="59" customFormat="false" ht="15" hidden="false" customHeight="false" outlineLevel="0" collapsed="false">
      <c r="A59" s="17" t="s">
        <v>173</v>
      </c>
      <c r="B59" s="18" t="s">
        <v>174</v>
      </c>
      <c r="C59" s="18" t="s">
        <v>175</v>
      </c>
      <c r="D59" s="19" t="n">
        <v>1558.15</v>
      </c>
      <c r="E59" s="19" t="n">
        <v>0</v>
      </c>
      <c r="F59" s="20" t="n">
        <v>0</v>
      </c>
      <c r="G59" s="21" t="n">
        <v>49.22</v>
      </c>
      <c r="H59" s="21" t="n">
        <v>0</v>
      </c>
      <c r="I59" s="22" t="n">
        <f aca="false">W$2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1759.95</v>
      </c>
      <c r="Q59" s="25" t="n">
        <f aca="false">IF(E59=0,IF((D59+N59-O59)&lt;0,ABS(D59+N59-O59),0),IF((N59-E59-O59)&lt;0,ABS(N59-E59-O59),0))</f>
        <v>0</v>
      </c>
      <c r="T59" s="26"/>
      <c r="U59" s="26"/>
      <c r="V59" s="26"/>
      <c r="W59" s="26"/>
      <c r="X59" s="26"/>
      <c r="Y59" s="26"/>
      <c r="Z59" s="26"/>
      <c r="AA59" s="26"/>
      <c r="AB59" s="26"/>
    </row>
    <row r="60" customFormat="false" ht="15" hidden="false" customHeight="false" outlineLevel="0" collapsed="false">
      <c r="A60" s="17" t="s">
        <v>176</v>
      </c>
      <c r="B60" s="18" t="s">
        <v>177</v>
      </c>
      <c r="C60" s="18" t="s">
        <v>178</v>
      </c>
      <c r="D60" s="19" t="n">
        <v>1844.41</v>
      </c>
      <c r="E60" s="19" t="n">
        <v>0</v>
      </c>
      <c r="F60" s="20" t="n">
        <v>0</v>
      </c>
      <c r="G60" s="21" t="n">
        <v>65.5</v>
      </c>
      <c r="H60" s="21" t="n">
        <v>0</v>
      </c>
      <c r="I60" s="22" t="n">
        <f aca="false">W$2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2112.96</v>
      </c>
      <c r="Q60" s="25" t="n">
        <f aca="false">IF(E60=0,IF((D60+N60-O60)&lt;0,ABS(D60+N60-O60),0),IF((N60-E60-O60)&lt;0,ABS(N60-E60-O60),0))</f>
        <v>0</v>
      </c>
      <c r="T60" s="26"/>
      <c r="U60" s="26"/>
      <c r="V60" s="26"/>
      <c r="W60" s="26"/>
      <c r="X60" s="26"/>
      <c r="Y60" s="26"/>
      <c r="Z60" s="26"/>
      <c r="AA60" s="26"/>
      <c r="AB60" s="26"/>
    </row>
    <row r="61" customFormat="false" ht="15" hidden="false" customHeight="false" outlineLevel="0" collapsed="false">
      <c r="A61" s="17" t="s">
        <v>179</v>
      </c>
      <c r="B61" s="18" t="s">
        <v>180</v>
      </c>
      <c r="C61" s="18" t="s">
        <v>181</v>
      </c>
      <c r="D61" s="19" t="n">
        <v>0</v>
      </c>
      <c r="E61" s="19" t="n">
        <v>97.4799999999976</v>
      </c>
      <c r="F61" s="20" t="n">
        <v>0</v>
      </c>
      <c r="G61" s="21" t="n">
        <v>62.64</v>
      </c>
      <c r="H61" s="21" t="n">
        <v>0</v>
      </c>
      <c r="I61" s="22" t="n">
        <f aca="false">W$2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159.340000000002</v>
      </c>
      <c r="Q61" s="25" t="n">
        <f aca="false">IF(E61=0,IF((D61+N61-O61)&lt;0,ABS(D61+N61-O61),0),IF((N61-E61-O61)&lt;0,ABS(N61-E61-O61),0))</f>
        <v>0</v>
      </c>
      <c r="T61" s="26"/>
      <c r="U61" s="26"/>
      <c r="V61" s="26"/>
      <c r="W61" s="26"/>
      <c r="X61" s="26"/>
      <c r="Y61" s="26"/>
      <c r="Z61" s="26"/>
      <c r="AA61" s="26"/>
      <c r="AB61" s="26"/>
    </row>
    <row r="62" customFormat="false" ht="15" hidden="false" customHeight="false" outlineLevel="0" collapsed="false">
      <c r="A62" s="17" t="s">
        <v>182</v>
      </c>
      <c r="B62" s="18" t="s">
        <v>183</v>
      </c>
      <c r="C62" s="18" t="s">
        <v>184</v>
      </c>
      <c r="D62" s="19" t="n">
        <v>1561.39</v>
      </c>
      <c r="E62" s="19" t="n">
        <v>0</v>
      </c>
      <c r="F62" s="20" t="n">
        <v>0</v>
      </c>
      <c r="G62" s="21" t="n">
        <v>34.9</v>
      </c>
      <c r="H62" s="21" t="n">
        <v>0</v>
      </c>
      <c r="I62" s="22" t="n">
        <f aca="false">W$2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 t="n">
        <v>1700</v>
      </c>
      <c r="P62" s="25" t="n">
        <f aca="false">IF(D62=0,IF((N62-E62-O62)&gt;0,(N62-E62-O62),0),IF((D62+N62-O62)&gt;0,(D62+N62-O62),0))</f>
        <v>4.47999999999979</v>
      </c>
      <c r="Q62" s="25" t="n">
        <f aca="false">IF(E62=0,IF((D62+N62-O62)&lt;0,ABS(D62+N62-O62),0),IF((N62-E62-O62)&lt;0,ABS(N62-E62-O62),0))</f>
        <v>0</v>
      </c>
      <c r="T62" s="26"/>
      <c r="U62" s="26"/>
      <c r="V62" s="26"/>
      <c r="W62" s="26"/>
      <c r="X62" s="26"/>
      <c r="Y62" s="26"/>
      <c r="Z62" s="26"/>
      <c r="AA62" s="26"/>
      <c r="AB62" s="26"/>
    </row>
    <row r="63" customFormat="false" ht="15" hidden="false" customHeight="false" outlineLevel="0" collapsed="false">
      <c r="A63" s="17" t="s">
        <v>185</v>
      </c>
      <c r="B63" s="18" t="s">
        <v>186</v>
      </c>
      <c r="C63" s="18" t="s">
        <v>187</v>
      </c>
      <c r="D63" s="19" t="n">
        <v>1435.94</v>
      </c>
      <c r="E63" s="19" t="n">
        <v>0</v>
      </c>
      <c r="F63" s="20" t="n">
        <v>0</v>
      </c>
      <c r="G63" s="21" t="n">
        <v>49.79</v>
      </c>
      <c r="H63" s="21" t="n">
        <v>0</v>
      </c>
      <c r="I63" s="22" t="n">
        <f aca="false">W$2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1640.08</v>
      </c>
      <c r="Q63" s="25" t="n">
        <f aca="false">IF(E63=0,IF((D63+N63-O63)&lt;0,ABS(D63+N63-O63),0),IF((N63-E63-O63)&lt;0,ABS(N63-E63-O63),0))</f>
        <v>0</v>
      </c>
      <c r="T63" s="26"/>
      <c r="U63" s="26"/>
      <c r="V63" s="26"/>
      <c r="W63" s="26"/>
      <c r="X63" s="26"/>
      <c r="Y63" s="26"/>
      <c r="Z63" s="26"/>
      <c r="AA63" s="26"/>
      <c r="AB63" s="26"/>
    </row>
    <row r="64" customFormat="false" ht="15" hidden="false" customHeight="false" outlineLevel="0" collapsed="false">
      <c r="A64" s="17" t="s">
        <v>188</v>
      </c>
      <c r="B64" s="18" t="s">
        <v>189</v>
      </c>
      <c r="C64" s="18" t="s">
        <v>190</v>
      </c>
      <c r="D64" s="19" t="n">
        <v>751.649999999999</v>
      </c>
      <c r="E64" s="19" t="n">
        <v>0</v>
      </c>
      <c r="F64" s="20" t="n">
        <v>0</v>
      </c>
      <c r="G64" s="21" t="n">
        <v>65.2</v>
      </c>
      <c r="H64" s="21" t="n">
        <v>0</v>
      </c>
      <c r="I64" s="22" t="n">
        <f aca="false">W$2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1018.97</v>
      </c>
      <c r="Q64" s="25" t="n">
        <f aca="false">IF(E64=0,IF((D64+N64-O64)&lt;0,ABS(D64+N64-O64),0),IF((N64-E64-O64)&lt;0,ABS(N64-E64-O64),0))</f>
        <v>0</v>
      </c>
      <c r="T64" s="26"/>
      <c r="U64" s="26"/>
      <c r="V64" s="26"/>
      <c r="W64" s="26"/>
      <c r="X64" s="26"/>
      <c r="Y64" s="26"/>
      <c r="Z64" s="26"/>
      <c r="AA64" s="26"/>
      <c r="AB64" s="26"/>
    </row>
    <row r="65" customFormat="false" ht="15" hidden="false" customHeight="false" outlineLevel="0" collapsed="false">
      <c r="A65" s="17" t="s">
        <v>191</v>
      </c>
      <c r="B65" s="18" t="s">
        <v>192</v>
      </c>
      <c r="C65" s="18" t="s">
        <v>193</v>
      </c>
      <c r="D65" s="19" t="n">
        <v>909.459999999999</v>
      </c>
      <c r="E65" s="19" t="n">
        <v>0</v>
      </c>
      <c r="F65" s="20" t="n">
        <v>0</v>
      </c>
      <c r="G65" s="21" t="n">
        <v>61.88</v>
      </c>
      <c r="H65" s="21" t="n">
        <v>0</v>
      </c>
      <c r="I65" s="22" t="n">
        <f aca="false">W$2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1163.17</v>
      </c>
      <c r="Q65" s="25" t="n">
        <f aca="false">IF(E65=0,IF((D65+N65-O65)&lt;0,ABS(D65+N65-O65),0),IF((N65-E65-O65)&lt;0,ABS(N65-E65-O65),0))</f>
        <v>0</v>
      </c>
      <c r="T65" s="26"/>
      <c r="U65" s="26"/>
      <c r="V65" s="26"/>
      <c r="W65" s="26"/>
      <c r="X65" s="26"/>
      <c r="Y65" s="26"/>
      <c r="Z65" s="26"/>
      <c r="AA65" s="26"/>
      <c r="AB65" s="26"/>
    </row>
    <row r="66" customFormat="false" ht="15" hidden="false" customHeight="false" outlineLevel="0" collapsed="false">
      <c r="A66" s="17" t="s">
        <v>194</v>
      </c>
      <c r="B66" s="18" t="s">
        <v>195</v>
      </c>
      <c r="C66" s="18" t="s">
        <v>196</v>
      </c>
      <c r="D66" s="19" t="n">
        <v>2617.91</v>
      </c>
      <c r="E66" s="19" t="n">
        <v>0</v>
      </c>
      <c r="F66" s="20" t="n">
        <v>0</v>
      </c>
      <c r="G66" s="21" t="n">
        <v>35</v>
      </c>
      <c r="H66" s="21" t="n">
        <v>0</v>
      </c>
      <c r="I66" s="22" t="n">
        <f aca="false">W$2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2761.41</v>
      </c>
      <c r="Q66" s="25" t="n">
        <f aca="false">IF(E66=0,IF((D66+N66-O66)&lt;0,ABS(D66+N66-O66),0),IF((N66-E66-O66)&lt;0,ABS(N66-E66-O66),0))</f>
        <v>0</v>
      </c>
      <c r="T66" s="26"/>
      <c r="U66" s="26"/>
      <c r="V66" s="26"/>
      <c r="W66" s="26"/>
      <c r="X66" s="26"/>
      <c r="Y66" s="26"/>
      <c r="Z66" s="26"/>
      <c r="AA66" s="26"/>
      <c r="AB66" s="26"/>
    </row>
    <row r="67" customFormat="false" ht="15" hidden="false" customHeight="false" outlineLevel="0" collapsed="false">
      <c r="A67" s="17" t="s">
        <v>197</v>
      </c>
      <c r="B67" s="18" t="s">
        <v>198</v>
      </c>
      <c r="C67" s="18" t="s">
        <v>199</v>
      </c>
      <c r="D67" s="19" t="n">
        <v>0</v>
      </c>
      <c r="E67" s="19" t="n">
        <v>478.63</v>
      </c>
      <c r="F67" s="20" t="n">
        <v>0</v>
      </c>
      <c r="G67" s="21" t="n">
        <v>49.3</v>
      </c>
      <c r="H67" s="21" t="n">
        <v>0</v>
      </c>
      <c r="I67" s="22" t="n">
        <f aca="false">W$2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300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576.5</v>
      </c>
      <c r="T67" s="26"/>
      <c r="U67" s="26"/>
      <c r="V67" s="26"/>
      <c r="W67" s="26"/>
      <c r="X67" s="26"/>
      <c r="Y67" s="26"/>
      <c r="Z67" s="26"/>
      <c r="AA67" s="26"/>
      <c r="AB67" s="26"/>
    </row>
    <row r="68" customFormat="false" ht="15" hidden="false" customHeight="false" outlineLevel="0" collapsed="false">
      <c r="A68" s="17" t="s">
        <v>200</v>
      </c>
      <c r="B68" s="18" t="s">
        <v>201</v>
      </c>
      <c r="C68" s="18" t="s">
        <v>202</v>
      </c>
      <c r="D68" s="19" t="n">
        <v>1690.78</v>
      </c>
      <c r="E68" s="19" t="n">
        <v>0</v>
      </c>
      <c r="F68" s="20" t="n">
        <v>0</v>
      </c>
      <c r="G68" s="21" t="n">
        <v>66.6</v>
      </c>
      <c r="H68" s="21" t="n">
        <v>0</v>
      </c>
      <c r="I68" s="22" t="n">
        <f aca="false">W$2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1963.84</v>
      </c>
      <c r="Q68" s="25" t="n">
        <f aca="false">IF(E68=0,IF((D68+N68-O68)&lt;0,ABS(D68+N68-O68),0),IF((N68-E68-O68)&lt;0,ABS(N68-E68-O68),0))</f>
        <v>0</v>
      </c>
      <c r="T68" s="26"/>
      <c r="U68" s="26"/>
      <c r="V68" s="26"/>
      <c r="W68" s="26"/>
      <c r="X68" s="26"/>
      <c r="Y68" s="26"/>
      <c r="Z68" s="26"/>
      <c r="AA68" s="26"/>
      <c r="AB68" s="26"/>
    </row>
    <row r="69" customFormat="false" ht="15" hidden="false" customHeight="false" outlineLevel="0" collapsed="false">
      <c r="A69" s="17" t="s">
        <v>203</v>
      </c>
      <c r="B69" s="18" t="s">
        <v>204</v>
      </c>
      <c r="C69" s="18" t="s">
        <v>205</v>
      </c>
      <c r="D69" s="19" t="n">
        <v>3270.68</v>
      </c>
      <c r="E69" s="19" t="n">
        <v>0</v>
      </c>
      <c r="F69" s="20" t="n">
        <v>0</v>
      </c>
      <c r="G69" s="21" t="n">
        <v>61.88</v>
      </c>
      <c r="H69" s="21" t="n">
        <v>0</v>
      </c>
      <c r="I69" s="22" t="n">
        <f aca="false">W$2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3524.39</v>
      </c>
      <c r="Q69" s="25" t="n">
        <f aca="false">IF(E69=0,IF((D69+N69-O69)&lt;0,ABS(D69+N69-O69),0),IF((N69-E69-O69)&lt;0,ABS(N69-E69-O69),0))</f>
        <v>0</v>
      </c>
      <c r="T69" s="26"/>
      <c r="U69" s="26"/>
      <c r="V69" s="26"/>
      <c r="W69" s="26"/>
      <c r="X69" s="26"/>
      <c r="Y69" s="26"/>
      <c r="Z69" s="26"/>
      <c r="AA69" s="26"/>
      <c r="AB69" s="26"/>
    </row>
    <row r="70" customFormat="false" ht="15" hidden="false" customHeight="false" outlineLevel="0" collapsed="false">
      <c r="A70" s="17" t="s">
        <v>206</v>
      </c>
      <c r="B70" s="18" t="s">
        <v>207</v>
      </c>
      <c r="C70" s="18" t="s">
        <v>208</v>
      </c>
      <c r="D70" s="19" t="n">
        <v>847.08</v>
      </c>
      <c r="E70" s="19" t="n">
        <v>0</v>
      </c>
      <c r="F70" s="20" t="n">
        <v>0</v>
      </c>
      <c r="G70" s="21" t="n">
        <v>34.96</v>
      </c>
      <c r="H70" s="21" t="n">
        <v>0</v>
      </c>
      <c r="I70" s="22" t="n">
        <f aca="false">W$2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990.42</v>
      </c>
      <c r="Q70" s="25" t="n">
        <f aca="false">IF(E70=0,IF((D70+N70-O70)&lt;0,ABS(D70+N70-O70),0),IF((N70-E70-O70)&lt;0,ABS(N70-E70-O70),0))</f>
        <v>0</v>
      </c>
      <c r="T70" s="26"/>
      <c r="U70" s="26"/>
      <c r="V70" s="26"/>
      <c r="W70" s="26"/>
      <c r="X70" s="26"/>
      <c r="Y70" s="26"/>
      <c r="Z70" s="26"/>
      <c r="AA70" s="26"/>
      <c r="AB70" s="26"/>
    </row>
    <row r="71" customFormat="false" ht="15" hidden="false" customHeight="false" outlineLevel="0" collapsed="false">
      <c r="A71" s="17" t="s">
        <v>209</v>
      </c>
      <c r="B71" s="18" t="s">
        <v>210</v>
      </c>
      <c r="C71" s="18" t="s">
        <v>211</v>
      </c>
      <c r="D71" s="19" t="n">
        <v>988</v>
      </c>
      <c r="E71" s="19" t="n">
        <v>0</v>
      </c>
      <c r="F71" s="20" t="n">
        <v>0</v>
      </c>
      <c r="G71" s="21" t="n">
        <v>50.03</v>
      </c>
      <c r="H71" s="21" t="n">
        <v>0</v>
      </c>
      <c r="I71" s="22" t="n">
        <f aca="false">W$2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1193.12</v>
      </c>
      <c r="Q71" s="25" t="n">
        <f aca="false">IF(E71=0,IF((D71+N71-O71)&lt;0,ABS(D71+N71-O71),0),IF((N71-E71-O71)&lt;0,ABS(N71-E71-O71),0))</f>
        <v>0</v>
      </c>
      <c r="T71" s="26"/>
      <c r="U71" s="26"/>
      <c r="V71" s="26"/>
      <c r="W71" s="26"/>
      <c r="X71" s="26"/>
      <c r="Y71" s="26"/>
      <c r="Z71" s="26"/>
      <c r="AA71" s="26"/>
      <c r="AB71" s="26"/>
    </row>
    <row r="72" customFormat="false" ht="15" hidden="false" customHeight="false" outlineLevel="0" collapsed="false">
      <c r="A72" s="17" t="s">
        <v>212</v>
      </c>
      <c r="B72" s="18" t="s">
        <v>213</v>
      </c>
      <c r="C72" s="18" t="s">
        <v>214</v>
      </c>
      <c r="D72" s="19" t="n">
        <v>2908.65</v>
      </c>
      <c r="E72" s="19" t="n">
        <v>0</v>
      </c>
      <c r="F72" s="20" t="n">
        <v>0</v>
      </c>
      <c r="G72" s="21" t="n">
        <v>65.15</v>
      </c>
      <c r="H72" s="21" t="n">
        <v>0</v>
      </c>
      <c r="I72" s="22" t="n">
        <f aca="false">W$2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3175.77</v>
      </c>
      <c r="Q72" s="25" t="n">
        <f aca="false">IF(E72=0,IF((D72+N72-O72)&lt;0,ABS(D72+N72-O72),0),IF((N72-E72-O72)&lt;0,ABS(N72-E72-O72),0))</f>
        <v>0</v>
      </c>
      <c r="T72" s="26"/>
      <c r="U72" s="26"/>
      <c r="V72" s="26"/>
      <c r="W72" s="26"/>
      <c r="X72" s="26"/>
      <c r="Y72" s="26"/>
      <c r="Z72" s="26"/>
      <c r="AA72" s="26"/>
      <c r="AB72" s="26"/>
    </row>
    <row r="73" customFormat="false" ht="15" hidden="false" customHeight="false" outlineLevel="0" collapsed="false">
      <c r="A73" s="17" t="s">
        <v>215</v>
      </c>
      <c r="B73" s="18" t="s">
        <v>216</v>
      </c>
      <c r="C73" s="18" t="s">
        <v>217</v>
      </c>
      <c r="D73" s="19" t="n">
        <v>0</v>
      </c>
      <c r="E73" s="19" t="n">
        <v>11.3100000000002</v>
      </c>
      <c r="F73" s="20" t="n">
        <v>0</v>
      </c>
      <c r="G73" s="21" t="n">
        <v>63.41</v>
      </c>
      <c r="H73" s="21" t="n">
        <v>0</v>
      </c>
      <c r="I73" s="22" t="n">
        <f aca="false">W$2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/>
      <c r="P73" s="25" t="n">
        <f aca="false">IF(D73=0,IF((N73-E73-O73)&gt;0,(N73-E73-O73),0),IF((D73+N73-O73)&gt;0,(D73+N73-O73),0))</f>
        <v>248.67</v>
      </c>
      <c r="Q73" s="25" t="n">
        <f aca="false">IF(E73=0,IF((D73+N73-O73)&lt;0,ABS(D73+N73-O73),0),IF((N73-E73-O73)&lt;0,ABS(N73-E73-O73),0))</f>
        <v>0</v>
      </c>
      <c r="T73" s="26"/>
      <c r="U73" s="26"/>
      <c r="V73" s="26"/>
      <c r="W73" s="26"/>
      <c r="X73" s="26"/>
      <c r="Y73" s="26"/>
      <c r="Z73" s="26"/>
      <c r="AA73" s="26"/>
      <c r="AB73" s="26"/>
    </row>
    <row r="74" customFormat="false" ht="15" hidden="false" customHeight="false" outlineLevel="0" collapsed="false">
      <c r="A74" s="17" t="s">
        <v>218</v>
      </c>
      <c r="B74" s="18" t="s">
        <v>219</v>
      </c>
      <c r="C74" s="18" t="s">
        <v>220</v>
      </c>
      <c r="D74" s="19" t="n">
        <v>1373.99</v>
      </c>
      <c r="E74" s="19" t="n">
        <v>0</v>
      </c>
      <c r="F74" s="20" t="n">
        <v>0</v>
      </c>
      <c r="G74" s="21" t="n">
        <v>35.19</v>
      </c>
      <c r="H74" s="21"/>
      <c r="I74" s="22" t="n">
        <f aca="false">W$2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1518.27</v>
      </c>
      <c r="Q74" s="25" t="n">
        <f aca="false">IF(E74=0,IF((D74+N74-O74)&lt;0,ABS(D74+N74-O74),0),IF((N74-E74-O74)&lt;0,ABS(N74-E74-O74),0))</f>
        <v>0</v>
      </c>
      <c r="T74" s="26"/>
      <c r="U74" s="26"/>
      <c r="V74" s="26"/>
      <c r="W74" s="26"/>
      <c r="X74" s="26"/>
      <c r="Y74" s="26"/>
      <c r="Z74" s="26"/>
      <c r="AA74" s="26"/>
      <c r="AB74" s="26"/>
    </row>
    <row r="75" customFormat="false" ht="15" hidden="false" customHeight="false" outlineLevel="0" collapsed="false">
      <c r="A75" s="17" t="s">
        <v>221</v>
      </c>
      <c r="B75" s="18" t="s">
        <v>222</v>
      </c>
      <c r="C75" s="18" t="s">
        <v>223</v>
      </c>
      <c r="D75" s="19" t="n">
        <v>2517.27</v>
      </c>
      <c r="E75" s="19" t="n">
        <v>0</v>
      </c>
      <c r="F75" s="20" t="n">
        <v>0</v>
      </c>
      <c r="G75" s="21" t="n">
        <v>49.89</v>
      </c>
      <c r="H75" s="21" t="n">
        <v>0</v>
      </c>
      <c r="I75" s="22" t="n">
        <f aca="false">W$2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2721.82</v>
      </c>
      <c r="Q75" s="25" t="n">
        <f aca="false">IF(E75=0,IF((D75+N75-O75)&lt;0,ABS(D75+N75-O75),0),IF((N75-E75-O75)&lt;0,ABS(N75-E75-O75),0))</f>
        <v>0</v>
      </c>
      <c r="T75" s="26"/>
      <c r="U75" s="26"/>
      <c r="V75" s="26"/>
      <c r="W75" s="26"/>
      <c r="X75" s="26"/>
      <c r="Y75" s="26"/>
      <c r="Z75" s="26"/>
      <c r="AA75" s="26"/>
      <c r="AB75" s="26"/>
    </row>
    <row r="76" customFormat="false" ht="15" hidden="false" customHeight="false" outlineLevel="0" collapsed="false">
      <c r="A76" s="17" t="s">
        <v>224</v>
      </c>
      <c r="B76" s="18" t="s">
        <v>225</v>
      </c>
      <c r="C76" s="18" t="s">
        <v>226</v>
      </c>
      <c r="D76" s="19" t="n">
        <v>240.02</v>
      </c>
      <c r="E76" s="19" t="n">
        <v>0</v>
      </c>
      <c r="F76" s="20" t="n">
        <v>0</v>
      </c>
      <c r="G76" s="21" t="n">
        <v>65.03</v>
      </c>
      <c r="H76" s="21" t="n">
        <v>0</v>
      </c>
      <c r="I76" s="22" t="n">
        <f aca="false">W$2</f>
        <v>4.1</v>
      </c>
      <c r="J76" s="23" t="n">
        <f aca="false">ROUND(G76*I76,2)</f>
        <v>266.62</v>
      </c>
      <c r="K76" s="19"/>
      <c r="L76" s="19" t="n">
        <v>266.62</v>
      </c>
      <c r="M76" s="19"/>
      <c r="N76" s="19" t="n">
        <f aca="false">ROUND((G76*I76)-K76-L76-M76,2)</f>
        <v>0</v>
      </c>
      <c r="O76" s="19"/>
      <c r="P76" s="25" t="n">
        <f aca="false">IF(D76=0,IF((N76-E76-O76)&gt;0,(N76-E76-O76),0),IF((D76+N76-O76)&gt;0,(D76+N76-O76),0))</f>
        <v>240.02</v>
      </c>
      <c r="Q76" s="25" t="n">
        <f aca="false">IF(E76=0,IF((D76+N76-O76)&lt;0,ABS(D76+N76-O76),0),IF((N76-E76-O76)&lt;0,ABS(N76-E76-O76),0))</f>
        <v>0</v>
      </c>
      <c r="T76" s="26"/>
      <c r="U76" s="26"/>
      <c r="V76" s="26"/>
      <c r="W76" s="26"/>
      <c r="X76" s="26"/>
      <c r="Y76" s="26"/>
      <c r="Z76" s="26"/>
      <c r="AA76" s="26"/>
      <c r="AB76" s="26"/>
    </row>
    <row r="77" customFormat="false" ht="15" hidden="false" customHeight="false" outlineLevel="0" collapsed="false">
      <c r="A77" s="17" t="s">
        <v>227</v>
      </c>
      <c r="B77" s="18" t="s">
        <v>228</v>
      </c>
      <c r="C77" s="18" t="s">
        <v>229</v>
      </c>
      <c r="D77" s="19" t="n">
        <v>0</v>
      </c>
      <c r="E77" s="19" t="n">
        <v>43.3899999999999</v>
      </c>
      <c r="F77" s="20" t="n">
        <v>0</v>
      </c>
      <c r="G77" s="21" t="n">
        <v>62.11</v>
      </c>
      <c r="H77" s="21" t="n">
        <v>0</v>
      </c>
      <c r="I77" s="22" t="n">
        <f aca="false">W$2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211.26</v>
      </c>
      <c r="Q77" s="25" t="n">
        <f aca="false">IF(E77=0,IF((D77+N77-O77)&lt;0,ABS(D77+N77-O77),0),IF((N77-E77-O77)&lt;0,ABS(N77-E77-O77),0))</f>
        <v>0</v>
      </c>
      <c r="T77" s="26"/>
      <c r="U77" s="26"/>
      <c r="V77" s="26"/>
      <c r="W77" s="26"/>
      <c r="X77" s="26"/>
      <c r="Y77" s="26"/>
      <c r="Z77" s="26"/>
      <c r="AA77" s="26"/>
      <c r="AB77" s="26"/>
    </row>
    <row r="78" customFormat="false" ht="15" hidden="false" customHeight="false" outlineLevel="0" collapsed="false">
      <c r="A78" s="17" t="s">
        <v>230</v>
      </c>
      <c r="B78" s="18" t="s">
        <v>231</v>
      </c>
      <c r="C78" s="18" t="s">
        <v>232</v>
      </c>
      <c r="D78" s="19" t="n">
        <v>1614.75</v>
      </c>
      <c r="E78" s="19" t="n">
        <v>0</v>
      </c>
      <c r="F78" s="20" t="n">
        <v>0</v>
      </c>
      <c r="G78" s="21" t="n">
        <v>34.9</v>
      </c>
      <c r="H78" s="21" t="n">
        <v>0</v>
      </c>
      <c r="I78" s="22" t="n">
        <f aca="false">W$2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1757.84</v>
      </c>
      <c r="Q78" s="25" t="n">
        <f aca="false">IF(E78=0,IF((D78+N78-O78)&lt;0,ABS(D78+N78-O78),0),IF((N78-E78-O78)&lt;0,ABS(N78-E78-O78),0))</f>
        <v>0</v>
      </c>
      <c r="T78" s="26"/>
      <c r="U78" s="26"/>
      <c r="V78" s="26"/>
      <c r="W78" s="26"/>
      <c r="X78" s="26"/>
      <c r="Y78" s="26"/>
      <c r="Z78" s="26"/>
      <c r="AA78" s="26"/>
      <c r="AB78" s="26"/>
    </row>
    <row r="79" customFormat="false" ht="15" hidden="false" customHeight="false" outlineLevel="0" collapsed="false">
      <c r="A79" s="17" t="s">
        <v>233</v>
      </c>
      <c r="B79" s="18" t="s">
        <v>234</v>
      </c>
      <c r="C79" s="18" t="s">
        <v>235</v>
      </c>
      <c r="D79" s="19" t="n">
        <v>440.18</v>
      </c>
      <c r="E79" s="19" t="n">
        <v>0</v>
      </c>
      <c r="F79" s="20" t="n">
        <v>0</v>
      </c>
      <c r="G79" s="21" t="n">
        <v>49.2</v>
      </c>
      <c r="H79" s="21" t="n">
        <v>0</v>
      </c>
      <c r="I79" s="22" t="n">
        <f aca="false">W$2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641.9</v>
      </c>
      <c r="Q79" s="25" t="n">
        <f aca="false">IF(E79=0,IF((D79+N79-O79)&lt;0,ABS(D79+N79-O79),0),IF((N79-E79-O79)&lt;0,ABS(N79-E79-O79),0))</f>
        <v>0</v>
      </c>
      <c r="T79" s="26"/>
      <c r="U79" s="26"/>
      <c r="V79" s="26"/>
      <c r="W79" s="26"/>
      <c r="X79" s="26"/>
      <c r="Y79" s="26"/>
      <c r="Z79" s="26"/>
      <c r="AA79" s="26"/>
      <c r="AB79" s="26"/>
    </row>
    <row r="80" customFormat="false" ht="15" hidden="false" customHeight="false" outlineLevel="0" collapsed="false">
      <c r="A80" s="17" t="s">
        <v>236</v>
      </c>
      <c r="B80" s="18" t="s">
        <v>237</v>
      </c>
      <c r="C80" s="18" t="s">
        <v>238</v>
      </c>
      <c r="D80" s="19" t="n">
        <v>1676.47</v>
      </c>
      <c r="E80" s="19" t="n">
        <v>0</v>
      </c>
      <c r="F80" s="20" t="n">
        <v>0</v>
      </c>
      <c r="G80" s="21" t="n">
        <v>65.43</v>
      </c>
      <c r="H80" s="21" t="n">
        <v>0</v>
      </c>
      <c r="I80" s="22" t="n">
        <f aca="false">W$2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1944.73</v>
      </c>
      <c r="Q80" s="25" t="n">
        <f aca="false">IF(E80=0,IF((D80+N80-O80)&lt;0,ABS(D80+N80-O80),0),IF((N80-E80-O80)&lt;0,ABS(N80-E80-O80),0))</f>
        <v>0</v>
      </c>
      <c r="T80" s="26"/>
      <c r="U80" s="26"/>
      <c r="V80" s="26"/>
      <c r="W80" s="26"/>
      <c r="X80" s="26"/>
      <c r="Y80" s="26"/>
      <c r="Z80" s="26"/>
      <c r="AA80" s="26"/>
      <c r="AB80" s="26"/>
    </row>
    <row r="81" customFormat="false" ht="15" hidden="false" customHeight="false" outlineLevel="0" collapsed="false">
      <c r="A81" s="17" t="s">
        <v>239</v>
      </c>
      <c r="B81" s="18" t="s">
        <v>240</v>
      </c>
      <c r="C81" s="18" t="s">
        <v>241</v>
      </c>
      <c r="D81" s="19" t="n">
        <v>2652.1</v>
      </c>
      <c r="E81" s="19" t="n">
        <v>0</v>
      </c>
      <c r="F81" s="20" t="n">
        <v>0</v>
      </c>
      <c r="G81" s="21" t="n">
        <v>64.5</v>
      </c>
      <c r="H81" s="21" t="n">
        <v>0</v>
      </c>
      <c r="I81" s="22" t="n">
        <f aca="false">W$2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2916.55</v>
      </c>
      <c r="Q81" s="25" t="n">
        <f aca="false">IF(E81=0,IF((D81+N81-O81)&lt;0,ABS(D81+N81-O81),0),IF((N81-E81-O81)&lt;0,ABS(N81-E81-O81),0))</f>
        <v>0</v>
      </c>
      <c r="T81" s="26"/>
      <c r="U81" s="26"/>
      <c r="V81" s="26"/>
      <c r="W81" s="26"/>
      <c r="X81" s="26"/>
      <c r="Y81" s="26"/>
      <c r="Z81" s="26"/>
      <c r="AA81" s="26"/>
      <c r="AB81" s="26"/>
    </row>
    <row r="82" customFormat="false" ht="15" hidden="false" customHeight="false" outlineLevel="0" collapsed="false">
      <c r="A82" s="17" t="s">
        <v>242</v>
      </c>
      <c r="B82" s="18" t="s">
        <v>243</v>
      </c>
      <c r="C82" s="18" t="s">
        <v>244</v>
      </c>
      <c r="D82" s="19" t="n">
        <v>1068.11</v>
      </c>
      <c r="E82" s="19" t="n">
        <v>0</v>
      </c>
      <c r="F82" s="20" t="n">
        <v>0</v>
      </c>
      <c r="G82" s="21" t="n">
        <v>50.8</v>
      </c>
      <c r="H82" s="21" t="n">
        <v>0</v>
      </c>
      <c r="I82" s="22" t="n">
        <f aca="false">W$2</f>
        <v>4.1</v>
      </c>
      <c r="J82" s="23" t="n">
        <f aca="false">ROUND(G82*I82,2)</f>
        <v>208.28</v>
      </c>
      <c r="K82" s="19"/>
      <c r="L82" s="19" t="n">
        <v>208.28</v>
      </c>
      <c r="M82" s="19"/>
      <c r="N82" s="19" t="n">
        <f aca="false">ROUND((G82*I82)-K82-L82-M82,2)</f>
        <v>0</v>
      </c>
      <c r="O82" s="19"/>
      <c r="P82" s="25" t="n">
        <f aca="false">IF(D82=0,IF((N82-E82-O82)&gt;0,(N82-E82-O82),0),IF((D82+N82-O82)&gt;0,(D82+N82-O82),0))</f>
        <v>1068.11</v>
      </c>
      <c r="Q82" s="25" t="n">
        <f aca="false">IF(E82=0,IF((D82+N82-O82)&lt;0,ABS(D82+N82-O82),0),IF((N82-E82-O82)&lt;0,ABS(N82-E82-O82),0))</f>
        <v>0</v>
      </c>
      <c r="T82" s="26"/>
      <c r="U82" s="26"/>
      <c r="V82" s="26"/>
      <c r="W82" s="26"/>
      <c r="X82" s="26"/>
      <c r="Y82" s="26"/>
      <c r="Z82" s="26"/>
      <c r="AA82" s="26"/>
      <c r="AB82" s="26"/>
    </row>
    <row r="83" customFormat="false" ht="15" hidden="false" customHeight="false" outlineLevel="0" collapsed="false">
      <c r="A83" s="17" t="s">
        <v>245</v>
      </c>
      <c r="B83" s="18" t="s">
        <v>246</v>
      </c>
      <c r="C83" s="18" t="s">
        <v>247</v>
      </c>
      <c r="D83" s="19" t="n">
        <v>1466.27</v>
      </c>
      <c r="E83" s="19" t="n">
        <v>0</v>
      </c>
      <c r="F83" s="20" t="n">
        <v>0</v>
      </c>
      <c r="G83" s="21" t="n">
        <v>34.9</v>
      </c>
      <c r="H83" s="21" t="n">
        <v>0</v>
      </c>
      <c r="I83" s="22" t="n">
        <f aca="false">W$2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1609.36</v>
      </c>
      <c r="Q83" s="25" t="n">
        <f aca="false">IF(E83=0,IF((D83+N83-O83)&lt;0,ABS(D83+N83-O83),0),IF((N83-E83-O83)&lt;0,ABS(N83-E83-O83),0))</f>
        <v>0</v>
      </c>
      <c r="T83" s="26"/>
      <c r="U83" s="26"/>
      <c r="V83" s="26"/>
      <c r="W83" s="26"/>
      <c r="X83" s="26"/>
      <c r="Y83" s="26"/>
      <c r="Z83" s="26"/>
      <c r="AA83" s="26"/>
      <c r="AB83" s="26"/>
    </row>
    <row r="84" customFormat="false" ht="15" hidden="false" customHeight="false" outlineLevel="0" collapsed="false">
      <c r="A84" s="17" t="s">
        <v>248</v>
      </c>
      <c r="B84" s="18" t="s">
        <v>249</v>
      </c>
      <c r="C84" s="18" t="s">
        <v>250</v>
      </c>
      <c r="D84" s="19" t="n">
        <v>1697.58</v>
      </c>
      <c r="E84" s="19" t="n">
        <v>0</v>
      </c>
      <c r="F84" s="20" t="n">
        <v>0</v>
      </c>
      <c r="G84" s="21" t="n">
        <v>61</v>
      </c>
      <c r="H84" s="21" t="n">
        <v>0</v>
      </c>
      <c r="I84" s="22" t="n">
        <f aca="false">W$2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1947.68</v>
      </c>
      <c r="Q84" s="25" t="n">
        <f aca="false">IF(E84=0,IF((D84+N84-O84)&lt;0,ABS(D84+N84-O84),0),IF((N84-E84-O84)&lt;0,ABS(N84-E84-O84),0))</f>
        <v>0</v>
      </c>
      <c r="T84" s="26"/>
      <c r="U84" s="26"/>
      <c r="V84" s="26"/>
      <c r="W84" s="26"/>
      <c r="X84" s="26"/>
      <c r="Y84" s="26"/>
      <c r="Z84" s="26"/>
      <c r="AA84" s="26"/>
      <c r="AB84" s="26"/>
    </row>
    <row r="85" customFormat="false" ht="15" hidden="false" customHeight="false" outlineLevel="0" collapsed="false">
      <c r="A85" s="17" t="s">
        <v>251</v>
      </c>
      <c r="B85" s="18" t="s">
        <v>252</v>
      </c>
      <c r="C85" s="18" t="s">
        <v>253</v>
      </c>
      <c r="D85" s="19" t="n">
        <v>1579.45</v>
      </c>
      <c r="E85" s="19" t="n">
        <v>0</v>
      </c>
      <c r="F85" s="20" t="n">
        <v>0</v>
      </c>
      <c r="G85" s="21" t="n">
        <v>64.5</v>
      </c>
      <c r="H85" s="21" t="n">
        <v>0</v>
      </c>
      <c r="I85" s="22" t="n">
        <f aca="false">W$2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1843.9</v>
      </c>
      <c r="Q85" s="25" t="n">
        <f aca="false">IF(E85=0,IF((D85+N85-O85)&lt;0,ABS(D85+N85-O85),0),IF((N85-E85-O85)&lt;0,ABS(N85-E85-O85),0))</f>
        <v>0</v>
      </c>
      <c r="T85" s="26"/>
      <c r="U85" s="26"/>
      <c r="V85" s="26"/>
      <c r="W85" s="26"/>
      <c r="X85" s="26"/>
      <c r="Y85" s="26"/>
      <c r="Z85" s="26"/>
      <c r="AA85" s="26"/>
      <c r="AB85" s="26"/>
    </row>
    <row r="86" customFormat="false" ht="15" hidden="false" customHeight="false" outlineLevel="0" collapsed="false">
      <c r="A86" s="17" t="s">
        <v>254</v>
      </c>
      <c r="B86" s="18" t="s">
        <v>255</v>
      </c>
      <c r="C86" s="18" t="s">
        <v>256</v>
      </c>
      <c r="D86" s="19" t="n">
        <v>383.83</v>
      </c>
      <c r="E86" s="19" t="n">
        <v>0</v>
      </c>
      <c r="F86" s="20" t="n">
        <v>0</v>
      </c>
      <c r="G86" s="21" t="n">
        <v>49.3</v>
      </c>
      <c r="H86" s="21" t="n">
        <v>0</v>
      </c>
      <c r="I86" s="22" t="n">
        <f aca="false">W$2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 t="n">
        <v>210</v>
      </c>
      <c r="P86" s="25" t="n">
        <f aca="false">IF(D86=0,IF((N86-E86-O86)&gt;0,(N86-E86-O86),0),IF((D86+N86-O86)&gt;0,(D86+N86-O86),0))</f>
        <v>375.96</v>
      </c>
      <c r="Q86" s="25" t="n">
        <f aca="false">IF(E86=0,IF((D86+N86-O86)&lt;0,ABS(D86+N86-O86),0),IF((N86-E86-O86)&lt;0,ABS(N86-E86-O86),0))</f>
        <v>0</v>
      </c>
      <c r="T86" s="26"/>
      <c r="U86" s="26"/>
      <c r="V86" s="26"/>
      <c r="W86" s="26"/>
      <c r="X86" s="26"/>
      <c r="Y86" s="26"/>
      <c r="Z86" s="26"/>
      <c r="AA86" s="26"/>
      <c r="AB86" s="26"/>
    </row>
    <row r="87" customFormat="false" ht="15" hidden="false" customHeight="false" outlineLevel="0" collapsed="false">
      <c r="A87" s="17" t="s">
        <v>257</v>
      </c>
      <c r="B87" s="18" t="s">
        <v>258</v>
      </c>
      <c r="C87" s="18" t="s">
        <v>259</v>
      </c>
      <c r="D87" s="19" t="n">
        <v>559.4</v>
      </c>
      <c r="E87" s="19" t="n">
        <v>0</v>
      </c>
      <c r="F87" s="20" t="n">
        <v>0</v>
      </c>
      <c r="G87" s="21" t="n">
        <v>35</v>
      </c>
      <c r="H87" s="21" t="n">
        <v>0</v>
      </c>
      <c r="I87" s="22" t="n">
        <f aca="false">W$2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/>
      <c r="P87" s="25" t="n">
        <f aca="false">IF(D87=0,IF((N87-E87-O87)&gt;0,(N87-E87-O87),0),IF((D87+N87-O87)&gt;0,(D87+N87-O87),0))</f>
        <v>702.9</v>
      </c>
      <c r="Q87" s="25" t="n">
        <f aca="false">IF(E87=0,IF((D87+N87-O87)&lt;0,ABS(D87+N87-O87),0),IF((N87-E87-O87)&lt;0,ABS(N87-E87-O87),0))</f>
        <v>0</v>
      </c>
      <c r="T87" s="26"/>
      <c r="U87" s="26"/>
      <c r="V87" s="26"/>
      <c r="W87" s="26"/>
      <c r="X87" s="26"/>
      <c r="Y87" s="26"/>
      <c r="Z87" s="26"/>
      <c r="AA87" s="26"/>
      <c r="AB87" s="26"/>
    </row>
    <row r="88" customFormat="false" ht="15" hidden="false" customHeight="false" outlineLevel="0" collapsed="false">
      <c r="A88" s="17" t="s">
        <v>260</v>
      </c>
      <c r="B88" s="18" t="s">
        <v>261</v>
      </c>
      <c r="C88" s="18" t="s">
        <v>262</v>
      </c>
      <c r="D88" s="19" t="n">
        <v>261.45</v>
      </c>
      <c r="E88" s="19" t="n">
        <v>0</v>
      </c>
      <c r="F88" s="20" t="n">
        <v>0</v>
      </c>
      <c r="G88" s="21" t="n">
        <v>61.8</v>
      </c>
      <c r="H88" s="21" t="n">
        <v>0</v>
      </c>
      <c r="I88" s="22" t="n">
        <f aca="false">W$2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 t="n">
        <v>265</v>
      </c>
      <c r="P88" s="25" t="n">
        <f aca="false">IF(D88=0,IF((N88-E88-O88)&gt;0,(N88-E88-O88),0),IF((D88+N88-O88)&gt;0,(D88+N88-O88),0))</f>
        <v>249.83</v>
      </c>
      <c r="Q88" s="25" t="n">
        <f aca="false">IF(E88=0,IF((D88+N88-O88)&lt;0,ABS(D88+N88-O88),0),IF((N88-E88-O88)&lt;0,ABS(N88-E88-O88),0))</f>
        <v>0</v>
      </c>
      <c r="T88" s="26"/>
      <c r="U88" s="26"/>
      <c r="V88" s="26"/>
      <c r="W88" s="26"/>
      <c r="X88" s="26"/>
      <c r="Y88" s="26"/>
      <c r="Z88" s="26"/>
      <c r="AA88" s="26"/>
      <c r="AB88" s="26"/>
    </row>
    <row r="89" customFormat="false" ht="15" hidden="false" customHeight="false" outlineLevel="0" collapsed="false">
      <c r="A89" s="17" t="s">
        <v>263</v>
      </c>
      <c r="B89" s="18" t="s">
        <v>264</v>
      </c>
      <c r="C89" s="18" t="s">
        <v>265</v>
      </c>
      <c r="D89" s="19" t="n">
        <v>2833.55</v>
      </c>
      <c r="E89" s="19" t="n">
        <v>0</v>
      </c>
      <c r="F89" s="20" t="n">
        <v>0</v>
      </c>
      <c r="G89" s="21" t="n">
        <v>65.81</v>
      </c>
      <c r="H89" s="21" t="n">
        <v>0</v>
      </c>
      <c r="I89" s="22" t="n">
        <f aca="false">W$2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3103.37</v>
      </c>
      <c r="Q89" s="25" t="n">
        <f aca="false">IF(E89=0,IF((D89+N89-O89)&lt;0,ABS(D89+N89-O89),0),IF((N89-E89-O89)&lt;0,ABS(N89-E89-O89),0))</f>
        <v>0</v>
      </c>
      <c r="T89" s="26"/>
      <c r="U89" s="26"/>
      <c r="V89" s="26"/>
      <c r="W89" s="26"/>
      <c r="X89" s="26"/>
      <c r="Y89" s="26"/>
      <c r="Z89" s="26"/>
      <c r="AA89" s="26"/>
      <c r="AB89" s="26"/>
    </row>
    <row r="90" customFormat="false" ht="15" hidden="false" customHeight="false" outlineLevel="0" collapsed="false">
      <c r="A90" s="17" t="s">
        <v>266</v>
      </c>
      <c r="B90" s="18" t="s">
        <v>267</v>
      </c>
      <c r="C90" s="18" t="s">
        <v>268</v>
      </c>
      <c r="D90" s="19" t="n">
        <v>809.07</v>
      </c>
      <c r="E90" s="19" t="n">
        <v>0</v>
      </c>
      <c r="F90" s="20" t="n">
        <v>0</v>
      </c>
      <c r="G90" s="21" t="n">
        <v>49.7</v>
      </c>
      <c r="H90" s="21" t="n">
        <v>0</v>
      </c>
      <c r="I90" s="22" t="n">
        <f aca="false">W$2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1012.84</v>
      </c>
      <c r="Q90" s="25" t="n">
        <f aca="false">IF(E90=0,IF((D90+N90-O90)&lt;0,ABS(D90+N90-O90),0),IF((N90-E90-O90)&lt;0,ABS(N90-E90-O90),0))</f>
        <v>0</v>
      </c>
      <c r="T90" s="26"/>
      <c r="U90" s="26"/>
      <c r="V90" s="26"/>
      <c r="W90" s="26"/>
      <c r="X90" s="26"/>
      <c r="Y90" s="26"/>
      <c r="Z90" s="26"/>
      <c r="AA90" s="26"/>
      <c r="AB90" s="26"/>
    </row>
    <row r="91" customFormat="false" ht="15" hidden="false" customHeight="false" outlineLevel="0" collapsed="false">
      <c r="A91" s="17" t="s">
        <v>269</v>
      </c>
      <c r="B91" s="18" t="s">
        <v>270</v>
      </c>
      <c r="C91" s="18" t="s">
        <v>271</v>
      </c>
      <c r="D91" s="19" t="n">
        <v>707.25</v>
      </c>
      <c r="E91" s="19" t="n">
        <v>0</v>
      </c>
      <c r="F91" s="20" t="n">
        <v>0</v>
      </c>
      <c r="G91" s="21" t="n">
        <v>34.5</v>
      </c>
      <c r="H91" s="21" t="n">
        <v>0</v>
      </c>
      <c r="I91" s="22" t="n">
        <f aca="false">W$2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848.7</v>
      </c>
      <c r="Q91" s="25" t="n">
        <f aca="false">IF(E91=0,IF((D91+N91-O91)&lt;0,ABS(D91+N91-O91),0),IF((N91-E91-O91)&lt;0,ABS(N91-E91-O91),0))</f>
        <v>0</v>
      </c>
      <c r="T91" s="26"/>
      <c r="U91" s="26"/>
      <c r="V91" s="26"/>
      <c r="W91" s="26"/>
      <c r="X91" s="26"/>
      <c r="Y91" s="26"/>
      <c r="Z91" s="26"/>
      <c r="AA91" s="26"/>
      <c r="AB91" s="26"/>
    </row>
    <row r="92" customFormat="false" ht="15" hidden="false" customHeight="false" outlineLevel="0" collapsed="false">
      <c r="A92" s="17" t="s">
        <v>272</v>
      </c>
      <c r="B92" s="18" t="s">
        <v>273</v>
      </c>
      <c r="C92" s="18" t="s">
        <v>274</v>
      </c>
      <c r="D92" s="19" t="n">
        <v>0</v>
      </c>
      <c r="E92" s="19" t="n">
        <v>0.810000000002674</v>
      </c>
      <c r="F92" s="20" t="n">
        <v>0</v>
      </c>
      <c r="G92" s="21" t="n">
        <v>62.4</v>
      </c>
      <c r="H92" s="21"/>
      <c r="I92" s="22" t="n">
        <f aca="false">W$2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255.029999999997</v>
      </c>
      <c r="Q92" s="25" t="n">
        <f aca="false">IF(E92=0,IF((D92+N92-O92)&lt;0,ABS(D92+N92-O92),0),IF((N92-E92-O92)&lt;0,ABS(N92-E92-O92),0))</f>
        <v>0</v>
      </c>
      <c r="T92" s="26"/>
      <c r="U92" s="26"/>
      <c r="V92" s="26"/>
      <c r="W92" s="26"/>
      <c r="X92" s="26"/>
      <c r="Y92" s="26"/>
      <c r="Z92" s="26"/>
      <c r="AA92" s="26"/>
      <c r="AB92" s="26"/>
    </row>
    <row r="93" customFormat="false" ht="15" hidden="false" customHeight="false" outlineLevel="0" collapsed="false">
      <c r="A93" s="17" t="s">
        <v>275</v>
      </c>
      <c r="B93" s="18" t="s">
        <v>276</v>
      </c>
      <c r="C93" s="18" t="s">
        <v>277</v>
      </c>
      <c r="D93" s="19" t="n">
        <v>2947.65</v>
      </c>
      <c r="E93" s="19" t="n">
        <v>0</v>
      </c>
      <c r="F93" s="20" t="n">
        <v>0</v>
      </c>
      <c r="G93" s="21" t="n">
        <v>66.46</v>
      </c>
      <c r="H93" s="21" t="n">
        <v>0</v>
      </c>
      <c r="I93" s="22" t="n">
        <f aca="false">W$2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3220.14</v>
      </c>
      <c r="Q93" s="25" t="n">
        <f aca="false">IF(E93=0,IF((D93+N93-O93)&lt;0,ABS(D93+N93-O93),0),IF((N93-E93-O93)&lt;0,ABS(N93-E93-O93),0))</f>
        <v>0</v>
      </c>
      <c r="T93" s="26"/>
      <c r="U93" s="26"/>
      <c r="V93" s="26"/>
      <c r="W93" s="26"/>
      <c r="X93" s="26"/>
      <c r="Y93" s="26"/>
      <c r="Z93" s="26"/>
      <c r="AA93" s="26"/>
      <c r="AB93" s="26"/>
    </row>
    <row r="94" customFormat="false" ht="15" hidden="false" customHeight="false" outlineLevel="0" collapsed="false">
      <c r="A94" s="17" t="s">
        <v>278</v>
      </c>
      <c r="B94" s="18" t="s">
        <v>279</v>
      </c>
      <c r="C94" s="18" t="s">
        <v>280</v>
      </c>
      <c r="D94" s="19" t="n">
        <v>2446.58</v>
      </c>
      <c r="E94" s="19" t="n">
        <v>0</v>
      </c>
      <c r="F94" s="20" t="n">
        <v>0</v>
      </c>
      <c r="G94" s="21" t="n">
        <v>49.73</v>
      </c>
      <c r="H94" s="21" t="n">
        <v>0</v>
      </c>
      <c r="I94" s="22" t="n">
        <f aca="false">W$2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2650.47</v>
      </c>
      <c r="Q94" s="25" t="n">
        <f aca="false">IF(E94=0,IF((D94+N94-O94)&lt;0,ABS(D94+N94-O94),0),IF((N94-E94-O94)&lt;0,ABS(N94-E94-O94),0))</f>
        <v>0</v>
      </c>
      <c r="T94" s="26"/>
      <c r="U94" s="26"/>
      <c r="V94" s="26"/>
      <c r="W94" s="26"/>
      <c r="X94" s="26"/>
      <c r="Y94" s="26"/>
      <c r="Z94" s="26"/>
      <c r="AA94" s="26"/>
      <c r="AB94" s="26"/>
    </row>
    <row r="95" customFormat="false" ht="15" hidden="false" customHeight="false" outlineLevel="0" collapsed="false">
      <c r="A95" s="17" t="s">
        <v>281</v>
      </c>
      <c r="B95" s="18" t="s">
        <v>282</v>
      </c>
      <c r="C95" s="18" t="s">
        <v>283</v>
      </c>
      <c r="D95" s="19" t="n">
        <v>3792.45</v>
      </c>
      <c r="E95" s="19" t="n">
        <v>0</v>
      </c>
      <c r="F95" s="20" t="n">
        <v>0</v>
      </c>
      <c r="G95" s="21" t="n">
        <v>34.9</v>
      </c>
      <c r="H95" s="21" t="n">
        <v>0</v>
      </c>
      <c r="I95" s="22" t="n">
        <f aca="false">W$2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3935.54</v>
      </c>
      <c r="Q95" s="25" t="n">
        <f aca="false">IF(E95=0,IF((D95+N95-O95)&lt;0,ABS(D95+N95-O95),0),IF((N95-E95-O95)&lt;0,ABS(N95-E95-O95),0))</f>
        <v>0</v>
      </c>
      <c r="T95" s="26"/>
      <c r="U95" s="26"/>
      <c r="V95" s="26"/>
      <c r="W95" s="26"/>
      <c r="X95" s="26"/>
      <c r="Y95" s="26"/>
      <c r="Z95" s="26"/>
      <c r="AA95" s="26"/>
      <c r="AB95" s="26"/>
    </row>
    <row r="96" customFormat="false" ht="15" hidden="false" customHeight="false" outlineLevel="0" collapsed="false">
      <c r="A96" s="17" t="s">
        <v>284</v>
      </c>
      <c r="B96" s="18" t="s">
        <v>285</v>
      </c>
      <c r="C96" s="18" t="s">
        <v>286</v>
      </c>
      <c r="D96" s="19" t="n">
        <v>11440.95</v>
      </c>
      <c r="E96" s="19" t="n">
        <v>0</v>
      </c>
      <c r="F96" s="20" t="n">
        <v>0</v>
      </c>
      <c r="G96" s="21" t="n">
        <v>61.9</v>
      </c>
      <c r="H96" s="21" t="n">
        <v>0</v>
      </c>
      <c r="I96" s="22" t="n">
        <f aca="false">W$2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11694.74</v>
      </c>
      <c r="Q96" s="25" t="n">
        <f aca="false">IF(E96=0,IF((D96+N96-O96)&lt;0,ABS(D96+N96-O96),0),IF((N96-E96-O96)&lt;0,ABS(N96-E96-O96),0))</f>
        <v>0</v>
      </c>
      <c r="T96" s="26"/>
      <c r="U96" s="26"/>
      <c r="V96" s="26"/>
      <c r="W96" s="26"/>
      <c r="X96" s="26"/>
      <c r="Y96" s="26"/>
      <c r="Z96" s="26"/>
      <c r="AA96" s="26"/>
      <c r="AB96" s="26"/>
    </row>
    <row r="97" customFormat="false" ht="15" hidden="false" customHeight="false" outlineLevel="0" collapsed="false">
      <c r="A97" s="17" t="s">
        <v>287</v>
      </c>
      <c r="B97" s="18" t="s">
        <v>288</v>
      </c>
      <c r="C97" s="18" t="s">
        <v>289</v>
      </c>
      <c r="D97" s="19" t="n">
        <v>24.6700000000004</v>
      </c>
      <c r="E97" s="19" t="n">
        <v>0</v>
      </c>
      <c r="F97" s="20" t="n">
        <v>0</v>
      </c>
      <c r="G97" s="21" t="n">
        <v>65.3</v>
      </c>
      <c r="H97" s="21" t="n">
        <v>0</v>
      </c>
      <c r="I97" s="22" t="n">
        <f aca="false">W$2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300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7.59999999999957</v>
      </c>
      <c r="T97" s="26"/>
      <c r="U97" s="26"/>
      <c r="V97" s="26"/>
      <c r="W97" s="26"/>
      <c r="X97" s="26"/>
      <c r="Y97" s="26"/>
      <c r="Z97" s="26"/>
      <c r="AA97" s="26"/>
      <c r="AB97" s="26"/>
    </row>
    <row r="98" customFormat="false" ht="15" hidden="false" customHeight="false" outlineLevel="0" collapsed="false">
      <c r="A98" s="17" t="s">
        <v>290</v>
      </c>
      <c r="B98" s="18" t="s">
        <v>291</v>
      </c>
      <c r="C98" s="18" t="s">
        <v>292</v>
      </c>
      <c r="D98" s="19" t="n">
        <v>0</v>
      </c>
      <c r="E98" s="19" t="n">
        <v>1625.63</v>
      </c>
      <c r="F98" s="20" t="n">
        <v>0</v>
      </c>
      <c r="G98" s="21" t="n">
        <v>49.48</v>
      </c>
      <c r="H98" s="21" t="n">
        <v>0</v>
      </c>
      <c r="I98" s="22" t="n">
        <f aca="false">W$2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1422.76</v>
      </c>
      <c r="T98" s="26"/>
      <c r="U98" s="26"/>
      <c r="V98" s="26"/>
      <c r="W98" s="26"/>
      <c r="X98" s="26"/>
      <c r="Y98" s="26"/>
      <c r="Z98" s="26"/>
      <c r="AA98" s="26"/>
      <c r="AB98" s="26"/>
    </row>
    <row r="99" customFormat="false" ht="15" hidden="false" customHeight="false" outlineLevel="0" collapsed="false">
      <c r="A99" s="17" t="s">
        <v>293</v>
      </c>
      <c r="B99" s="18" t="s">
        <v>294</v>
      </c>
      <c r="C99" s="18" t="s">
        <v>295</v>
      </c>
      <c r="D99" s="19" t="n">
        <v>307.28</v>
      </c>
      <c r="E99" s="19" t="n">
        <v>0</v>
      </c>
      <c r="F99" s="20" t="n">
        <v>0</v>
      </c>
      <c r="G99" s="21" t="n">
        <v>35.1</v>
      </c>
      <c r="H99" s="21" t="n">
        <v>0</v>
      </c>
      <c r="I99" s="22" t="n">
        <f aca="false">W$2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 t="n">
        <v>310</v>
      </c>
      <c r="P99" s="25" t="n">
        <f aca="false">IF(D99=0,IF((N99-E99-O99)&gt;0,(N99-E99-O99),0),IF((D99+N99-O99)&gt;0,(D99+N99-O99),0))</f>
        <v>141.19</v>
      </c>
      <c r="Q99" s="25" t="n">
        <f aca="false">IF(E99=0,IF((D99+N99-O99)&lt;0,ABS(D99+N99-O99),0),IF((N99-E99-O99)&lt;0,ABS(N99-E99-O99),0))</f>
        <v>0</v>
      </c>
      <c r="T99" s="26"/>
      <c r="U99" s="26"/>
      <c r="V99" s="26"/>
      <c r="W99" s="26"/>
      <c r="X99" s="26"/>
      <c r="Y99" s="26"/>
      <c r="Z99" s="26"/>
      <c r="AA99" s="26"/>
      <c r="AB99" s="26"/>
    </row>
    <row r="100" customFormat="false" ht="15" hidden="false" customHeight="false" outlineLevel="0" collapsed="false">
      <c r="A100" s="17" t="s">
        <v>296</v>
      </c>
      <c r="B100" s="18" t="s">
        <v>297</v>
      </c>
      <c r="C100" s="18" t="s">
        <v>298</v>
      </c>
      <c r="D100" s="19" t="n">
        <v>3627.68</v>
      </c>
      <c r="E100" s="19" t="n">
        <v>0</v>
      </c>
      <c r="F100" s="20" t="n">
        <v>0</v>
      </c>
      <c r="G100" s="21" t="n">
        <v>63.2</v>
      </c>
      <c r="H100" s="21" t="n">
        <v>0</v>
      </c>
      <c r="I100" s="22" t="n">
        <f aca="false">W$2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3886.8</v>
      </c>
      <c r="Q100" s="25" t="n">
        <f aca="false">IF(E100=0,IF((D100+N100-O100)&lt;0,ABS(D100+N100-O100),0),IF((N100-E100-O100)&lt;0,ABS(N100-E100-O100),0))</f>
        <v>0</v>
      </c>
      <c r="T100" s="26"/>
      <c r="U100" s="26"/>
      <c r="V100" s="26"/>
      <c r="W100" s="26"/>
      <c r="X100" s="26"/>
      <c r="Y100" s="26"/>
      <c r="Z100" s="26"/>
      <c r="AA100" s="26"/>
      <c r="AB100" s="26"/>
    </row>
    <row r="101" customFormat="false" ht="15" hidden="false" customHeight="false" outlineLevel="0" collapsed="false">
      <c r="A101" s="17" t="s">
        <v>299</v>
      </c>
      <c r="B101" s="18" t="s">
        <v>300</v>
      </c>
      <c r="C101" s="18" t="s">
        <v>301</v>
      </c>
      <c r="D101" s="19" t="n">
        <v>2638.48</v>
      </c>
      <c r="E101" s="19" t="n">
        <v>0</v>
      </c>
      <c r="F101" s="20" t="n">
        <v>0</v>
      </c>
      <c r="G101" s="21" t="n">
        <v>66.1</v>
      </c>
      <c r="H101" s="21" t="n">
        <v>0</v>
      </c>
      <c r="I101" s="22" t="n">
        <f aca="false">W$2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2909.49</v>
      </c>
      <c r="Q101" s="25" t="n">
        <f aca="false">IF(E101=0,IF((D101+N101-O101)&lt;0,ABS(D101+N101-O101),0),IF((N101-E101-O101)&lt;0,ABS(N101-E101-O101),0))</f>
        <v>0</v>
      </c>
      <c r="T101" s="26"/>
      <c r="U101" s="26"/>
      <c r="V101" s="26"/>
      <c r="W101" s="26"/>
      <c r="X101" s="26"/>
      <c r="Y101" s="26"/>
      <c r="Z101" s="26"/>
      <c r="AA101" s="26"/>
      <c r="AB101" s="26"/>
    </row>
    <row r="102" customFormat="false" ht="15" hidden="false" customHeight="false" outlineLevel="0" collapsed="false">
      <c r="A102" s="17" t="s">
        <v>302</v>
      </c>
      <c r="B102" s="18" t="s">
        <v>303</v>
      </c>
      <c r="C102" s="18" t="s">
        <v>304</v>
      </c>
      <c r="D102" s="19" t="n">
        <v>0.0700000000006753</v>
      </c>
      <c r="E102" s="19" t="n">
        <v>0</v>
      </c>
      <c r="F102" s="20" t="n">
        <v>0</v>
      </c>
      <c r="G102" s="21" t="n">
        <v>49.8</v>
      </c>
      <c r="H102" s="21" t="n">
        <v>0</v>
      </c>
      <c r="I102" s="22" t="n">
        <f aca="false">W$2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204.250000000001</v>
      </c>
      <c r="Q102" s="25" t="n">
        <f aca="false">IF(E102=0,IF((D102+N102-O102)&lt;0,ABS(D102+N102-O102),0),IF((N102-E102-O102)&lt;0,ABS(N102-E102-O102),0))</f>
        <v>0</v>
      </c>
      <c r="T102" s="26"/>
      <c r="U102" s="26"/>
      <c r="V102" s="26"/>
      <c r="W102" s="26"/>
      <c r="X102" s="26"/>
      <c r="Y102" s="26"/>
      <c r="Z102" s="26"/>
      <c r="AA102" s="26"/>
      <c r="AB102" s="26"/>
    </row>
    <row r="103" customFormat="false" ht="15" hidden="false" customHeight="false" outlineLevel="0" collapsed="false">
      <c r="A103" s="17" t="s">
        <v>305</v>
      </c>
      <c r="B103" s="18" t="s">
        <v>306</v>
      </c>
      <c r="C103" s="18" t="s">
        <v>307</v>
      </c>
      <c r="D103" s="19" t="n">
        <v>1136.48</v>
      </c>
      <c r="E103" s="19" t="n">
        <v>0</v>
      </c>
      <c r="F103" s="20" t="n">
        <v>0</v>
      </c>
      <c r="G103" s="21" t="n">
        <v>34.6</v>
      </c>
      <c r="H103" s="21" t="n">
        <v>0</v>
      </c>
      <c r="I103" s="22" t="n">
        <f aca="false">W$2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1278.34</v>
      </c>
      <c r="Q103" s="25" t="n">
        <f aca="false">IF(E103=0,IF((D103+N103-O103)&lt;0,ABS(D103+N103-O103),0),IF((N103-E103-O103)&lt;0,ABS(N103-E103-O103),0))</f>
        <v>0</v>
      </c>
      <c r="T103" s="26"/>
      <c r="U103" s="26"/>
      <c r="V103" s="26"/>
      <c r="W103" s="26"/>
      <c r="X103" s="26"/>
      <c r="Y103" s="26"/>
      <c r="Z103" s="26"/>
      <c r="AA103" s="26"/>
      <c r="AB103" s="26"/>
    </row>
    <row r="104" customFormat="false" ht="15" hidden="false" customHeight="false" outlineLevel="0" collapsed="false">
      <c r="A104" s="17" t="s">
        <v>308</v>
      </c>
      <c r="B104" s="18" t="s">
        <v>309</v>
      </c>
      <c r="C104" s="18" t="s">
        <v>310</v>
      </c>
      <c r="D104" s="19" t="n">
        <v>0</v>
      </c>
      <c r="E104" s="19" t="n">
        <v>0.699999999999591</v>
      </c>
      <c r="F104" s="20" t="n">
        <v>0</v>
      </c>
      <c r="G104" s="21" t="n">
        <v>62.6</v>
      </c>
      <c r="H104" s="21" t="n">
        <v>0</v>
      </c>
      <c r="I104" s="22" t="n">
        <f aca="false">W$2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255.96</v>
      </c>
      <c r="Q104" s="25" t="n">
        <f aca="false">IF(E104=0,IF((D104+N104-O104)&lt;0,ABS(D104+N104-O104),0),IF((N104-E104-O104)&lt;0,ABS(N104-E104-O104),0))</f>
        <v>0</v>
      </c>
      <c r="T104" s="26"/>
      <c r="U104" s="26"/>
      <c r="V104" s="26"/>
      <c r="W104" s="26"/>
      <c r="X104" s="26"/>
      <c r="Y104" s="26"/>
      <c r="Z104" s="26"/>
      <c r="AA104" s="26"/>
      <c r="AB104" s="26"/>
    </row>
    <row r="105" customFormat="false" ht="15" hidden="false" customHeight="false" outlineLevel="0" collapsed="false">
      <c r="A105" s="17" t="s">
        <v>311</v>
      </c>
      <c r="B105" s="18" t="s">
        <v>312</v>
      </c>
      <c r="C105" s="18" t="s">
        <v>313</v>
      </c>
      <c r="D105" s="19" t="n">
        <v>1879.19</v>
      </c>
      <c r="E105" s="19" t="n">
        <v>0</v>
      </c>
      <c r="F105" s="20" t="n">
        <v>0</v>
      </c>
      <c r="G105" s="21" t="n">
        <v>65.57</v>
      </c>
      <c r="H105" s="21" t="n">
        <v>0</v>
      </c>
      <c r="I105" s="22" t="n">
        <f aca="false">W$2</f>
        <v>4.1</v>
      </c>
      <c r="J105" s="23" t="n">
        <f aca="false">ROUND(G105*I105,2)</f>
        <v>268.84</v>
      </c>
      <c r="K105" s="19"/>
      <c r="L105" s="19" t="n">
        <v>268.84</v>
      </c>
      <c r="M105" s="19"/>
      <c r="N105" s="19" t="n">
        <f aca="false">ROUND((G105*I105)-K105-L105-M105,2)</f>
        <v>-0</v>
      </c>
      <c r="O105" s="19"/>
      <c r="P105" s="25" t="n">
        <f aca="false">IF(D105=0,IF((N105-E105-O105)&gt;0,(N105-E105-O105),0),IF((D105+N105-O105)&gt;0,(D105+N105-O105),0))</f>
        <v>1879.19</v>
      </c>
      <c r="Q105" s="25" t="n">
        <f aca="false">IF(E105=0,IF((D105+N105-O105)&lt;0,ABS(D105+N105-O105),0),IF((N105-E105-O105)&lt;0,ABS(N105-E105-O105),0))</f>
        <v>0</v>
      </c>
      <c r="T105" s="26"/>
      <c r="U105" s="26"/>
      <c r="V105" s="26"/>
      <c r="W105" s="26"/>
      <c r="X105" s="26"/>
      <c r="Y105" s="26"/>
      <c r="Z105" s="26"/>
      <c r="AA105" s="26"/>
      <c r="AB105" s="26"/>
    </row>
    <row r="106" customFormat="false" ht="15" hidden="false" customHeight="false" outlineLevel="0" collapsed="false">
      <c r="A106" s="17" t="s">
        <v>314</v>
      </c>
      <c r="B106" s="18" t="s">
        <v>315</v>
      </c>
      <c r="C106" s="18" t="s">
        <v>316</v>
      </c>
      <c r="D106" s="19" t="n">
        <v>13.6700000000001</v>
      </c>
      <c r="E106" s="19" t="n">
        <v>0</v>
      </c>
      <c r="F106" s="20" t="n">
        <v>0</v>
      </c>
      <c r="G106" s="21" t="n">
        <v>49.8</v>
      </c>
      <c r="H106" s="21" t="n">
        <v>0</v>
      </c>
      <c r="I106" s="22" t="n">
        <f aca="false">W$2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217.85</v>
      </c>
      <c r="Q106" s="25" t="n">
        <f aca="false">IF(E106=0,IF((D106+N106-O106)&lt;0,ABS(D106+N106-O106),0),IF((N106-E106-O106)&lt;0,ABS(N106-E106-O106),0))</f>
        <v>0</v>
      </c>
      <c r="T106" s="26"/>
      <c r="U106" s="26"/>
      <c r="V106" s="26"/>
      <c r="W106" s="26"/>
      <c r="X106" s="26"/>
      <c r="Y106" s="26"/>
      <c r="Z106" s="26"/>
      <c r="AA106" s="26"/>
      <c r="AB106" s="26"/>
    </row>
    <row r="107" customFormat="false" ht="15" hidden="false" customHeight="false" outlineLevel="0" collapsed="false">
      <c r="A107" s="17" t="s">
        <v>317</v>
      </c>
      <c r="B107" s="18" t="s">
        <v>318</v>
      </c>
      <c r="C107" s="18" t="s">
        <v>319</v>
      </c>
      <c r="D107" s="19" t="n">
        <v>1112.72</v>
      </c>
      <c r="E107" s="19" t="n">
        <v>0</v>
      </c>
      <c r="F107" s="20" t="n">
        <v>0</v>
      </c>
      <c r="G107" s="21" t="n">
        <v>34.9</v>
      </c>
      <c r="H107" s="21" t="n">
        <v>0</v>
      </c>
      <c r="I107" s="22" t="n">
        <f aca="false">W$2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1255.81</v>
      </c>
      <c r="Q107" s="25" t="n">
        <f aca="false">IF(E107=0,IF((D107+N107-O107)&lt;0,ABS(D107+N107-O107),0),IF((N107-E107-O107)&lt;0,ABS(N107-E107-O107),0))</f>
        <v>0</v>
      </c>
      <c r="T107" s="26"/>
      <c r="U107" s="26"/>
      <c r="V107" s="26"/>
      <c r="W107" s="26"/>
      <c r="X107" s="26"/>
      <c r="Y107" s="26"/>
      <c r="Z107" s="26"/>
      <c r="AA107" s="26"/>
      <c r="AB107" s="26"/>
    </row>
    <row r="108" customFormat="false" ht="15" hidden="false" customHeight="false" outlineLevel="0" collapsed="false">
      <c r="A108" s="17" t="s">
        <v>320</v>
      </c>
      <c r="B108" s="18" t="s">
        <v>321</v>
      </c>
      <c r="C108" s="18" t="s">
        <v>322</v>
      </c>
      <c r="D108" s="19" t="n">
        <v>2830.64</v>
      </c>
      <c r="E108" s="19" t="n">
        <v>0</v>
      </c>
      <c r="F108" s="20" t="n">
        <v>0</v>
      </c>
      <c r="G108" s="21" t="n">
        <v>62.78</v>
      </c>
      <c r="H108" s="21" t="n">
        <v>0</v>
      </c>
      <c r="I108" s="22" t="n">
        <f aca="false">W$2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3088.04</v>
      </c>
      <c r="Q108" s="25" t="n">
        <f aca="false">IF(E108=0,IF((D108+N108-O108)&lt;0,ABS(D108+N108-O108),0),IF((N108-E108-O108)&lt;0,ABS(N108-E108-O108),0))</f>
        <v>0</v>
      </c>
      <c r="T108" s="26"/>
      <c r="U108" s="26"/>
      <c r="V108" s="26"/>
      <c r="W108" s="26"/>
      <c r="X108" s="26"/>
      <c r="Y108" s="26"/>
      <c r="Z108" s="26"/>
      <c r="AA108" s="26"/>
      <c r="AB108" s="26"/>
    </row>
    <row r="109" customFormat="false" ht="15" hidden="false" customHeight="false" outlineLevel="0" collapsed="false">
      <c r="A109" s="17" t="s">
        <v>323</v>
      </c>
      <c r="B109" s="18" t="s">
        <v>324</v>
      </c>
      <c r="C109" s="18" t="s">
        <v>325</v>
      </c>
      <c r="D109" s="19" t="n">
        <v>2908.76</v>
      </c>
      <c r="E109" s="19" t="n">
        <v>0</v>
      </c>
      <c r="F109" s="20" t="n">
        <v>0</v>
      </c>
      <c r="G109" s="21" t="n">
        <v>66.29</v>
      </c>
      <c r="H109" s="21" t="n">
        <v>0</v>
      </c>
      <c r="I109" s="22" t="n">
        <f aca="false">W$2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3180.55</v>
      </c>
      <c r="Q109" s="25" t="n">
        <f aca="false">IF(E109=0,IF((D109+N109-O109)&lt;0,ABS(D109+N109-O109),0),IF((N109-E109-O109)&lt;0,ABS(N109-E109-O109),0))</f>
        <v>0</v>
      </c>
      <c r="T109" s="26"/>
      <c r="U109" s="26"/>
      <c r="V109" s="26"/>
      <c r="W109" s="26"/>
      <c r="X109" s="26"/>
      <c r="Y109" s="26"/>
      <c r="Z109" s="26"/>
      <c r="AA109" s="26"/>
      <c r="AB109" s="26"/>
    </row>
    <row r="110" customFormat="false" ht="15" hidden="false" customHeight="false" outlineLevel="0" collapsed="false">
      <c r="A110" s="17" t="s">
        <v>326</v>
      </c>
      <c r="B110" s="18" t="s">
        <v>327</v>
      </c>
      <c r="C110" s="18" t="s">
        <v>328</v>
      </c>
      <c r="D110" s="19" t="n">
        <v>1869</v>
      </c>
      <c r="E110" s="19" t="n">
        <v>0</v>
      </c>
      <c r="F110" s="20" t="n">
        <v>0</v>
      </c>
      <c r="G110" s="21" t="n">
        <v>50</v>
      </c>
      <c r="H110" s="21" t="n">
        <v>0</v>
      </c>
      <c r="I110" s="22" t="n">
        <f aca="false">W$2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2074</v>
      </c>
      <c r="Q110" s="25" t="n">
        <f aca="false">IF(E110=0,IF((D110+N110-O110)&lt;0,ABS(D110+N110-O110),0),IF((N110-E110-O110)&lt;0,ABS(N110-E110-O110),0))</f>
        <v>0</v>
      </c>
      <c r="T110" s="26"/>
      <c r="U110" s="26"/>
      <c r="V110" s="26"/>
      <c r="W110" s="26"/>
      <c r="X110" s="26"/>
      <c r="Y110" s="26"/>
      <c r="Z110" s="26"/>
      <c r="AA110" s="26"/>
      <c r="AB110" s="26"/>
    </row>
    <row r="111" customFormat="false" ht="15" hidden="false" customHeight="false" outlineLevel="0" collapsed="false">
      <c r="A111" s="17" t="s">
        <v>329</v>
      </c>
      <c r="B111" s="18" t="s">
        <v>330</v>
      </c>
      <c r="C111" s="18" t="s">
        <v>331</v>
      </c>
      <c r="D111" s="19" t="n">
        <v>1655.09</v>
      </c>
      <c r="E111" s="19" t="n">
        <v>0</v>
      </c>
      <c r="F111" s="20" t="n">
        <v>0</v>
      </c>
      <c r="G111" s="21" t="n">
        <v>35</v>
      </c>
      <c r="H111" s="21" t="n">
        <v>0</v>
      </c>
      <c r="I111" s="22" t="n">
        <f aca="false">W$2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1798.59</v>
      </c>
      <c r="Q111" s="25" t="n">
        <f aca="false">IF(E111=0,IF((D111+N111-O111)&lt;0,ABS(D111+N111-O111),0),IF((N111-E111-O111)&lt;0,ABS(N111-E111-O111),0))</f>
        <v>0</v>
      </c>
      <c r="T111" s="26"/>
      <c r="U111" s="26"/>
      <c r="V111" s="26"/>
      <c r="W111" s="26"/>
      <c r="X111" s="26"/>
      <c r="Y111" s="26"/>
      <c r="Z111" s="26"/>
      <c r="AA111" s="26"/>
      <c r="AB111" s="26"/>
    </row>
    <row r="112" customFormat="false" ht="15" hidden="false" customHeight="false" outlineLevel="0" collapsed="false">
      <c r="A112" s="17" t="s">
        <v>332</v>
      </c>
      <c r="B112" s="18" t="s">
        <v>333</v>
      </c>
      <c r="C112" s="18" t="s">
        <v>334</v>
      </c>
      <c r="D112" s="19" t="n">
        <v>1277.32</v>
      </c>
      <c r="E112" s="19" t="n">
        <v>0</v>
      </c>
      <c r="F112" s="20" t="n">
        <v>0</v>
      </c>
      <c r="G112" s="21" t="n">
        <v>61.1</v>
      </c>
      <c r="H112" s="21" t="n">
        <v>0</v>
      </c>
      <c r="I112" s="22" t="n">
        <f aca="false">W$2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1527.83</v>
      </c>
      <c r="Q112" s="25" t="n">
        <f aca="false">IF(E112=0,IF((D112+N112-O112)&lt;0,ABS(D112+N112-O112),0),IF((N112-E112-O112)&lt;0,ABS(N112-E112-O112),0))</f>
        <v>0</v>
      </c>
      <c r="T112" s="26"/>
      <c r="U112" s="26"/>
      <c r="V112" s="26"/>
      <c r="W112" s="26"/>
      <c r="X112" s="26"/>
      <c r="Y112" s="26"/>
      <c r="Z112" s="26"/>
      <c r="AA112" s="26"/>
      <c r="AB112" s="26"/>
    </row>
    <row r="113" customFormat="false" ht="15" hidden="false" customHeight="false" outlineLevel="0" collapsed="false">
      <c r="A113" s="17" t="s">
        <v>335</v>
      </c>
      <c r="B113" s="18" t="s">
        <v>336</v>
      </c>
      <c r="C113" s="18" t="s">
        <v>337</v>
      </c>
      <c r="D113" s="19" t="n">
        <v>1907.97</v>
      </c>
      <c r="E113" s="19" t="n">
        <v>0</v>
      </c>
      <c r="F113" s="20" t="n">
        <v>0</v>
      </c>
      <c r="G113" s="21" t="n">
        <v>64.89</v>
      </c>
      <c r="H113" s="21" t="n">
        <v>0</v>
      </c>
      <c r="I113" s="22" t="n">
        <f aca="false">W$2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2174.02</v>
      </c>
      <c r="Q113" s="25" t="n">
        <f aca="false">IF(E113=0,IF((D113+N113-O113)&lt;0,ABS(D113+N113-O113),0),IF((N113-E113-O113)&lt;0,ABS(N113-E113-O113),0))</f>
        <v>0</v>
      </c>
      <c r="T113" s="26"/>
      <c r="U113" s="26"/>
      <c r="V113" s="26"/>
      <c r="W113" s="26"/>
      <c r="X113" s="26"/>
      <c r="Y113" s="26"/>
      <c r="Z113" s="26"/>
      <c r="AA113" s="26"/>
      <c r="AB113" s="26"/>
    </row>
    <row r="114" customFormat="false" ht="15" hidden="false" customHeight="false" outlineLevel="0" collapsed="false">
      <c r="A114" s="17" t="s">
        <v>338</v>
      </c>
      <c r="B114" s="18" t="s">
        <v>339</v>
      </c>
      <c r="C114" s="18" t="s">
        <v>340</v>
      </c>
      <c r="D114" s="19" t="n">
        <v>150.8</v>
      </c>
      <c r="E114" s="19" t="n">
        <v>0</v>
      </c>
      <c r="F114" s="20" t="n">
        <v>0</v>
      </c>
      <c r="G114" s="21" t="n">
        <v>49.96</v>
      </c>
      <c r="H114" s="21" t="n">
        <v>0</v>
      </c>
      <c r="I114" s="22" t="n">
        <f aca="false">W$2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355.64</v>
      </c>
      <c r="Q114" s="25" t="n">
        <f aca="false">IF(E114=0,IF((D114+N114-O114)&lt;0,ABS(D114+N114-O114),0),IF((N114-E114-O114)&lt;0,ABS(N114-E114-O114),0))</f>
        <v>0</v>
      </c>
      <c r="T114" s="26"/>
      <c r="U114" s="26"/>
      <c r="V114" s="26"/>
      <c r="W114" s="26"/>
      <c r="X114" s="26"/>
      <c r="Y114" s="26"/>
      <c r="Z114" s="26"/>
      <c r="AA114" s="26"/>
      <c r="AB114" s="26"/>
    </row>
    <row r="115" customFormat="false" ht="15" hidden="false" customHeight="false" outlineLevel="0" collapsed="false">
      <c r="A115" s="17" t="s">
        <v>341</v>
      </c>
      <c r="B115" s="18" t="s">
        <v>342</v>
      </c>
      <c r="C115" s="18" t="s">
        <v>343</v>
      </c>
      <c r="D115" s="19" t="n">
        <v>1.13686837721616E-013</v>
      </c>
      <c r="E115" s="19" t="n">
        <v>0</v>
      </c>
      <c r="F115" s="20" t="n">
        <v>0</v>
      </c>
      <c r="G115" s="21" t="n">
        <v>34.5</v>
      </c>
      <c r="H115" s="21" t="n">
        <v>0</v>
      </c>
      <c r="I115" s="22" t="n">
        <f aca="false">W$2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/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  <c r="T115" s="26"/>
      <c r="U115" s="26"/>
      <c r="V115" s="26"/>
      <c r="W115" s="26"/>
      <c r="X115" s="26"/>
      <c r="Y115" s="26"/>
      <c r="Z115" s="26"/>
      <c r="AA115" s="26"/>
      <c r="AB115" s="26"/>
    </row>
    <row r="116" customFormat="false" ht="15" hidden="false" customHeight="false" outlineLevel="0" collapsed="false">
      <c r="A116" s="17" t="s">
        <v>344</v>
      </c>
      <c r="B116" s="18" t="s">
        <v>345</v>
      </c>
      <c r="C116" s="18" t="s">
        <v>346</v>
      </c>
      <c r="D116" s="19" t="n">
        <v>6157</v>
      </c>
      <c r="E116" s="19" t="n">
        <v>0</v>
      </c>
      <c r="F116" s="20" t="n">
        <v>0</v>
      </c>
      <c r="G116" s="21" t="n">
        <v>62.9</v>
      </c>
      <c r="H116" s="21" t="n">
        <v>0</v>
      </c>
      <c r="I116" s="22" t="n">
        <f aca="false">W$2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6414.89</v>
      </c>
      <c r="Q116" s="25" t="n">
        <f aca="false">IF(E116=0,IF((D116+N116-O116)&lt;0,ABS(D116+N116-O116),0),IF((N116-E116-O116)&lt;0,ABS(N116-E116-O116),0))</f>
        <v>0</v>
      </c>
      <c r="T116" s="26"/>
      <c r="U116" s="26"/>
      <c r="V116" s="26"/>
      <c r="W116" s="26"/>
      <c r="X116" s="26"/>
      <c r="Y116" s="26"/>
      <c r="Z116" s="26"/>
      <c r="AA116" s="26"/>
      <c r="AB116" s="26"/>
    </row>
    <row r="117" customFormat="false" ht="15" hidden="false" customHeight="false" outlineLevel="0" collapsed="false">
      <c r="A117" s="17" t="s">
        <v>347</v>
      </c>
      <c r="B117" s="18" t="s">
        <v>348</v>
      </c>
      <c r="C117" s="18" t="s">
        <v>349</v>
      </c>
      <c r="D117" s="19" t="n">
        <v>2399.36</v>
      </c>
      <c r="E117" s="19" t="n">
        <v>0</v>
      </c>
      <c r="F117" s="20" t="n">
        <v>0</v>
      </c>
      <c r="G117" s="21" t="n">
        <v>97.2</v>
      </c>
      <c r="H117" s="21" t="n">
        <v>0</v>
      </c>
      <c r="I117" s="22" t="n">
        <f aca="false">W$2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2797.88</v>
      </c>
      <c r="Q117" s="25" t="n">
        <f aca="false">IF(E117=0,IF((D117+N117-O117)&lt;0,ABS(D117+N117-O117),0),IF((N117-E117-O117)&lt;0,ABS(N117-E117-O117),0))</f>
        <v>0</v>
      </c>
      <c r="T117" s="26"/>
      <c r="U117" s="26"/>
      <c r="V117" s="26"/>
      <c r="W117" s="26"/>
      <c r="X117" s="26"/>
      <c r="Y117" s="26"/>
      <c r="Z117" s="26"/>
      <c r="AA117" s="26"/>
      <c r="AB117" s="26"/>
    </row>
    <row r="118" customFormat="false" ht="15" hidden="false" customHeight="false" outlineLevel="0" collapsed="false">
      <c r="A118" s="17" t="s">
        <v>350</v>
      </c>
      <c r="B118" s="18" t="s">
        <v>351</v>
      </c>
      <c r="C118" s="18" t="s">
        <v>352</v>
      </c>
      <c r="D118" s="19" t="n">
        <v>398.73</v>
      </c>
      <c r="E118" s="19" t="n">
        <v>0</v>
      </c>
      <c r="F118" s="20" t="n">
        <v>0</v>
      </c>
      <c r="G118" s="21" t="n">
        <v>48.75</v>
      </c>
      <c r="H118" s="21" t="n">
        <v>0</v>
      </c>
      <c r="I118" s="22" t="n">
        <f aca="false">W$2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 t="n">
        <v>199.88</v>
      </c>
      <c r="P118" s="25" t="n">
        <f aca="false">IF(D118=0,IF((N118-E118-O118)&gt;0,(N118-E118-O118),0),IF((D118+N118-O118)&gt;0,(D118+N118-O118),0))</f>
        <v>398.73</v>
      </c>
      <c r="Q118" s="25" t="n">
        <f aca="false">IF(E118=0,IF((D118+N118-O118)&lt;0,ABS(D118+N118-O118),0),IF((N118-E118-O118)&lt;0,ABS(N118-E118-O118),0))</f>
        <v>0</v>
      </c>
      <c r="T118" s="26"/>
      <c r="U118" s="26"/>
      <c r="V118" s="26"/>
      <c r="W118" s="26"/>
      <c r="X118" s="26"/>
      <c r="Y118" s="26"/>
      <c r="Z118" s="26"/>
      <c r="AA118" s="26"/>
      <c r="AB118" s="26"/>
    </row>
    <row r="119" customFormat="false" ht="15" hidden="false" customHeight="false" outlineLevel="0" collapsed="false">
      <c r="A119" s="17" t="s">
        <v>353</v>
      </c>
      <c r="B119" s="18" t="s">
        <v>354</v>
      </c>
      <c r="C119" s="18" t="s">
        <v>355</v>
      </c>
      <c r="D119" s="19" t="n">
        <v>2089.42</v>
      </c>
      <c r="E119" s="19" t="n">
        <v>0</v>
      </c>
      <c r="F119" s="20" t="n">
        <v>0</v>
      </c>
      <c r="G119" s="21" t="n">
        <v>63.8</v>
      </c>
      <c r="H119" s="21" t="n">
        <v>0</v>
      </c>
      <c r="I119" s="22" t="n">
        <f aca="false">W$2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2351</v>
      </c>
      <c r="Q119" s="25" t="n">
        <f aca="false">IF(E119=0,IF((D119+N119-O119)&lt;0,ABS(D119+N119-O119),0),IF((N119-E119-O119)&lt;0,ABS(N119-E119-O119),0))</f>
        <v>0</v>
      </c>
      <c r="T119" s="26"/>
      <c r="U119" s="26"/>
      <c r="V119" s="26"/>
      <c r="W119" s="26"/>
      <c r="X119" s="26"/>
      <c r="Y119" s="26"/>
      <c r="Z119" s="26"/>
      <c r="AA119" s="26"/>
      <c r="AB119" s="26"/>
    </row>
    <row r="120" customFormat="false" ht="15" hidden="false" customHeight="false" outlineLevel="0" collapsed="false">
      <c r="A120" s="17" t="s">
        <v>356</v>
      </c>
      <c r="B120" s="18" t="s">
        <v>357</v>
      </c>
      <c r="C120" s="18" t="s">
        <v>358</v>
      </c>
      <c r="D120" s="19" t="n">
        <v>7994.49</v>
      </c>
      <c r="E120" s="19" t="n">
        <v>0</v>
      </c>
      <c r="F120" s="20" t="n">
        <v>0</v>
      </c>
      <c r="G120" s="21" t="n">
        <v>62.6</v>
      </c>
      <c r="H120" s="21" t="n">
        <v>0</v>
      </c>
      <c r="I120" s="22" t="n">
        <f aca="false">W$2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8251.15</v>
      </c>
      <c r="Q120" s="25" t="n">
        <f aca="false">IF(E120=0,IF((D120+N120-O120)&lt;0,ABS(D120+N120-O120),0),IF((N120-E120-O120)&lt;0,ABS(N120-E120-O120),0))</f>
        <v>0</v>
      </c>
      <c r="T120" s="26"/>
      <c r="U120" s="26"/>
      <c r="V120" s="26"/>
      <c r="W120" s="26"/>
      <c r="X120" s="26"/>
      <c r="Y120" s="26"/>
      <c r="Z120" s="26"/>
      <c r="AA120" s="26"/>
      <c r="AB120" s="26"/>
    </row>
    <row r="121" customFormat="false" ht="15" hidden="false" customHeight="false" outlineLevel="0" collapsed="false">
      <c r="A121" s="17" t="s">
        <v>359</v>
      </c>
      <c r="B121" s="18" t="s">
        <v>360</v>
      </c>
      <c r="C121" s="18" t="s">
        <v>361</v>
      </c>
      <c r="D121" s="19" t="n">
        <v>281.47</v>
      </c>
      <c r="E121" s="19" t="n">
        <v>0</v>
      </c>
      <c r="F121" s="20" t="n">
        <v>0</v>
      </c>
      <c r="G121" s="21" t="n">
        <v>34.7</v>
      </c>
      <c r="H121" s="21" t="n">
        <v>0</v>
      </c>
      <c r="I121" s="22" t="n">
        <f aca="false">W$2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 t="n">
        <v>450</v>
      </c>
      <c r="P121" s="25" t="n">
        <f aca="false">IF(D121=0,IF((N121-E121-O121)&gt;0,(N121-E121-O121),0),IF((D121+N121-O121)&gt;0,(D121+N121-O121),0))</f>
        <v>0</v>
      </c>
      <c r="Q121" s="25" t="n">
        <f aca="false">IF(E121=0,IF((D121+N121-O121)&lt;0,ABS(D121+N121-O121),0),IF((N121-E121-O121)&lt;0,ABS(N121-E121-O121),0))</f>
        <v>26.2599999999999</v>
      </c>
      <c r="T121" s="26"/>
      <c r="U121" s="26"/>
      <c r="V121" s="26"/>
      <c r="W121" s="26"/>
      <c r="X121" s="26"/>
      <c r="Y121" s="26"/>
      <c r="Z121" s="26"/>
      <c r="AA121" s="26"/>
      <c r="AB121" s="26"/>
    </row>
    <row r="122" customFormat="false" ht="15" hidden="false" customHeight="false" outlineLevel="0" collapsed="false">
      <c r="A122" s="17" t="s">
        <v>362</v>
      </c>
      <c r="B122" s="18" t="s">
        <v>363</v>
      </c>
      <c r="C122" s="18" t="s">
        <v>364</v>
      </c>
      <c r="D122" s="19" t="n">
        <v>1009.6</v>
      </c>
      <c r="E122" s="19" t="n">
        <v>0</v>
      </c>
      <c r="F122" s="20" t="n">
        <v>0</v>
      </c>
      <c r="G122" s="21" t="n">
        <v>49.72</v>
      </c>
      <c r="H122" s="21" t="n">
        <v>0</v>
      </c>
      <c r="I122" s="22" t="n">
        <f aca="false">W$2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1213.45</v>
      </c>
      <c r="Q122" s="25" t="n">
        <f aca="false">IF(E122=0,IF((D122+N122-O122)&lt;0,ABS(D122+N122-O122),0),IF((N122-E122-O122)&lt;0,ABS(N122-E122-O122),0))</f>
        <v>0</v>
      </c>
      <c r="T122" s="26"/>
      <c r="U122" s="26"/>
      <c r="V122" s="26"/>
      <c r="W122" s="26"/>
      <c r="X122" s="26"/>
      <c r="Y122" s="26"/>
      <c r="Z122" s="26"/>
      <c r="AA122" s="26"/>
      <c r="AB122" s="26"/>
    </row>
    <row r="123" customFormat="false" ht="15" hidden="false" customHeight="false" outlineLevel="0" collapsed="false">
      <c r="A123" s="17" t="s">
        <v>365</v>
      </c>
      <c r="B123" s="18" t="s">
        <v>366</v>
      </c>
      <c r="C123" s="18" t="s">
        <v>367</v>
      </c>
      <c r="D123" s="19" t="n">
        <v>2956.01</v>
      </c>
      <c r="E123" s="19" t="n">
        <v>0</v>
      </c>
      <c r="F123" s="20" t="n">
        <v>0</v>
      </c>
      <c r="G123" s="21" t="n">
        <v>65.1</v>
      </c>
      <c r="H123" s="21" t="n">
        <v>0</v>
      </c>
      <c r="I123" s="22" t="n">
        <f aca="false">W$2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3222.92</v>
      </c>
      <c r="Q123" s="25" t="n">
        <f aca="false">IF(E123=0,IF((D123+N123-O123)&lt;0,ABS(D123+N123-O123),0),IF((N123-E123-O123)&lt;0,ABS(N123-E123-O123),0))</f>
        <v>0</v>
      </c>
      <c r="T123" s="26"/>
      <c r="U123" s="26"/>
      <c r="V123" s="26"/>
      <c r="W123" s="26"/>
      <c r="X123" s="26"/>
      <c r="Y123" s="26"/>
      <c r="Z123" s="26"/>
      <c r="AA123" s="26"/>
      <c r="AB123" s="26"/>
    </row>
    <row r="124" customFormat="false" ht="15" hidden="false" customHeight="false" outlineLevel="0" collapsed="false">
      <c r="A124" s="17" t="s">
        <v>368</v>
      </c>
      <c r="B124" s="18" t="s">
        <v>369</v>
      </c>
      <c r="C124" s="18" t="s">
        <v>370</v>
      </c>
      <c r="D124" s="19" t="n">
        <v>1454.84</v>
      </c>
      <c r="E124" s="19" t="n">
        <v>0</v>
      </c>
      <c r="F124" s="20" t="n">
        <v>0</v>
      </c>
      <c r="G124" s="21" t="n">
        <v>62.18</v>
      </c>
      <c r="H124" s="21" t="n">
        <v>0</v>
      </c>
      <c r="I124" s="22" t="n">
        <f aca="false">W$2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1709.78</v>
      </c>
      <c r="Q124" s="25" t="n">
        <f aca="false">IF(E124=0,IF((D124+N124-O124)&lt;0,ABS(D124+N124-O124),0),IF((N124-E124-O124)&lt;0,ABS(N124-E124-O124),0))</f>
        <v>0</v>
      </c>
      <c r="T124" s="26"/>
      <c r="U124" s="26"/>
      <c r="V124" s="26"/>
      <c r="W124" s="26"/>
      <c r="X124" s="26"/>
      <c r="Y124" s="26"/>
      <c r="Z124" s="26"/>
      <c r="AA124" s="26"/>
      <c r="AB124" s="26"/>
    </row>
    <row r="125" customFormat="false" ht="15" hidden="false" customHeight="false" outlineLevel="0" collapsed="false">
      <c r="A125" s="17" t="s">
        <v>371</v>
      </c>
      <c r="B125" s="18" t="s">
        <v>372</v>
      </c>
      <c r="C125" s="18" t="s">
        <v>373</v>
      </c>
      <c r="D125" s="19" t="n">
        <v>1500.24</v>
      </c>
      <c r="E125" s="19" t="n">
        <v>0</v>
      </c>
      <c r="F125" s="20" t="n">
        <v>0</v>
      </c>
      <c r="G125" s="21" t="n">
        <v>35.1</v>
      </c>
      <c r="H125" s="21" t="n">
        <v>0</v>
      </c>
      <c r="I125" s="22" t="n">
        <f aca="false">W$2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1644.15</v>
      </c>
      <c r="Q125" s="25" t="n">
        <f aca="false">IF(E125=0,IF((D125+N125-O125)&lt;0,ABS(D125+N125-O125),0),IF((N125-E125-O125)&lt;0,ABS(N125-E125-O125),0))</f>
        <v>0</v>
      </c>
      <c r="T125" s="26"/>
      <c r="U125" s="26"/>
      <c r="V125" s="26"/>
      <c r="W125" s="26"/>
      <c r="X125" s="26"/>
      <c r="Y125" s="26"/>
      <c r="Z125" s="26"/>
      <c r="AA125" s="26"/>
      <c r="AB125" s="26"/>
    </row>
    <row r="126" customFormat="false" ht="15" hidden="false" customHeight="false" outlineLevel="0" collapsed="false">
      <c r="A126" s="17" t="s">
        <v>374</v>
      </c>
      <c r="B126" s="18" t="s">
        <v>375</v>
      </c>
      <c r="C126" s="18" t="s">
        <v>376</v>
      </c>
      <c r="D126" s="19" t="n">
        <v>1556.22</v>
      </c>
      <c r="E126" s="19" t="n">
        <v>0</v>
      </c>
      <c r="F126" s="20" t="n">
        <v>0</v>
      </c>
      <c r="G126" s="21" t="n">
        <v>49.8</v>
      </c>
      <c r="H126" s="21" t="n">
        <v>0</v>
      </c>
      <c r="I126" s="22" t="n">
        <f aca="false">W$2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1760.4</v>
      </c>
      <c r="Q126" s="25" t="n">
        <f aca="false">IF(E126=0,IF((D126+N126-O126)&lt;0,ABS(D126+N126-O126),0),IF((N126-E126-O126)&lt;0,ABS(N126-E126-O126),0))</f>
        <v>0</v>
      </c>
      <c r="T126" s="26"/>
      <c r="U126" s="26"/>
      <c r="V126" s="26"/>
      <c r="W126" s="26"/>
      <c r="X126" s="26"/>
      <c r="Y126" s="26"/>
      <c r="Z126" s="26"/>
      <c r="AA126" s="26"/>
      <c r="AB126" s="26"/>
    </row>
    <row r="127" customFormat="false" ht="15" hidden="false" customHeight="false" outlineLevel="0" collapsed="false">
      <c r="A127" s="17" t="s">
        <v>377</v>
      </c>
      <c r="B127" s="18" t="s">
        <v>378</v>
      </c>
      <c r="C127" s="18" t="s">
        <v>379</v>
      </c>
      <c r="D127" s="19" t="n">
        <v>6499.46</v>
      </c>
      <c r="E127" s="19" t="n">
        <v>0</v>
      </c>
      <c r="F127" s="20" t="n">
        <v>0</v>
      </c>
      <c r="G127" s="21" t="n">
        <v>65.3</v>
      </c>
      <c r="H127" s="21" t="n">
        <v>0</v>
      </c>
      <c r="I127" s="22" t="n">
        <f aca="false">W$2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6767.19</v>
      </c>
      <c r="Q127" s="25" t="n">
        <f aca="false">IF(E127=0,IF((D127+N127-O127)&lt;0,ABS(D127+N127-O127),0),IF((N127-E127-O127)&lt;0,ABS(N127-E127-O127),0))</f>
        <v>0</v>
      </c>
      <c r="T127" s="26"/>
      <c r="U127" s="26"/>
      <c r="V127" s="26"/>
      <c r="W127" s="26"/>
      <c r="X127" s="26"/>
      <c r="Y127" s="26"/>
      <c r="Z127" s="26"/>
      <c r="AA127" s="26"/>
      <c r="AB127" s="26"/>
    </row>
    <row r="128" customFormat="false" ht="15" hidden="false" customHeight="false" outlineLevel="0" collapsed="false">
      <c r="A128" s="17" t="s">
        <v>380</v>
      </c>
      <c r="B128" s="18" t="s">
        <v>381</v>
      </c>
      <c r="C128" s="18" t="s">
        <v>382</v>
      </c>
      <c r="D128" s="19" t="n">
        <v>1730.69</v>
      </c>
      <c r="E128" s="19" t="n">
        <v>0</v>
      </c>
      <c r="F128" s="20" t="n">
        <v>0</v>
      </c>
      <c r="G128" s="21" t="n">
        <v>62.44</v>
      </c>
      <c r="H128" s="21" t="n">
        <v>0</v>
      </c>
      <c r="I128" s="22" t="n">
        <f aca="false">W$2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 t="n">
        <v>1730</v>
      </c>
      <c r="P128" s="25" t="n">
        <f aca="false">IF(D128=0,IF((N128-E128-O128)&gt;0,(N128-E128-O128),0),IF((D128+N128-O128)&gt;0,(D128+N128-O128),0))</f>
        <v>256.690000000001</v>
      </c>
      <c r="Q128" s="25" t="n">
        <f aca="false">IF(E128=0,IF((D128+N128-O128)&lt;0,ABS(D128+N128-O128),0),IF((N128-E128-O128)&lt;0,ABS(N128-E128-O128),0))</f>
        <v>0</v>
      </c>
      <c r="T128" s="26"/>
      <c r="U128" s="26"/>
      <c r="V128" s="26"/>
      <c r="W128" s="26"/>
      <c r="X128" s="26"/>
      <c r="Y128" s="26"/>
      <c r="Z128" s="26"/>
      <c r="AA128" s="26"/>
      <c r="AB128" s="26"/>
    </row>
    <row r="129" customFormat="false" ht="15" hidden="false" customHeight="false" outlineLevel="0" collapsed="false">
      <c r="A129" s="17" t="s">
        <v>383</v>
      </c>
      <c r="B129" s="18" t="s">
        <v>384</v>
      </c>
      <c r="C129" s="18" t="s">
        <v>385</v>
      </c>
      <c r="D129" s="19" t="n">
        <v>8.5265128291212E-014</v>
      </c>
      <c r="E129" s="19" t="n">
        <v>0</v>
      </c>
      <c r="F129" s="20" t="n">
        <v>0</v>
      </c>
      <c r="G129" s="21" t="n">
        <v>35.6</v>
      </c>
      <c r="H129" s="21" t="n">
        <v>0</v>
      </c>
      <c r="I129" s="22" t="n">
        <f aca="false">W$2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  <c r="T129" s="26"/>
      <c r="U129" s="26"/>
      <c r="V129" s="26"/>
      <c r="W129" s="26"/>
      <c r="X129" s="26"/>
      <c r="Y129" s="26"/>
      <c r="Z129" s="26"/>
      <c r="AA129" s="26"/>
      <c r="AB129" s="26"/>
    </row>
    <row r="130" customFormat="false" ht="15" hidden="false" customHeight="false" outlineLevel="0" collapsed="false">
      <c r="A130" s="17" t="s">
        <v>386</v>
      </c>
      <c r="B130" s="18" t="s">
        <v>387</v>
      </c>
      <c r="C130" s="18" t="s">
        <v>388</v>
      </c>
      <c r="D130" s="19" t="n">
        <v>65.1000000000003</v>
      </c>
      <c r="E130" s="19" t="n">
        <v>0</v>
      </c>
      <c r="F130" s="20" t="n">
        <v>0</v>
      </c>
      <c r="G130" s="21" t="n">
        <v>49.7</v>
      </c>
      <c r="H130" s="21" t="n">
        <v>0</v>
      </c>
      <c r="I130" s="22" t="n">
        <f aca="false">W$2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203.77</v>
      </c>
      <c r="P130" s="25" t="n">
        <f aca="false">IF(D130=0,IF((N130-E130-O130)&gt;0,(N130-E130-O130),0),IF((D130+N130-O130)&gt;0,(D130+N130-O130),0))</f>
        <v>65.1000000000002</v>
      </c>
      <c r="Q130" s="25" t="n">
        <f aca="false">IF(E130=0,IF((D130+N130-O130)&lt;0,ABS(D130+N130-O130),0),IF((N130-E130-O130)&lt;0,ABS(N130-E130-O130),0))</f>
        <v>0</v>
      </c>
      <c r="T130" s="26"/>
      <c r="U130" s="26"/>
      <c r="V130" s="26"/>
      <c r="W130" s="26"/>
      <c r="X130" s="26"/>
      <c r="Y130" s="26"/>
      <c r="Z130" s="26"/>
      <c r="AA130" s="26"/>
      <c r="AB130" s="26"/>
    </row>
    <row r="131" customFormat="false" ht="15" hidden="false" customHeight="false" outlineLevel="0" collapsed="false">
      <c r="A131" s="17" t="s">
        <v>389</v>
      </c>
      <c r="B131" s="18" t="s">
        <v>390</v>
      </c>
      <c r="C131" s="18" t="s">
        <v>391</v>
      </c>
      <c r="D131" s="19" t="n">
        <v>2258.18</v>
      </c>
      <c r="E131" s="19" t="n">
        <v>0</v>
      </c>
      <c r="F131" s="20" t="n">
        <v>0</v>
      </c>
      <c r="G131" s="21" t="n">
        <v>65.15</v>
      </c>
      <c r="H131" s="21" t="n">
        <v>0</v>
      </c>
      <c r="I131" s="22" t="n">
        <f aca="false">W$2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2525.3</v>
      </c>
      <c r="Q131" s="25" t="n">
        <f aca="false">IF(E131=0,IF((D131+N131-O131)&lt;0,ABS(D131+N131-O131),0),IF((N131-E131-O131)&lt;0,ABS(N131-E131-O131),0))</f>
        <v>0</v>
      </c>
      <c r="T131" s="26"/>
      <c r="U131" s="26"/>
      <c r="V131" s="26"/>
      <c r="W131" s="26"/>
      <c r="X131" s="26"/>
      <c r="Y131" s="26"/>
      <c r="Z131" s="26"/>
      <c r="AA131" s="26"/>
      <c r="AB131" s="26"/>
    </row>
    <row r="132" customFormat="false" ht="15" hidden="false" customHeight="false" outlineLevel="0" collapsed="false">
      <c r="A132" s="17" t="s">
        <v>392</v>
      </c>
      <c r="B132" s="18" t="s">
        <v>393</v>
      </c>
      <c r="C132" s="18" t="s">
        <v>394</v>
      </c>
      <c r="D132" s="19" t="n">
        <v>1056.12</v>
      </c>
      <c r="E132" s="19" t="n">
        <v>0</v>
      </c>
      <c r="F132" s="20" t="n">
        <v>0</v>
      </c>
      <c r="G132" s="21" t="n">
        <v>63</v>
      </c>
      <c r="H132" s="21" t="n">
        <v>0</v>
      </c>
      <c r="I132" s="22" t="n">
        <f aca="false">W$2</f>
        <v>4.1</v>
      </c>
      <c r="J132" s="23" t="n">
        <f aca="false">ROUND(G132*I132,2)</f>
        <v>258.3</v>
      </c>
      <c r="K132" s="19"/>
      <c r="L132" s="19" t="n">
        <v>258.3</v>
      </c>
      <c r="M132" s="19"/>
      <c r="N132" s="19" t="n">
        <f aca="false">ROUND((G132*I132)-K132-L132-M132,2)</f>
        <v>0</v>
      </c>
      <c r="O132" s="19"/>
      <c r="P132" s="25" t="n">
        <f aca="false">IF(D132=0,IF((N132-E132-O132)&gt;0,(N132-E132-O132),0),IF((D132+N132-O132)&gt;0,(D132+N132-O132),0))</f>
        <v>1056.12</v>
      </c>
      <c r="Q132" s="25" t="n">
        <f aca="false">IF(E132=0,IF((D132+N132-O132)&lt;0,ABS(D132+N132-O132),0),IF((N132-E132-O132)&lt;0,ABS(N132-E132-O132),0))</f>
        <v>0</v>
      </c>
      <c r="T132" s="26"/>
      <c r="U132" s="26"/>
      <c r="V132" s="26"/>
      <c r="W132" s="26"/>
      <c r="X132" s="26"/>
      <c r="Y132" s="26"/>
      <c r="Z132" s="26"/>
      <c r="AA132" s="26"/>
      <c r="AB132" s="26"/>
    </row>
    <row r="133" customFormat="false" ht="15" hidden="false" customHeight="false" outlineLevel="0" collapsed="false">
      <c r="A133" s="17" t="s">
        <v>395</v>
      </c>
      <c r="B133" s="18" t="s">
        <v>396</v>
      </c>
      <c r="C133" s="18" t="s">
        <v>397</v>
      </c>
      <c r="D133" s="19" t="n">
        <v>1094.32</v>
      </c>
      <c r="E133" s="19" t="n">
        <v>0</v>
      </c>
      <c r="F133" s="20" t="n">
        <v>0</v>
      </c>
      <c r="G133" s="21" t="n">
        <v>34.7</v>
      </c>
      <c r="H133" s="21" t="n">
        <v>0</v>
      </c>
      <c r="I133" s="22" t="n">
        <f aca="false">W$2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1236.59</v>
      </c>
      <c r="Q133" s="25" t="n">
        <f aca="false">IF(E133=0,IF((D133+N133-O133)&lt;0,ABS(D133+N133-O133),0),IF((N133-E133-O133)&lt;0,ABS(N133-E133-O133),0))</f>
        <v>0</v>
      </c>
      <c r="T133" s="26"/>
      <c r="U133" s="26"/>
      <c r="V133" s="26"/>
      <c r="W133" s="26"/>
      <c r="X133" s="26"/>
      <c r="Y133" s="26"/>
      <c r="Z133" s="26"/>
      <c r="AA133" s="26"/>
      <c r="AB133" s="26"/>
    </row>
    <row r="134" customFormat="false" ht="15" hidden="false" customHeight="false" outlineLevel="0" collapsed="false">
      <c r="A134" s="17" t="s">
        <v>398</v>
      </c>
      <c r="B134" s="18" t="s">
        <v>399</v>
      </c>
      <c r="C134" s="18" t="s">
        <v>400</v>
      </c>
      <c r="D134" s="19" t="n">
        <v>1399.32</v>
      </c>
      <c r="E134" s="19" t="n">
        <v>0</v>
      </c>
      <c r="F134" s="20" t="n">
        <v>0</v>
      </c>
      <c r="G134" s="21" t="n">
        <v>49.2</v>
      </c>
      <c r="H134" s="21" t="n">
        <v>0</v>
      </c>
      <c r="I134" s="22" t="n">
        <f aca="false">W$2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1601.04</v>
      </c>
      <c r="Q134" s="25" t="n">
        <f aca="false">IF(E134=0,IF((D134+N134-O134)&lt;0,ABS(D134+N134-O134),0),IF((N134-E134-O134)&lt;0,ABS(N134-E134-O134),0))</f>
        <v>0</v>
      </c>
      <c r="T134" s="26"/>
      <c r="U134" s="26"/>
      <c r="V134" s="26"/>
      <c r="W134" s="26"/>
      <c r="X134" s="26"/>
      <c r="Y134" s="26"/>
      <c r="Z134" s="26"/>
      <c r="AA134" s="26"/>
      <c r="AB134" s="26"/>
    </row>
    <row r="135" customFormat="false" ht="15" hidden="false" customHeight="false" outlineLevel="0" collapsed="false">
      <c r="A135" s="17" t="s">
        <v>401</v>
      </c>
      <c r="B135" s="18" t="s">
        <v>402</v>
      </c>
      <c r="C135" s="18" t="s">
        <v>403</v>
      </c>
      <c r="D135" s="19" t="n">
        <v>1694.18</v>
      </c>
      <c r="E135" s="19" t="n">
        <v>0</v>
      </c>
      <c r="F135" s="20" t="n">
        <v>0</v>
      </c>
      <c r="G135" s="21" t="n">
        <v>65.15</v>
      </c>
      <c r="H135" s="21" t="n">
        <v>0</v>
      </c>
      <c r="I135" s="22" t="n">
        <f aca="false">W$2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 t="n">
        <v>1700</v>
      </c>
      <c r="P135" s="25" t="n">
        <f aca="false">IF(D135=0,IF((N135-E135-O135)&gt;0,(N135-E135-O135),0),IF((D135+N135-O135)&gt;0,(D135+N135-O135),0))</f>
        <v>261.299999999999</v>
      </c>
      <c r="Q135" s="25" t="n">
        <f aca="false">IF(E135=0,IF((D135+N135-O135)&lt;0,ABS(D135+N135-O135),0),IF((N135-E135-O135)&lt;0,ABS(N135-E135-O135),0))</f>
        <v>0</v>
      </c>
      <c r="T135" s="26"/>
      <c r="U135" s="26"/>
      <c r="V135" s="26"/>
      <c r="W135" s="26"/>
      <c r="X135" s="26"/>
      <c r="Y135" s="26"/>
      <c r="Z135" s="26"/>
      <c r="AA135" s="26"/>
      <c r="AB135" s="26"/>
    </row>
    <row r="136" customFormat="false" ht="15" hidden="false" customHeight="false" outlineLevel="0" collapsed="false">
      <c r="A136" s="17" t="s">
        <v>404</v>
      </c>
      <c r="B136" s="18" t="s">
        <v>405</v>
      </c>
      <c r="C136" s="18" t="s">
        <v>406</v>
      </c>
      <c r="D136" s="19" t="n">
        <v>1276.58</v>
      </c>
      <c r="E136" s="19" t="n">
        <v>0</v>
      </c>
      <c r="F136" s="20" t="n">
        <v>0</v>
      </c>
      <c r="G136" s="21" t="n">
        <v>62.3</v>
      </c>
      <c r="H136" s="21" t="n">
        <v>0</v>
      </c>
      <c r="I136" s="22" t="n">
        <f aca="false">W$2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1532.01</v>
      </c>
      <c r="Q136" s="25" t="n">
        <f aca="false">IF(E136=0,IF((D136+N136-O136)&lt;0,ABS(D136+N136-O136),0),IF((N136-E136-O136)&lt;0,ABS(N136-E136-O136),0))</f>
        <v>0</v>
      </c>
      <c r="T136" s="26"/>
      <c r="U136" s="26"/>
      <c r="V136" s="26"/>
      <c r="W136" s="26"/>
      <c r="X136" s="26"/>
      <c r="Y136" s="26"/>
      <c r="Z136" s="26"/>
      <c r="AA136" s="26"/>
      <c r="AB136" s="26"/>
    </row>
    <row r="137" customFormat="false" ht="15" hidden="false" customHeight="false" outlineLevel="0" collapsed="false">
      <c r="A137" s="17" t="s">
        <v>407</v>
      </c>
      <c r="B137" s="18" t="s">
        <v>408</v>
      </c>
      <c r="C137" s="18" t="s">
        <v>409</v>
      </c>
      <c r="D137" s="19" t="n">
        <v>1113.26</v>
      </c>
      <c r="E137" s="19" t="n">
        <v>0</v>
      </c>
      <c r="F137" s="20" t="n">
        <v>0</v>
      </c>
      <c r="G137" s="21" t="n">
        <v>35.3</v>
      </c>
      <c r="H137" s="21" t="n">
        <v>0</v>
      </c>
      <c r="I137" s="22" t="n">
        <f aca="false">W$2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1257.99</v>
      </c>
      <c r="Q137" s="25" t="n">
        <f aca="false">IF(E137=0,IF((D137+N137-O137)&lt;0,ABS(D137+N137-O137),0),IF((N137-E137-O137)&lt;0,ABS(N137-E137-O137),0))</f>
        <v>0</v>
      </c>
      <c r="T137" s="26"/>
      <c r="U137" s="26"/>
      <c r="V137" s="26"/>
      <c r="W137" s="26"/>
      <c r="X137" s="26"/>
      <c r="Y137" s="26"/>
      <c r="Z137" s="26"/>
      <c r="AA137" s="26"/>
      <c r="AB137" s="26"/>
    </row>
    <row r="138" customFormat="false" ht="15" hidden="false" customHeight="false" outlineLevel="0" collapsed="false">
      <c r="A138" s="17" t="s">
        <v>410</v>
      </c>
      <c r="B138" s="18" t="s">
        <v>411</v>
      </c>
      <c r="C138" s="18" t="s">
        <v>412</v>
      </c>
      <c r="D138" s="19" t="n">
        <v>1972.42</v>
      </c>
      <c r="E138" s="19" t="n">
        <v>0</v>
      </c>
      <c r="F138" s="20" t="n">
        <v>0</v>
      </c>
      <c r="G138" s="21" t="n">
        <v>49.78</v>
      </c>
      <c r="H138" s="21" t="n">
        <v>0</v>
      </c>
      <c r="I138" s="22" t="n">
        <f aca="false">W$2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2176.52</v>
      </c>
      <c r="Q138" s="25" t="n">
        <f aca="false">IF(E138=0,IF((D138+N138-O138)&lt;0,ABS(D138+N138-O138),0),IF((N138-E138-O138)&lt;0,ABS(N138-E138-O138),0))</f>
        <v>0</v>
      </c>
      <c r="T138" s="26"/>
      <c r="U138" s="26"/>
      <c r="V138" s="26"/>
      <c r="W138" s="26"/>
      <c r="X138" s="26"/>
      <c r="Y138" s="26"/>
      <c r="Z138" s="26"/>
      <c r="AA138" s="26"/>
      <c r="AB138" s="26"/>
    </row>
    <row r="139" customFormat="false" ht="15" hidden="false" customHeight="false" outlineLevel="0" collapsed="false">
      <c r="A139" s="17" t="s">
        <v>413</v>
      </c>
      <c r="B139" s="18" t="s">
        <v>414</v>
      </c>
      <c r="C139" s="18" t="s">
        <v>415</v>
      </c>
      <c r="D139" s="19" t="n">
        <v>1664.71</v>
      </c>
      <c r="E139" s="19" t="n">
        <v>0</v>
      </c>
      <c r="F139" s="20" t="n">
        <v>0</v>
      </c>
      <c r="G139" s="21" t="n">
        <v>65.93</v>
      </c>
      <c r="H139" s="21" t="n">
        <v>0</v>
      </c>
      <c r="I139" s="22" t="n">
        <f aca="false">W$2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v>600</v>
      </c>
      <c r="P139" s="25" t="n">
        <f aca="false">IF(D139=0,IF((N139-E139-O139)&gt;0,(N139-E139-O139),0),IF((D139+N139-O139)&gt;0,(D139+N139-O139),0))</f>
        <v>1335.02</v>
      </c>
      <c r="Q139" s="25" t="n">
        <f aca="false">IF(E139=0,IF((D139+N139-O139)&lt;0,ABS(D139+N139-O139),0),IF((N139-E139-O139)&lt;0,ABS(N139-E139-O139),0))</f>
        <v>0</v>
      </c>
      <c r="T139" s="26"/>
      <c r="U139" s="26"/>
      <c r="V139" s="26"/>
      <c r="W139" s="26"/>
      <c r="X139" s="26"/>
      <c r="Y139" s="26"/>
      <c r="Z139" s="26"/>
      <c r="AA139" s="26"/>
      <c r="AB139" s="26"/>
    </row>
    <row r="140" customFormat="false" ht="15" hidden="false" customHeight="false" outlineLevel="0" collapsed="false">
      <c r="A140" s="17" t="s">
        <v>416</v>
      </c>
      <c r="B140" s="18" t="s">
        <v>417</v>
      </c>
      <c r="C140" s="18" t="s">
        <v>418</v>
      </c>
      <c r="D140" s="19" t="n">
        <v>3066.45</v>
      </c>
      <c r="E140" s="19" t="n">
        <v>0</v>
      </c>
      <c r="F140" s="20" t="n">
        <v>0</v>
      </c>
      <c r="G140" s="21" t="n">
        <v>62.36</v>
      </c>
      <c r="H140" s="21" t="n">
        <v>0</v>
      </c>
      <c r="I140" s="22" t="n">
        <f aca="false">W$2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3322.13</v>
      </c>
      <c r="Q140" s="25" t="n">
        <f aca="false">IF(E140=0,IF((D140+N140-O140)&lt;0,ABS(D140+N140-O140),0),IF((N140-E140-O140)&lt;0,ABS(N140-E140-O140),0))</f>
        <v>0</v>
      </c>
      <c r="T140" s="26"/>
      <c r="U140" s="26"/>
      <c r="V140" s="26"/>
      <c r="W140" s="26"/>
      <c r="X140" s="26"/>
      <c r="Y140" s="26"/>
      <c r="Z140" s="26"/>
      <c r="AA140" s="26"/>
      <c r="AB140" s="26"/>
    </row>
    <row r="141" customFormat="false" ht="15" hidden="false" customHeight="false" outlineLevel="0" collapsed="false">
      <c r="A141" s="17" t="s">
        <v>419</v>
      </c>
      <c r="B141" s="18" t="s">
        <v>420</v>
      </c>
      <c r="C141" s="18" t="s">
        <v>421</v>
      </c>
      <c r="D141" s="19" t="n">
        <v>1726.92</v>
      </c>
      <c r="E141" s="19" t="n">
        <v>0</v>
      </c>
      <c r="F141" s="20" t="n">
        <v>0</v>
      </c>
      <c r="G141" s="21" t="n">
        <v>35.1</v>
      </c>
      <c r="H141" s="21" t="n">
        <v>0</v>
      </c>
      <c r="I141" s="22" t="n">
        <f aca="false">W$2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1870.83</v>
      </c>
      <c r="Q141" s="25" t="n">
        <f aca="false">IF(E141=0,IF((D141+N141-O141)&lt;0,ABS(D141+N141-O141),0),IF((N141-E141-O141)&lt;0,ABS(N141-E141-O141),0))</f>
        <v>0</v>
      </c>
      <c r="T141" s="26"/>
      <c r="U141" s="26"/>
      <c r="V141" s="26"/>
      <c r="W141" s="26"/>
      <c r="X141" s="26"/>
      <c r="Y141" s="26"/>
      <c r="Z141" s="26"/>
      <c r="AA141" s="26"/>
      <c r="AB141" s="26"/>
    </row>
    <row r="142" customFormat="false" ht="15" hidden="false" customHeight="false" outlineLevel="0" collapsed="false">
      <c r="A142" s="17" t="s">
        <v>422</v>
      </c>
      <c r="B142" s="18" t="s">
        <v>423</v>
      </c>
      <c r="C142" s="18" t="s">
        <v>424</v>
      </c>
      <c r="D142" s="19" t="n">
        <v>3972.63</v>
      </c>
      <c r="E142" s="19" t="n">
        <v>0</v>
      </c>
      <c r="F142" s="20" t="n">
        <v>0</v>
      </c>
      <c r="G142" s="21" t="n">
        <v>49.47</v>
      </c>
      <c r="H142" s="21" t="n">
        <v>0</v>
      </c>
      <c r="I142" s="22" t="n">
        <f aca="false">W$2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4175.46</v>
      </c>
      <c r="Q142" s="25" t="n">
        <f aca="false">IF(E142=0,IF((D142+N142-O142)&lt;0,ABS(D142+N142-O142),0),IF((N142-E142-O142)&lt;0,ABS(N142-E142-O142),0))</f>
        <v>0</v>
      </c>
      <c r="T142" s="26"/>
      <c r="U142" s="26"/>
      <c r="V142" s="26"/>
      <c r="W142" s="26"/>
      <c r="X142" s="26"/>
      <c r="Y142" s="26"/>
      <c r="Z142" s="26"/>
      <c r="AA142" s="26"/>
      <c r="AB142" s="26"/>
    </row>
    <row r="143" customFormat="false" ht="15" hidden="false" customHeight="false" outlineLevel="0" collapsed="false">
      <c r="A143" s="17" t="s">
        <v>425</v>
      </c>
      <c r="B143" s="18" t="s">
        <v>426</v>
      </c>
      <c r="C143" s="18" t="s">
        <v>427</v>
      </c>
      <c r="D143" s="19" t="n">
        <v>1074.87</v>
      </c>
      <c r="E143" s="19" t="n">
        <v>0</v>
      </c>
      <c r="F143" s="20" t="n">
        <v>0</v>
      </c>
      <c r="G143" s="21" t="n">
        <v>65.65</v>
      </c>
      <c r="H143" s="21" t="n">
        <v>0</v>
      </c>
      <c r="I143" s="22" t="n">
        <f aca="false">W$2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1344.04</v>
      </c>
      <c r="Q143" s="25" t="n">
        <f aca="false">IF(E143=0,IF((D143+N143-O143)&lt;0,ABS(D143+N143-O143),0),IF((N143-E143-O143)&lt;0,ABS(N143-E143-O143),0))</f>
        <v>0</v>
      </c>
      <c r="T143" s="26"/>
      <c r="U143" s="26"/>
      <c r="V143" s="26"/>
      <c r="W143" s="26"/>
      <c r="X143" s="26"/>
      <c r="Y143" s="26"/>
      <c r="Z143" s="26"/>
      <c r="AA143" s="26"/>
      <c r="AB143" s="26"/>
    </row>
    <row r="144" customFormat="false" ht="15" hidden="false" customHeight="false" outlineLevel="0" collapsed="false">
      <c r="A144" s="17" t="s">
        <v>428</v>
      </c>
      <c r="B144" s="18" t="s">
        <v>429</v>
      </c>
      <c r="C144" s="18" t="s">
        <v>430</v>
      </c>
      <c r="D144" s="19" t="n">
        <v>1781.59</v>
      </c>
      <c r="E144" s="19" t="n">
        <v>0</v>
      </c>
      <c r="F144" s="20" t="n">
        <v>0</v>
      </c>
      <c r="G144" s="21" t="n">
        <v>62.1</v>
      </c>
      <c r="H144" s="21" t="n">
        <v>0</v>
      </c>
      <c r="I144" s="22" t="n">
        <f aca="false">W$2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2036.2</v>
      </c>
      <c r="Q144" s="25" t="n">
        <f aca="false">IF(E144=0,IF((D144+N144-O144)&lt;0,ABS(D144+N144-O144),0),IF((N144-E144-O144)&lt;0,ABS(N144-E144-O144),0))</f>
        <v>0</v>
      </c>
      <c r="T144" s="26"/>
      <c r="U144" s="26"/>
      <c r="V144" s="26"/>
      <c r="W144" s="26"/>
      <c r="X144" s="26"/>
      <c r="Y144" s="26"/>
      <c r="Z144" s="26"/>
      <c r="AA144" s="26"/>
      <c r="AB144" s="26"/>
    </row>
    <row r="145" customFormat="false" ht="15" hidden="false" customHeight="false" outlineLevel="0" collapsed="false">
      <c r="A145" s="17" t="s">
        <v>431</v>
      </c>
      <c r="B145" s="18" t="s">
        <v>432</v>
      </c>
      <c r="C145" s="18" t="s">
        <v>433</v>
      </c>
      <c r="D145" s="19" t="n">
        <v>1043.2</v>
      </c>
      <c r="E145" s="19" t="n">
        <v>0</v>
      </c>
      <c r="F145" s="20" t="n">
        <v>0</v>
      </c>
      <c r="G145" s="21" t="n">
        <v>35.2</v>
      </c>
      <c r="H145" s="21" t="n">
        <v>0</v>
      </c>
      <c r="I145" s="22" t="n">
        <f aca="false">W$2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1187.52</v>
      </c>
      <c r="Q145" s="25" t="n">
        <f aca="false">IF(E145=0,IF((D145+N145-O145)&lt;0,ABS(D145+N145-O145),0),IF((N145-E145-O145)&lt;0,ABS(N145-E145-O145),0))</f>
        <v>0</v>
      </c>
      <c r="T145" s="26"/>
      <c r="U145" s="26"/>
      <c r="V145" s="26"/>
      <c r="W145" s="26"/>
      <c r="X145" s="26"/>
      <c r="Y145" s="26"/>
      <c r="Z145" s="26"/>
      <c r="AA145" s="26"/>
      <c r="AB145" s="26"/>
    </row>
    <row r="146" customFormat="false" ht="15" hidden="false" customHeight="false" outlineLevel="0" collapsed="false">
      <c r="A146" s="17" t="s">
        <v>434</v>
      </c>
      <c r="B146" s="18" t="s">
        <v>435</v>
      </c>
      <c r="C146" s="18" t="s">
        <v>436</v>
      </c>
      <c r="D146" s="19" t="n">
        <v>0</v>
      </c>
      <c r="E146" s="19" t="n">
        <v>0.320000000000221</v>
      </c>
      <c r="F146" s="20" t="n">
        <v>0</v>
      </c>
      <c r="G146" s="21" t="n">
        <v>49.9</v>
      </c>
      <c r="H146" s="21" t="n">
        <v>0</v>
      </c>
      <c r="I146" s="22" t="n">
        <f aca="false">W$2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204.27</v>
      </c>
      <c r="Q146" s="25" t="n">
        <f aca="false">IF(E146=0,IF((D146+N146-O146)&lt;0,ABS(D146+N146-O146),0),IF((N146-E146-O146)&lt;0,ABS(N146-E146-O146),0))</f>
        <v>0</v>
      </c>
      <c r="T146" s="26"/>
      <c r="U146" s="26"/>
      <c r="V146" s="26"/>
      <c r="W146" s="26"/>
      <c r="X146" s="26"/>
      <c r="Y146" s="26"/>
      <c r="Z146" s="26"/>
      <c r="AA146" s="26"/>
      <c r="AB146" s="26"/>
    </row>
    <row r="147" customFormat="false" ht="15" hidden="false" customHeight="false" outlineLevel="0" collapsed="false">
      <c r="A147" s="17" t="s">
        <v>437</v>
      </c>
      <c r="B147" s="18" t="s">
        <v>438</v>
      </c>
      <c r="C147" s="18" t="s">
        <v>439</v>
      </c>
      <c r="D147" s="19" t="n">
        <v>0</v>
      </c>
      <c r="E147" s="19" t="n">
        <v>76.3400000000002</v>
      </c>
      <c r="F147" s="20" t="n">
        <v>0</v>
      </c>
      <c r="G147" s="21" t="n">
        <v>65.8</v>
      </c>
      <c r="H147" s="21" t="n">
        <v>0</v>
      </c>
      <c r="I147" s="22" t="n">
        <f aca="false">W$2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193.44</v>
      </c>
      <c r="Q147" s="25" t="n">
        <f aca="false">IF(E147=0,IF((D147+N147-O147)&lt;0,ABS(D147+N147-O147),0),IF((N147-E147-O147)&lt;0,ABS(N147-E147-O147),0))</f>
        <v>0</v>
      </c>
      <c r="T147" s="26"/>
      <c r="U147" s="26"/>
      <c r="V147" s="26"/>
      <c r="W147" s="26"/>
      <c r="X147" s="26"/>
      <c r="Y147" s="26"/>
      <c r="Z147" s="26"/>
      <c r="AA147" s="26"/>
      <c r="AB147" s="26"/>
    </row>
    <row r="148" customFormat="false" ht="15" hidden="false" customHeight="false" outlineLevel="0" collapsed="false">
      <c r="A148" s="17" t="s">
        <v>440</v>
      </c>
      <c r="B148" s="18" t="s">
        <v>441</v>
      </c>
      <c r="C148" s="18" t="s">
        <v>442</v>
      </c>
      <c r="D148" s="19" t="n">
        <v>2358.52</v>
      </c>
      <c r="E148" s="19" t="n">
        <v>0</v>
      </c>
      <c r="F148" s="20" t="n">
        <v>0</v>
      </c>
      <c r="G148" s="21" t="n">
        <v>63.2</v>
      </c>
      <c r="H148" s="21" t="n">
        <v>0</v>
      </c>
      <c r="I148" s="22" t="n">
        <f aca="false">W$2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2617.64</v>
      </c>
      <c r="Q148" s="25" t="n">
        <f aca="false">IF(E148=0,IF((D148+N148-O148)&lt;0,ABS(D148+N148-O148),0),IF((N148-E148-O148)&lt;0,ABS(N148-E148-O148),0))</f>
        <v>0</v>
      </c>
      <c r="T148" s="26"/>
      <c r="U148" s="26"/>
      <c r="V148" s="26"/>
      <c r="W148" s="26"/>
      <c r="X148" s="26"/>
      <c r="Y148" s="26"/>
      <c r="Z148" s="26"/>
      <c r="AA148" s="26"/>
      <c r="AB148" s="26"/>
    </row>
    <row r="149" customFormat="false" ht="15" hidden="false" customHeight="false" outlineLevel="0" collapsed="false">
      <c r="A149" s="17" t="s">
        <v>443</v>
      </c>
      <c r="B149" s="18" t="s">
        <v>444</v>
      </c>
      <c r="C149" s="18" t="s">
        <v>445</v>
      </c>
      <c r="D149" s="19" t="n">
        <v>806.45</v>
      </c>
      <c r="E149" s="19" t="n">
        <v>0</v>
      </c>
      <c r="F149" s="20" t="n">
        <v>0</v>
      </c>
      <c r="G149" s="21" t="n">
        <v>34.9</v>
      </c>
      <c r="H149" s="21" t="n">
        <v>0</v>
      </c>
      <c r="I149" s="22" t="n">
        <f aca="false">W$2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949.54</v>
      </c>
      <c r="Q149" s="25" t="n">
        <f aca="false">IF(E149=0,IF((D149+N149-O149)&lt;0,ABS(D149+N149-O149),0),IF((N149-E149-O149)&lt;0,ABS(N149-E149-O149),0))</f>
        <v>0</v>
      </c>
      <c r="T149" s="26"/>
      <c r="U149" s="26"/>
      <c r="V149" s="26"/>
      <c r="W149" s="26"/>
      <c r="X149" s="26"/>
      <c r="Y149" s="26"/>
      <c r="Z149" s="26"/>
      <c r="AA149" s="26"/>
      <c r="AB149" s="26"/>
    </row>
    <row r="150" customFormat="false" ht="15" hidden="false" customHeight="false" outlineLevel="0" collapsed="false">
      <c r="A150" s="17" t="s">
        <v>446</v>
      </c>
      <c r="B150" s="18" t="s">
        <v>447</v>
      </c>
      <c r="C150" s="18" t="s">
        <v>448</v>
      </c>
      <c r="D150" s="19" t="n">
        <v>2066.4</v>
      </c>
      <c r="E150" s="19" t="n">
        <v>0</v>
      </c>
      <c r="F150" s="20" t="n">
        <v>0</v>
      </c>
      <c r="G150" s="21" t="n">
        <v>50.4</v>
      </c>
      <c r="H150" s="21" t="n">
        <v>0</v>
      </c>
      <c r="I150" s="22" t="n">
        <f aca="false">W$2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2273.04</v>
      </c>
      <c r="Q150" s="25" t="n">
        <f aca="false">IF(E150=0,IF((D150+N150-O150)&lt;0,ABS(D150+N150-O150),0),IF((N150-E150-O150)&lt;0,ABS(N150-E150-O150),0))</f>
        <v>0</v>
      </c>
      <c r="T150" s="26"/>
      <c r="U150" s="26"/>
      <c r="V150" s="26"/>
      <c r="W150" s="26"/>
      <c r="X150" s="26"/>
      <c r="Y150" s="26"/>
      <c r="Z150" s="26"/>
      <c r="AA150" s="26"/>
      <c r="AB150" s="26"/>
    </row>
    <row r="151" customFormat="false" ht="15" hidden="false" customHeight="false" outlineLevel="0" collapsed="false">
      <c r="A151" s="17" t="s">
        <v>449</v>
      </c>
      <c r="B151" s="18" t="s">
        <v>450</v>
      </c>
      <c r="C151" s="18" t="s">
        <v>451</v>
      </c>
      <c r="D151" s="19" t="n">
        <v>3995.25</v>
      </c>
      <c r="E151" s="19" t="n">
        <v>0</v>
      </c>
      <c r="F151" s="20" t="n">
        <v>0</v>
      </c>
      <c r="G151" s="21" t="n">
        <v>65.2</v>
      </c>
      <c r="H151" s="21" t="n">
        <v>0</v>
      </c>
      <c r="I151" s="22" t="n">
        <f aca="false">W$2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4262.57</v>
      </c>
      <c r="Q151" s="25" t="n">
        <f aca="false">IF(E151=0,IF((D151+N151-O151)&lt;0,ABS(D151+N151-O151),0),IF((N151-E151-O151)&lt;0,ABS(N151-E151-O151),0))</f>
        <v>0</v>
      </c>
      <c r="T151" s="26"/>
      <c r="U151" s="26"/>
      <c r="V151" s="26"/>
      <c r="W151" s="26"/>
      <c r="X151" s="26"/>
      <c r="Y151" s="26"/>
      <c r="Z151" s="26"/>
      <c r="AA151" s="26"/>
      <c r="AB151" s="26"/>
    </row>
    <row r="152" customFormat="false" ht="15" hidden="false" customHeight="false" outlineLevel="0" collapsed="false">
      <c r="A152" s="17" t="s">
        <v>452</v>
      </c>
      <c r="B152" s="18" t="s">
        <v>453</v>
      </c>
      <c r="C152" s="18" t="s">
        <v>454</v>
      </c>
      <c r="D152" s="19" t="n">
        <v>0</v>
      </c>
      <c r="E152" s="19" t="n">
        <v>2.27373675443232E-013</v>
      </c>
      <c r="F152" s="20" t="n">
        <v>0</v>
      </c>
      <c r="G152" s="21" t="n">
        <v>64.57</v>
      </c>
      <c r="H152" s="21" t="n">
        <v>0</v>
      </c>
      <c r="I152" s="22" t="n">
        <f aca="false">W$2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264.74</v>
      </c>
      <c r="Q152" s="25" t="n">
        <f aca="false">IF(E152=0,IF((D152+N152-O152)&lt;0,ABS(D152+N152-O152),0),IF((N152-E152-O152)&lt;0,ABS(N152-E152-O152),0))</f>
        <v>0</v>
      </c>
      <c r="T152" s="26"/>
      <c r="U152" s="26"/>
      <c r="V152" s="26"/>
      <c r="W152" s="26"/>
      <c r="X152" s="26"/>
      <c r="Y152" s="26"/>
      <c r="Z152" s="26"/>
      <c r="AA152" s="26"/>
      <c r="AB152" s="26"/>
    </row>
    <row r="153" customFormat="false" ht="15" hidden="false" customHeight="false" outlineLevel="0" collapsed="false">
      <c r="A153" s="17" t="s">
        <v>455</v>
      </c>
      <c r="B153" s="18" t="s">
        <v>456</v>
      </c>
      <c r="C153" s="18" t="s">
        <v>457</v>
      </c>
      <c r="D153" s="19" t="n">
        <v>3852.09</v>
      </c>
      <c r="E153" s="19" t="n">
        <v>0</v>
      </c>
      <c r="F153" s="20" t="n">
        <v>0</v>
      </c>
      <c r="G153" s="21" t="n">
        <v>48.7</v>
      </c>
      <c r="H153" s="21" t="n">
        <v>0</v>
      </c>
      <c r="I153" s="22" t="n">
        <f aca="false">W$2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4051.76</v>
      </c>
      <c r="Q153" s="25" t="n">
        <f aca="false">IF(E153=0,IF((D153+N153-O153)&lt;0,ABS(D153+N153-O153),0),IF((N153-E153-O153)&lt;0,ABS(N153-E153-O153),0))</f>
        <v>0</v>
      </c>
      <c r="T153" s="26"/>
      <c r="U153" s="26"/>
      <c r="V153" s="26"/>
      <c r="W153" s="26"/>
      <c r="X153" s="26"/>
      <c r="Y153" s="26"/>
      <c r="Z153" s="26"/>
      <c r="AA153" s="26"/>
      <c r="AB153" s="26"/>
    </row>
    <row r="154" customFormat="false" ht="15" hidden="false" customHeight="false" outlineLevel="0" collapsed="false">
      <c r="A154" s="17" t="s">
        <v>458</v>
      </c>
      <c r="B154" s="18" t="s">
        <v>459</v>
      </c>
      <c r="C154" s="18" t="s">
        <v>460</v>
      </c>
      <c r="D154" s="19" t="n">
        <v>1583.01</v>
      </c>
      <c r="E154" s="19" t="n">
        <v>0</v>
      </c>
      <c r="F154" s="20" t="n">
        <v>0</v>
      </c>
      <c r="G154" s="21" t="n">
        <v>35.1</v>
      </c>
      <c r="H154" s="21" t="n">
        <v>0</v>
      </c>
      <c r="I154" s="22" t="n">
        <f aca="false">W$2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1726.92</v>
      </c>
      <c r="Q154" s="25" t="n">
        <f aca="false">IF(E154=0,IF((D154+N154-O154)&lt;0,ABS(D154+N154-O154),0),IF((N154-E154-O154)&lt;0,ABS(N154-E154-O154),0))</f>
        <v>0</v>
      </c>
      <c r="T154" s="26"/>
      <c r="U154" s="26"/>
      <c r="V154" s="26"/>
      <c r="W154" s="26"/>
      <c r="X154" s="26"/>
      <c r="Y154" s="26"/>
      <c r="Z154" s="26"/>
      <c r="AA154" s="26"/>
      <c r="AB154" s="26"/>
    </row>
    <row r="155" customFormat="false" ht="15" hidden="false" customHeight="false" outlineLevel="0" collapsed="false">
      <c r="A155" s="17" t="s">
        <v>461</v>
      </c>
      <c r="B155" s="18" t="s">
        <v>462</v>
      </c>
      <c r="C155" s="18" t="s">
        <v>463</v>
      </c>
      <c r="D155" s="19" t="n">
        <v>0</v>
      </c>
      <c r="E155" s="19" t="n">
        <v>219.64</v>
      </c>
      <c r="F155" s="20" t="n">
        <v>0</v>
      </c>
      <c r="G155" s="21" t="n">
        <v>53.57</v>
      </c>
      <c r="H155" s="21" t="n">
        <v>0</v>
      </c>
      <c r="I155" s="22" t="n">
        <f aca="false">W$2</f>
        <v>4.1</v>
      </c>
      <c r="J155" s="23" t="n">
        <f aca="false">ROUND(G155*I155,2)</f>
        <v>219.64</v>
      </c>
      <c r="K155" s="19"/>
      <c r="L155" s="19" t="n">
        <v>219.64</v>
      </c>
      <c r="M155" s="19"/>
      <c r="N155" s="19" t="n">
        <f aca="false">ROUND((G155*I155)-K155-L155-M155,2)</f>
        <v>-0</v>
      </c>
      <c r="O155" s="19"/>
      <c r="P155" s="25" t="n">
        <f aca="false">IF(D155=0,IF((N155-E155-O155)&gt;0,(N155-E155-O155),0),IF((D155+N155-O155)&gt;0,(D155+N155-O155),0))</f>
        <v>0</v>
      </c>
      <c r="Q155" s="25" t="n">
        <f aca="false">IF(E155=0,IF((D155+N155-O155)&lt;0,ABS(D155+N155-O155),0),IF((N155-E155-O155)&lt;0,ABS(N155-E155-O155),0))</f>
        <v>219.64</v>
      </c>
      <c r="T155" s="26"/>
      <c r="U155" s="26"/>
      <c r="V155" s="26"/>
      <c r="W155" s="26"/>
      <c r="X155" s="26"/>
      <c r="Y155" s="26"/>
      <c r="Z155" s="26"/>
      <c r="AA155" s="26"/>
      <c r="AB155" s="26"/>
    </row>
    <row r="156" customFormat="false" ht="15" hidden="false" customHeight="false" outlineLevel="0" collapsed="false">
      <c r="A156" s="17" t="s">
        <v>464</v>
      </c>
      <c r="B156" s="18" t="s">
        <v>465</v>
      </c>
      <c r="C156" s="18" t="s">
        <v>466</v>
      </c>
      <c r="D156" s="19" t="n">
        <v>0</v>
      </c>
      <c r="E156" s="19" t="n">
        <v>732.96</v>
      </c>
      <c r="F156" s="20" t="n">
        <v>0</v>
      </c>
      <c r="G156" s="21" t="n">
        <v>65.7</v>
      </c>
      <c r="H156" s="21" t="n">
        <v>0</v>
      </c>
      <c r="I156" s="22" t="n">
        <f aca="false">W$2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769.61</v>
      </c>
      <c r="T156" s="26"/>
      <c r="U156" s="26"/>
      <c r="V156" s="26"/>
      <c r="W156" s="26"/>
      <c r="X156" s="26"/>
      <c r="Y156" s="26"/>
      <c r="Z156" s="26"/>
      <c r="AA156" s="26"/>
      <c r="AB156" s="26"/>
    </row>
    <row r="157" customFormat="false" ht="15" hidden="false" customHeight="false" outlineLevel="0" collapsed="false">
      <c r="A157" s="17" t="s">
        <v>467</v>
      </c>
      <c r="B157" s="18" t="s">
        <v>468</v>
      </c>
      <c r="C157" s="18" t="s">
        <v>469</v>
      </c>
      <c r="D157" s="19" t="n">
        <v>1549.78</v>
      </c>
      <c r="E157" s="19" t="n">
        <v>0</v>
      </c>
      <c r="F157" s="20" t="n">
        <v>0</v>
      </c>
      <c r="G157" s="21" t="n">
        <v>49.78</v>
      </c>
      <c r="H157" s="21" t="n">
        <v>0</v>
      </c>
      <c r="I157" s="22" t="n">
        <f aca="false">W$2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1753.88</v>
      </c>
      <c r="Q157" s="25" t="n">
        <f aca="false">IF(E157=0,IF((D157+N157-O157)&lt;0,ABS(D157+N157-O157),0),IF((N157-E157-O157)&lt;0,ABS(N157-E157-O157),0))</f>
        <v>0</v>
      </c>
      <c r="T157" s="26"/>
      <c r="U157" s="26"/>
      <c r="V157" s="26"/>
      <c r="W157" s="26"/>
      <c r="X157" s="26"/>
      <c r="Y157" s="26"/>
      <c r="Z157" s="26"/>
      <c r="AA157" s="26"/>
      <c r="AB157" s="26"/>
    </row>
    <row r="158" customFormat="false" ht="15" hidden="false" customHeight="false" outlineLevel="0" collapsed="false">
      <c r="A158" s="17" t="s">
        <v>470</v>
      </c>
      <c r="B158" s="18" t="s">
        <v>471</v>
      </c>
      <c r="C158" s="18" t="s">
        <v>472</v>
      </c>
      <c r="D158" s="19" t="n">
        <v>1722</v>
      </c>
      <c r="E158" s="19" t="n">
        <v>0</v>
      </c>
      <c r="F158" s="20" t="n">
        <v>0</v>
      </c>
      <c r="G158" s="21" t="n">
        <v>35</v>
      </c>
      <c r="H158" s="21" t="n">
        <v>0</v>
      </c>
      <c r="I158" s="22" t="n">
        <f aca="false">W$2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1865.5</v>
      </c>
      <c r="Q158" s="25" t="n">
        <f aca="false">IF(E158=0,IF((D158+N158-O158)&lt;0,ABS(D158+N158-O158),0),IF((N158-E158-O158)&lt;0,ABS(N158-E158-O158),0))</f>
        <v>0</v>
      </c>
      <c r="T158" s="26"/>
      <c r="U158" s="26"/>
      <c r="V158" s="26"/>
      <c r="W158" s="26"/>
      <c r="X158" s="26"/>
      <c r="Y158" s="26"/>
      <c r="Z158" s="26"/>
      <c r="AA158" s="26"/>
      <c r="AB158" s="26"/>
    </row>
    <row r="159" customFormat="false" ht="15" hidden="false" customHeight="false" outlineLevel="0" collapsed="false">
      <c r="A159" s="17" t="s">
        <v>473</v>
      </c>
      <c r="B159" s="18" t="s">
        <v>474</v>
      </c>
      <c r="C159" s="18" t="s">
        <v>475</v>
      </c>
      <c r="D159" s="19" t="n">
        <v>2031.89</v>
      </c>
      <c r="E159" s="19" t="n">
        <v>0</v>
      </c>
      <c r="F159" s="20" t="n">
        <v>0</v>
      </c>
      <c r="G159" s="21" t="n">
        <v>62.08</v>
      </c>
      <c r="H159" s="21" t="n">
        <v>0</v>
      </c>
      <c r="I159" s="22" t="n">
        <f aca="false">W$2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2286.42</v>
      </c>
      <c r="Q159" s="25" t="n">
        <f aca="false">IF(E159=0,IF((D159+N159-O159)&lt;0,ABS(D159+N159-O159),0),IF((N159-E159-O159)&lt;0,ABS(N159-E159-O159),0))</f>
        <v>0</v>
      </c>
      <c r="T159" s="26"/>
      <c r="U159" s="26"/>
      <c r="V159" s="26"/>
      <c r="W159" s="26"/>
      <c r="X159" s="26"/>
      <c r="Y159" s="26"/>
      <c r="Z159" s="26"/>
      <c r="AA159" s="26"/>
      <c r="AB159" s="26"/>
    </row>
    <row r="160" customFormat="false" ht="15" hidden="false" customHeight="false" outlineLevel="0" collapsed="false">
      <c r="A160" s="17" t="s">
        <v>476</v>
      </c>
      <c r="B160" s="18" t="s">
        <v>477</v>
      </c>
      <c r="C160" s="18" t="s">
        <v>478</v>
      </c>
      <c r="D160" s="19" t="n">
        <v>0</v>
      </c>
      <c r="E160" s="19" t="n">
        <v>2.27373675443232E-013</v>
      </c>
      <c r="F160" s="20" t="n">
        <v>0</v>
      </c>
      <c r="G160" s="21" t="n">
        <v>65.86</v>
      </c>
      <c r="H160" s="21" t="n">
        <v>0</v>
      </c>
      <c r="I160" s="22" t="n">
        <f aca="false">W$2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/>
      <c r="P160" s="25" t="n">
        <f aca="false">IF(D160=0,IF((N160-E160-O160)&gt;0,(N160-E160-O160),0),IF((D160+N160-O160)&gt;0,(D160+N160-O160),0))</f>
        <v>270.03</v>
      </c>
      <c r="Q160" s="25" t="n">
        <f aca="false">IF(E160=0,IF((D160+N160-O160)&lt;0,ABS(D160+N160-O160),0),IF((N160-E160-O160)&lt;0,ABS(N160-E160-O160),0))</f>
        <v>0</v>
      </c>
      <c r="T160" s="26"/>
      <c r="U160" s="26"/>
      <c r="V160" s="26"/>
      <c r="W160" s="26"/>
      <c r="X160" s="26"/>
      <c r="Y160" s="26"/>
      <c r="Z160" s="26"/>
      <c r="AA160" s="26"/>
      <c r="AB160" s="26"/>
    </row>
    <row r="161" customFormat="false" ht="15" hidden="false" customHeight="false" outlineLevel="0" collapsed="false">
      <c r="A161" s="17" t="s">
        <v>479</v>
      </c>
      <c r="B161" s="18" t="s">
        <v>480</v>
      </c>
      <c r="C161" s="18" t="s">
        <v>481</v>
      </c>
      <c r="D161" s="19" t="n">
        <v>2001.6</v>
      </c>
      <c r="E161" s="19" t="n">
        <v>0</v>
      </c>
      <c r="F161" s="20" t="n">
        <v>0</v>
      </c>
      <c r="G161" s="21" t="n">
        <v>49.95</v>
      </c>
      <c r="H161" s="21" t="n">
        <v>0</v>
      </c>
      <c r="I161" s="22" t="n">
        <f aca="false">W$2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2206.4</v>
      </c>
      <c r="Q161" s="25" t="n">
        <f aca="false">IF(E161=0,IF((D161+N161-O161)&lt;0,ABS(D161+N161-O161),0),IF((N161-E161-O161)&lt;0,ABS(N161-E161-O161),0))</f>
        <v>0</v>
      </c>
      <c r="T161" s="26"/>
      <c r="U161" s="26"/>
      <c r="V161" s="26"/>
      <c r="W161" s="26"/>
      <c r="X161" s="26"/>
      <c r="Y161" s="26"/>
      <c r="Z161" s="26"/>
      <c r="AA161" s="26"/>
      <c r="AB161" s="26"/>
    </row>
    <row r="162" customFormat="false" ht="15" hidden="false" customHeight="false" outlineLevel="0" collapsed="false">
      <c r="A162" s="17" t="s">
        <v>482</v>
      </c>
      <c r="B162" s="18" t="s">
        <v>483</v>
      </c>
      <c r="C162" s="18" t="s">
        <v>484</v>
      </c>
      <c r="D162" s="19" t="n">
        <v>375.46</v>
      </c>
      <c r="E162" s="19" t="n">
        <v>0</v>
      </c>
      <c r="F162" s="20" t="n">
        <v>0</v>
      </c>
      <c r="G162" s="21" t="n">
        <v>33.9</v>
      </c>
      <c r="H162" s="21" t="n">
        <v>0</v>
      </c>
      <c r="I162" s="22" t="n">
        <f aca="false">W$2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 t="n">
        <v>520</v>
      </c>
      <c r="P162" s="25" t="n">
        <f aca="false">IF(D162=0,IF((N162-E162-O162)&gt;0,(N162-E162-O162),0),IF((D162+N162-O162)&gt;0,(D162+N162-O162),0))</f>
        <v>0</v>
      </c>
      <c r="Q162" s="25" t="n">
        <f aca="false">IF(E162=0,IF((D162+N162-O162)&lt;0,ABS(D162+N162-O162),0),IF((N162-E162-O162)&lt;0,ABS(N162-E162-O162),0))</f>
        <v>5.54999999999995</v>
      </c>
      <c r="T162" s="26"/>
      <c r="U162" s="26"/>
      <c r="V162" s="26"/>
      <c r="W162" s="26"/>
      <c r="X162" s="26"/>
      <c r="Y162" s="26"/>
      <c r="Z162" s="26"/>
      <c r="AA162" s="26"/>
      <c r="AB162" s="26"/>
    </row>
    <row r="163" customFormat="false" ht="15" hidden="false" customHeight="false" outlineLevel="0" collapsed="false">
      <c r="A163" s="17" t="s">
        <v>485</v>
      </c>
      <c r="B163" s="18" t="s">
        <v>486</v>
      </c>
      <c r="C163" s="18" t="s">
        <v>487</v>
      </c>
      <c r="D163" s="19" t="n">
        <v>2205.04</v>
      </c>
      <c r="E163" s="19" t="n">
        <v>0</v>
      </c>
      <c r="F163" s="20" t="n">
        <v>0</v>
      </c>
      <c r="G163" s="21" t="n">
        <v>62.43</v>
      </c>
      <c r="H163" s="21" t="n">
        <v>0</v>
      </c>
      <c r="I163" s="22" t="n">
        <f aca="false">W$2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 t="n">
        <v>2000</v>
      </c>
      <c r="P163" s="25" t="n">
        <f aca="false">IF(D163=0,IF((N163-E163-O163)&gt;0,(N163-E163-O163),0),IF((D163+N163-O163)&gt;0,(D163+N163-O163),0))</f>
        <v>461</v>
      </c>
      <c r="Q163" s="25" t="n">
        <f aca="false">IF(E163=0,IF((D163+N163-O163)&lt;0,ABS(D163+N163-O163),0),IF((N163-E163-O163)&lt;0,ABS(N163-E163-O163),0))</f>
        <v>0</v>
      </c>
      <c r="T163" s="26"/>
      <c r="U163" s="26"/>
      <c r="V163" s="26"/>
      <c r="W163" s="26"/>
      <c r="X163" s="26"/>
      <c r="Y163" s="26"/>
      <c r="Z163" s="26"/>
      <c r="AA163" s="26"/>
      <c r="AB163" s="26"/>
    </row>
    <row r="164" customFormat="false" ht="15" hidden="false" customHeight="false" outlineLevel="0" collapsed="false">
      <c r="A164" s="17" t="s">
        <v>488</v>
      </c>
      <c r="B164" s="18" t="s">
        <v>489</v>
      </c>
      <c r="C164" s="18" t="s">
        <v>490</v>
      </c>
      <c r="D164" s="19" t="n">
        <v>1425.36</v>
      </c>
      <c r="E164" s="19" t="n">
        <v>0</v>
      </c>
      <c r="F164" s="20" t="n">
        <v>0</v>
      </c>
      <c r="G164" s="21" t="n">
        <v>64.8</v>
      </c>
      <c r="H164" s="21" t="n">
        <v>0</v>
      </c>
      <c r="I164" s="22" t="n">
        <f aca="false">W$2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1691.04</v>
      </c>
      <c r="Q164" s="25" t="n">
        <f aca="false">IF(E164=0,IF((D164+N164-O164)&lt;0,ABS(D164+N164-O164),0),IF((N164-E164-O164)&lt;0,ABS(N164-E164-O164),0))</f>
        <v>0</v>
      </c>
      <c r="T164" s="26"/>
      <c r="U164" s="26"/>
      <c r="V164" s="26"/>
      <c r="W164" s="26"/>
      <c r="X164" s="26"/>
      <c r="Y164" s="26"/>
      <c r="Z164" s="26"/>
      <c r="AA164" s="26"/>
      <c r="AB164" s="26"/>
    </row>
    <row r="165" customFormat="false" ht="15" hidden="false" customHeight="false" outlineLevel="0" collapsed="false">
      <c r="A165" s="17" t="s">
        <v>491</v>
      </c>
      <c r="B165" s="18" t="s">
        <v>492</v>
      </c>
      <c r="C165" s="18" t="s">
        <v>493</v>
      </c>
      <c r="D165" s="19" t="n">
        <v>1411.6</v>
      </c>
      <c r="E165" s="19" t="n">
        <v>0</v>
      </c>
      <c r="F165" s="20" t="n">
        <v>0</v>
      </c>
      <c r="G165" s="21" t="n">
        <v>49.4</v>
      </c>
      <c r="H165" s="21" t="n">
        <v>0</v>
      </c>
      <c r="I165" s="22" t="n">
        <f aca="false">W$2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1614.14</v>
      </c>
      <c r="Q165" s="25" t="n">
        <f aca="false">IF(E165=0,IF((D165+N165-O165)&lt;0,ABS(D165+N165-O165),0),IF((N165-E165-O165)&lt;0,ABS(N165-E165-O165),0))</f>
        <v>0</v>
      </c>
      <c r="T165" s="26"/>
      <c r="U165" s="26"/>
      <c r="V165" s="26"/>
      <c r="W165" s="26"/>
      <c r="X165" s="26"/>
      <c r="Y165" s="26"/>
      <c r="Z165" s="26"/>
      <c r="AA165" s="26"/>
      <c r="AB165" s="26"/>
    </row>
    <row r="166" customFormat="false" ht="15" hidden="false" customHeight="false" outlineLevel="0" collapsed="false">
      <c r="A166" s="17" t="s">
        <v>494</v>
      </c>
      <c r="B166" s="18" t="s">
        <v>495</v>
      </c>
      <c r="C166" s="18" t="s">
        <v>496</v>
      </c>
      <c r="D166" s="19" t="n">
        <v>944.389999999997</v>
      </c>
      <c r="E166" s="19" t="n">
        <v>0</v>
      </c>
      <c r="F166" s="20" t="n">
        <v>0</v>
      </c>
      <c r="G166" s="21" t="n">
        <v>35.1</v>
      </c>
      <c r="H166" s="21" t="n">
        <v>0</v>
      </c>
      <c r="I166" s="22" t="n">
        <f aca="false">W$2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 t="n">
        <v>500</v>
      </c>
      <c r="P166" s="25" t="n">
        <f aca="false">IF(D166=0,IF((N166-E166-O166)&gt;0,(N166-E166-O166),0),IF((D166+N166-O166)&gt;0,(D166+N166-O166),0))</f>
        <v>588.299999999997</v>
      </c>
      <c r="Q166" s="25" t="n">
        <f aca="false">IF(E166=0,IF((D166+N166-O166)&lt;0,ABS(D166+N166-O166),0),IF((N166-E166-O166)&lt;0,ABS(N166-E166-O166),0))</f>
        <v>0</v>
      </c>
      <c r="T166" s="26"/>
      <c r="U166" s="26"/>
      <c r="V166" s="26"/>
      <c r="W166" s="26"/>
      <c r="X166" s="26"/>
      <c r="Y166" s="26"/>
      <c r="Z166" s="26"/>
      <c r="AA166" s="26"/>
      <c r="AB166" s="26"/>
    </row>
    <row r="167" customFormat="false" ht="15" hidden="false" customHeight="false" outlineLevel="0" collapsed="false">
      <c r="A167" s="17" t="s">
        <v>497</v>
      </c>
      <c r="B167" s="18" t="s">
        <v>498</v>
      </c>
      <c r="C167" s="18" t="s">
        <v>499</v>
      </c>
      <c r="D167" s="19" t="n">
        <v>1665.57</v>
      </c>
      <c r="E167" s="19" t="n">
        <v>0</v>
      </c>
      <c r="F167" s="20" t="n">
        <v>0</v>
      </c>
      <c r="G167" s="21" t="n">
        <v>62.4</v>
      </c>
      <c r="H167" s="21" t="n">
        <v>0</v>
      </c>
      <c r="I167" s="22" t="n">
        <f aca="false">W$2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1921.41</v>
      </c>
      <c r="Q167" s="25" t="n">
        <f aca="false">IF(E167=0,IF((D167+N167-O167)&lt;0,ABS(D167+N167-O167),0),IF((N167-E167-O167)&lt;0,ABS(N167-E167-O167),0))</f>
        <v>0</v>
      </c>
      <c r="T167" s="26"/>
      <c r="U167" s="26"/>
      <c r="V167" s="26"/>
      <c r="W167" s="26"/>
      <c r="X167" s="26"/>
      <c r="Y167" s="26"/>
      <c r="Z167" s="26"/>
      <c r="AA167" s="26"/>
      <c r="AB167" s="26"/>
    </row>
    <row r="168" customFormat="false" ht="15" hidden="false" customHeight="false" outlineLevel="0" collapsed="false">
      <c r="A168" s="17" t="s">
        <v>500</v>
      </c>
      <c r="B168" s="18" t="s">
        <v>501</v>
      </c>
      <c r="C168" s="18" t="s">
        <v>502</v>
      </c>
      <c r="D168" s="19" t="n">
        <v>0</v>
      </c>
      <c r="E168" s="19" t="n">
        <v>377.52</v>
      </c>
      <c r="F168" s="20" t="n">
        <v>0</v>
      </c>
      <c r="G168" s="21" t="n">
        <v>65.5</v>
      </c>
      <c r="H168" s="21" t="n">
        <v>0</v>
      </c>
      <c r="I168" s="22" t="n">
        <f aca="false">W$2</f>
        <v>4.1</v>
      </c>
      <c r="J168" s="23" t="n">
        <f aca="false">ROUND(G168*I168,2)</f>
        <v>268.55</v>
      </c>
      <c r="K168" s="19"/>
      <c r="L168" s="19" t="n">
        <v>268.55</v>
      </c>
      <c r="M168" s="19"/>
      <c r="N168" s="19" t="n">
        <f aca="false">ROUND((G168*I168)-K168-L168-M168,2)</f>
        <v>0</v>
      </c>
      <c r="O168" s="19"/>
      <c r="P168" s="25" t="n">
        <f aca="false">IF(D168=0,IF((N168-E168-O168)&gt;0,(N168-E168-O168),0),IF((D168+N168-O168)&gt;0,(D168+N168-O168),0))</f>
        <v>0</v>
      </c>
      <c r="Q168" s="25" t="n">
        <f aca="false">IF(E168=0,IF((D168+N168-O168)&lt;0,ABS(D168+N168-O168),0),IF((N168-E168-O168)&lt;0,ABS(N168-E168-O168),0))</f>
        <v>377.52</v>
      </c>
      <c r="T168" s="26"/>
      <c r="U168" s="26"/>
      <c r="V168" s="26"/>
      <c r="W168" s="26"/>
      <c r="X168" s="26"/>
      <c r="Y168" s="26"/>
      <c r="Z168" s="26"/>
      <c r="AA168" s="26"/>
      <c r="AB168" s="26"/>
    </row>
    <row r="169" customFormat="false" ht="15" hidden="false" customHeight="false" outlineLevel="0" collapsed="false">
      <c r="A169" s="17" t="s">
        <v>503</v>
      </c>
      <c r="B169" s="18" t="s">
        <v>504</v>
      </c>
      <c r="C169" s="18" t="s">
        <v>505</v>
      </c>
      <c r="D169" s="19" t="n">
        <v>2457</v>
      </c>
      <c r="E169" s="19" t="n">
        <v>0</v>
      </c>
      <c r="F169" s="20" t="n">
        <v>0</v>
      </c>
      <c r="G169" s="21" t="n">
        <v>49.94</v>
      </c>
      <c r="H169" s="21" t="n">
        <v>0</v>
      </c>
      <c r="I169" s="22" t="n">
        <f aca="false">W$2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2661.75</v>
      </c>
      <c r="Q169" s="25" t="n">
        <f aca="false">IF(E169=0,IF((D169+N169-O169)&lt;0,ABS(D169+N169-O169),0),IF((N169-E169-O169)&lt;0,ABS(N169-E169-O169),0))</f>
        <v>0</v>
      </c>
      <c r="T169" s="26"/>
      <c r="U169" s="26"/>
      <c r="V169" s="26"/>
      <c r="W169" s="26"/>
      <c r="X169" s="26"/>
      <c r="Y169" s="26"/>
      <c r="Z169" s="26"/>
      <c r="AA169" s="26"/>
      <c r="AB169" s="26"/>
    </row>
    <row r="170" customFormat="false" ht="15" hidden="false" customHeight="false" outlineLevel="0" collapsed="false">
      <c r="A170" s="17" t="s">
        <v>506</v>
      </c>
      <c r="B170" s="18" t="s">
        <v>507</v>
      </c>
      <c r="C170" s="18" t="s">
        <v>508</v>
      </c>
      <c r="D170" s="19" t="n">
        <v>0</v>
      </c>
      <c r="E170" s="19" t="n">
        <v>35.34</v>
      </c>
      <c r="F170" s="20" t="n">
        <v>0</v>
      </c>
      <c r="G170" s="21" t="n">
        <v>35</v>
      </c>
      <c r="H170" s="21" t="n">
        <v>0</v>
      </c>
      <c r="I170" s="22" t="n">
        <f aca="false">W$2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/>
      <c r="P170" s="25" t="n">
        <f aca="false">IF(D170=0,IF((N170-E170-O170)&gt;0,(N170-E170-O170),0),IF((D170+N170-O170)&gt;0,(D170+N170-O170),0))</f>
        <v>108.16</v>
      </c>
      <c r="Q170" s="25" t="n">
        <f aca="false">IF(E170=0,IF((D170+N170-O170)&lt;0,ABS(D170+N170-O170),0),IF((N170-E170-O170)&lt;0,ABS(N170-E170-O170),0))</f>
        <v>0</v>
      </c>
      <c r="T170" s="26"/>
      <c r="U170" s="26"/>
      <c r="V170" s="26"/>
      <c r="W170" s="26"/>
      <c r="X170" s="26"/>
      <c r="Y170" s="26"/>
      <c r="Z170" s="26"/>
      <c r="AA170" s="26"/>
      <c r="AB170" s="26"/>
    </row>
    <row r="171" customFormat="false" ht="15" hidden="false" customHeight="false" outlineLevel="0" collapsed="false">
      <c r="A171" s="17" t="s">
        <v>509</v>
      </c>
      <c r="B171" s="18" t="s">
        <v>510</v>
      </c>
      <c r="C171" s="18" t="s">
        <v>511</v>
      </c>
      <c r="D171" s="19" t="n">
        <v>255.68</v>
      </c>
      <c r="E171" s="19" t="n">
        <v>0</v>
      </c>
      <c r="F171" s="20" t="n">
        <v>0</v>
      </c>
      <c r="G171" s="21" t="n">
        <v>62.36</v>
      </c>
      <c r="H171" s="21" t="n">
        <v>0</v>
      </c>
      <c r="I171" s="22" t="n">
        <f aca="false">W$2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  <c r="T171" s="26"/>
      <c r="U171" s="26"/>
      <c r="V171" s="26"/>
      <c r="W171" s="26"/>
      <c r="X171" s="26"/>
      <c r="Y171" s="26"/>
      <c r="Z171" s="26"/>
      <c r="AA171" s="26"/>
      <c r="AB171" s="26"/>
    </row>
    <row r="172" customFormat="false" ht="15" hidden="false" customHeight="false" outlineLevel="0" collapsed="false">
      <c r="A172" s="17" t="s">
        <v>512</v>
      </c>
      <c r="B172" s="18" t="s">
        <v>513</v>
      </c>
      <c r="C172" s="18" t="s">
        <v>514</v>
      </c>
      <c r="D172" s="19" t="n">
        <v>538.24</v>
      </c>
      <c r="E172" s="19" t="n">
        <v>0</v>
      </c>
      <c r="F172" s="20" t="n">
        <v>0</v>
      </c>
      <c r="G172" s="21" t="n">
        <v>65.63</v>
      </c>
      <c r="H172" s="21" t="n">
        <v>0</v>
      </c>
      <c r="I172" s="22" t="n">
        <f aca="false">W$2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807.32</v>
      </c>
      <c r="Q172" s="25" t="n">
        <f aca="false">IF(E172=0,IF((D172+N172-O172)&lt;0,ABS(D172+N172-O172),0),IF((N172-E172-O172)&lt;0,ABS(N172-E172-O172),0))</f>
        <v>0</v>
      </c>
      <c r="T172" s="26"/>
      <c r="U172" s="26"/>
      <c r="V172" s="26"/>
      <c r="W172" s="26"/>
      <c r="X172" s="26"/>
      <c r="Y172" s="26"/>
      <c r="Z172" s="26"/>
      <c r="AA172" s="26"/>
      <c r="AB172" s="26"/>
    </row>
    <row r="173" customFormat="false" ht="15" hidden="false" customHeight="false" outlineLevel="0" collapsed="false">
      <c r="A173" s="17" t="s">
        <v>515</v>
      </c>
      <c r="B173" s="18" t="s">
        <v>516</v>
      </c>
      <c r="C173" s="18" t="s">
        <v>517</v>
      </c>
      <c r="D173" s="19" t="n">
        <v>8827.67</v>
      </c>
      <c r="E173" s="19" t="n">
        <v>0</v>
      </c>
      <c r="F173" s="20" t="n">
        <v>0</v>
      </c>
      <c r="G173" s="21" t="n">
        <v>49.8</v>
      </c>
      <c r="H173" s="21" t="n">
        <v>0</v>
      </c>
      <c r="I173" s="22" t="n">
        <f aca="false">W$2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9031.85</v>
      </c>
      <c r="Q173" s="25" t="n">
        <f aca="false">IF(E173=0,IF((D173+N173-O173)&lt;0,ABS(D173+N173-O173),0),IF((N173-E173-O173)&lt;0,ABS(N173-E173-O173),0))</f>
        <v>0</v>
      </c>
      <c r="T173" s="26"/>
      <c r="U173" s="26"/>
      <c r="V173" s="26"/>
      <c r="W173" s="26"/>
      <c r="X173" s="26"/>
      <c r="Y173" s="26"/>
      <c r="Z173" s="26"/>
      <c r="AA173" s="26"/>
      <c r="AB173" s="26"/>
    </row>
    <row r="174" customFormat="false" ht="15" hidden="false" customHeight="false" outlineLevel="0" collapsed="false">
      <c r="A174" s="17" t="s">
        <v>518</v>
      </c>
      <c r="B174" s="18" t="s">
        <v>519</v>
      </c>
      <c r="C174" s="18" t="s">
        <v>520</v>
      </c>
      <c r="D174" s="19" t="n">
        <v>143.5</v>
      </c>
      <c r="E174" s="19" t="n">
        <v>0</v>
      </c>
      <c r="F174" s="20" t="n">
        <v>0</v>
      </c>
      <c r="G174" s="21" t="n">
        <v>35</v>
      </c>
      <c r="H174" s="21" t="n">
        <v>0</v>
      </c>
      <c r="I174" s="22" t="n">
        <f aca="false">W$2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287</v>
      </c>
      <c r="Q174" s="25" t="n">
        <f aca="false">IF(E174=0,IF((D174+N174-O174)&lt;0,ABS(D174+N174-O174),0),IF((N174-E174-O174)&lt;0,ABS(N174-E174-O174),0))</f>
        <v>0</v>
      </c>
      <c r="T174" s="26"/>
      <c r="U174" s="26"/>
      <c r="V174" s="26"/>
      <c r="W174" s="26"/>
      <c r="X174" s="26"/>
      <c r="Y174" s="26"/>
      <c r="Z174" s="26"/>
      <c r="AA174" s="26"/>
      <c r="AB174" s="26"/>
    </row>
    <row r="175" customFormat="false" ht="15" hidden="false" customHeight="false" outlineLevel="0" collapsed="false">
      <c r="A175" s="17" t="s">
        <v>521</v>
      </c>
      <c r="B175" s="18" t="s">
        <v>522</v>
      </c>
      <c r="C175" s="18" t="s">
        <v>523</v>
      </c>
      <c r="D175" s="19" t="n">
        <v>3018.73</v>
      </c>
      <c r="E175" s="19" t="n">
        <v>0</v>
      </c>
      <c r="F175" s="20" t="n">
        <v>0</v>
      </c>
      <c r="G175" s="21" t="n">
        <v>61.7</v>
      </c>
      <c r="H175" s="21" t="n">
        <v>0</v>
      </c>
      <c r="I175" s="22" t="n">
        <f aca="false">W$2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3271.7</v>
      </c>
      <c r="Q175" s="25" t="n">
        <f aca="false">IF(E175=0,IF((D175+N175-O175)&lt;0,ABS(D175+N175-O175),0),IF((N175-E175-O175)&lt;0,ABS(N175-E175-O175),0))</f>
        <v>0</v>
      </c>
      <c r="T175" s="26"/>
      <c r="U175" s="26"/>
      <c r="V175" s="26"/>
      <c r="W175" s="26"/>
      <c r="X175" s="26"/>
      <c r="Y175" s="26"/>
      <c r="Z175" s="26"/>
      <c r="AA175" s="26"/>
      <c r="AB175" s="26"/>
    </row>
    <row r="176" customFormat="false" ht="15" hidden="false" customHeight="false" outlineLevel="0" collapsed="false">
      <c r="A176" s="17" t="s">
        <v>524</v>
      </c>
      <c r="B176" s="18" t="s">
        <v>525</v>
      </c>
      <c r="C176" s="18" t="s">
        <v>526</v>
      </c>
      <c r="D176" s="19" t="n">
        <v>467.7</v>
      </c>
      <c r="E176" s="19" t="n">
        <v>0</v>
      </c>
      <c r="F176" s="20" t="n">
        <v>0</v>
      </c>
      <c r="G176" s="21" t="n">
        <v>65.58</v>
      </c>
      <c r="H176" s="21" t="n">
        <v>0</v>
      </c>
      <c r="I176" s="22" t="n">
        <f aca="false">W$2</f>
        <v>4.1</v>
      </c>
      <c r="J176" s="23" t="n">
        <f aca="false">ROUND(G176*I176,2)</f>
        <v>268.88</v>
      </c>
      <c r="K176" s="19"/>
      <c r="L176" s="19" t="n">
        <v>224.55</v>
      </c>
      <c r="M176" s="19"/>
      <c r="N176" s="19" t="n">
        <f aca="false">ROUND((G176*I176)-K176-L176-M176,2)</f>
        <v>44.33</v>
      </c>
      <c r="O176" s="19"/>
      <c r="P176" s="25" t="n">
        <f aca="false">IF(D176=0,IF((N176-E176-O176)&gt;0,(N176-E176-O176),0),IF((D176+N176-O176)&gt;0,(D176+N176-O176),0))</f>
        <v>512.03</v>
      </c>
      <c r="Q176" s="25" t="n">
        <f aca="false">IF(E176=0,IF((D176+N176-O176)&lt;0,ABS(D176+N176-O176),0),IF((N176-E176-O176)&lt;0,ABS(N176-E176-O176),0))</f>
        <v>0</v>
      </c>
      <c r="T176" s="26"/>
      <c r="U176" s="26"/>
      <c r="V176" s="26"/>
      <c r="W176" s="26"/>
      <c r="X176" s="26"/>
      <c r="Y176" s="26"/>
      <c r="Z176" s="26"/>
      <c r="AA176" s="26"/>
      <c r="AB176" s="26"/>
    </row>
    <row r="177" customFormat="false" ht="15" hidden="false" customHeight="false" outlineLevel="0" collapsed="false">
      <c r="A177" s="17" t="s">
        <v>527</v>
      </c>
      <c r="B177" s="18" t="s">
        <v>528</v>
      </c>
      <c r="C177" s="18" t="s">
        <v>529</v>
      </c>
      <c r="D177" s="19" t="n">
        <v>2348.27</v>
      </c>
      <c r="E177" s="19" t="n">
        <v>0</v>
      </c>
      <c r="F177" s="20" t="n">
        <v>0</v>
      </c>
      <c r="G177" s="21" t="n">
        <v>49.5</v>
      </c>
      <c r="H177" s="21" t="n">
        <v>0</v>
      </c>
      <c r="I177" s="22" t="n">
        <f aca="false">W$2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2551.22</v>
      </c>
      <c r="Q177" s="25" t="n">
        <f aca="false">IF(E177=0,IF((D177+N177-O177)&lt;0,ABS(D177+N177-O177),0),IF((N177-E177-O177)&lt;0,ABS(N177-E177-O177),0))</f>
        <v>0</v>
      </c>
      <c r="T177" s="26"/>
      <c r="U177" s="26"/>
      <c r="V177" s="26"/>
      <c r="W177" s="26"/>
      <c r="X177" s="26"/>
      <c r="Y177" s="26"/>
      <c r="Z177" s="26"/>
      <c r="AA177" s="26"/>
      <c r="AB177" s="26"/>
    </row>
    <row r="178" customFormat="false" ht="15" hidden="false" customHeight="false" outlineLevel="0" collapsed="false">
      <c r="A178" s="17" t="s">
        <v>530</v>
      </c>
      <c r="B178" s="18" t="s">
        <v>531</v>
      </c>
      <c r="C178" s="18" t="s">
        <v>532</v>
      </c>
      <c r="D178" s="19" t="n">
        <v>1727.07</v>
      </c>
      <c r="E178" s="19" t="n">
        <v>0</v>
      </c>
      <c r="F178" s="20" t="n">
        <v>0</v>
      </c>
      <c r="G178" s="21" t="n">
        <v>35.1</v>
      </c>
      <c r="H178" s="21" t="n">
        <v>0</v>
      </c>
      <c r="I178" s="22" t="n">
        <f aca="false">W$2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 t="n">
        <v>1000</v>
      </c>
      <c r="P178" s="25" t="n">
        <f aca="false">IF(D178=0,IF((N178-E178-O178)&gt;0,(N178-E178-O178),0),IF((D178+N178-O178)&gt;0,(D178+N178-O178),0))</f>
        <v>870.980000000001</v>
      </c>
      <c r="Q178" s="25" t="n">
        <f aca="false">IF(E178=0,IF((D178+N178-O178)&lt;0,ABS(D178+N178-O178),0),IF((N178-E178-O178)&lt;0,ABS(N178-E178-O178),0))</f>
        <v>0</v>
      </c>
      <c r="T178" s="26"/>
      <c r="U178" s="26"/>
      <c r="V178" s="26"/>
      <c r="W178" s="26"/>
      <c r="X178" s="26"/>
      <c r="Y178" s="26"/>
      <c r="Z178" s="26"/>
      <c r="AA178" s="26"/>
      <c r="AB178" s="26"/>
    </row>
    <row r="179" customFormat="false" ht="15" hidden="false" customHeight="false" outlineLevel="0" collapsed="false">
      <c r="A179" s="17" t="s">
        <v>533</v>
      </c>
      <c r="B179" s="18" t="s">
        <v>534</v>
      </c>
      <c r="C179" s="18" t="s">
        <v>535</v>
      </c>
      <c r="D179" s="19" t="n">
        <v>1994.23</v>
      </c>
      <c r="E179" s="19" t="n">
        <v>0</v>
      </c>
      <c r="F179" s="20" t="n">
        <v>0</v>
      </c>
      <c r="G179" s="21" t="n">
        <v>62.91</v>
      </c>
      <c r="H179" s="21" t="n">
        <v>0</v>
      </c>
      <c r="I179" s="22" t="n">
        <f aca="false">W$2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2252.16</v>
      </c>
      <c r="Q179" s="25" t="n">
        <f aca="false">IF(E179=0,IF((D179+N179-O179)&lt;0,ABS(D179+N179-O179),0),IF((N179-E179-O179)&lt;0,ABS(N179-E179-O179),0))</f>
        <v>0</v>
      </c>
      <c r="T179" s="26"/>
      <c r="U179" s="26"/>
      <c r="V179" s="26"/>
      <c r="W179" s="26"/>
      <c r="X179" s="26"/>
      <c r="Y179" s="26"/>
      <c r="Z179" s="26"/>
      <c r="AA179" s="26"/>
      <c r="AB179" s="26"/>
    </row>
    <row r="180" customFormat="false" ht="15" hidden="false" customHeight="false" outlineLevel="0" collapsed="false">
      <c r="A180" s="17" t="s">
        <v>536</v>
      </c>
      <c r="B180" s="18" t="s">
        <v>537</v>
      </c>
      <c r="C180" s="18" t="s">
        <v>538</v>
      </c>
      <c r="D180" s="19" t="n">
        <v>0</v>
      </c>
      <c r="E180" s="19" t="n">
        <v>812.159999999999</v>
      </c>
      <c r="F180" s="20" t="n">
        <v>0</v>
      </c>
      <c r="G180" s="21" t="n">
        <v>66.03</v>
      </c>
      <c r="H180" s="21" t="n">
        <v>0</v>
      </c>
      <c r="I180" s="22" t="n">
        <f aca="false">W$2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541.439999999999</v>
      </c>
      <c r="T180" s="26"/>
      <c r="U180" s="26"/>
      <c r="V180" s="26"/>
      <c r="W180" s="26"/>
      <c r="X180" s="26"/>
      <c r="Y180" s="26"/>
      <c r="Z180" s="26"/>
      <c r="AA180" s="26"/>
      <c r="AB180" s="26"/>
    </row>
    <row r="181" customFormat="false" ht="15" hidden="false" customHeight="false" outlineLevel="0" collapsed="false">
      <c r="A181" s="17" t="s">
        <v>539</v>
      </c>
      <c r="B181" s="18" t="s">
        <v>540</v>
      </c>
      <c r="C181" s="18" t="s">
        <v>541</v>
      </c>
      <c r="D181" s="19" t="n">
        <v>2250.49</v>
      </c>
      <c r="E181" s="19" t="n">
        <v>0</v>
      </c>
      <c r="F181" s="20" t="n">
        <v>0</v>
      </c>
      <c r="G181" s="21" t="n">
        <v>49.9</v>
      </c>
      <c r="H181" s="21" t="n">
        <v>0</v>
      </c>
      <c r="I181" s="22" t="n">
        <f aca="false">W$2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/>
      <c r="P181" s="25" t="n">
        <f aca="false">IF(D181=0,IF((N181-E181-O181)&gt;0,(N181-E181-O181),0),IF((D181+N181-O181)&gt;0,(D181+N181-O181),0))</f>
        <v>2455.08</v>
      </c>
      <c r="Q181" s="25" t="n">
        <f aca="false">IF(E181=0,IF((D181+N181-O181)&lt;0,ABS(D181+N181-O181),0),IF((N181-E181-O181)&lt;0,ABS(N181-E181-O181),0))</f>
        <v>0</v>
      </c>
      <c r="T181" s="26"/>
      <c r="U181" s="26"/>
      <c r="V181" s="26"/>
      <c r="W181" s="26"/>
      <c r="X181" s="26"/>
      <c r="Y181" s="26"/>
      <c r="Z181" s="26"/>
      <c r="AA181" s="26"/>
      <c r="AB181" s="26"/>
    </row>
    <row r="182" customFormat="false" ht="15" hidden="false" customHeight="false" outlineLevel="0" collapsed="false">
      <c r="A182" s="17" t="s">
        <v>542</v>
      </c>
      <c r="B182" s="18" t="s">
        <v>543</v>
      </c>
      <c r="C182" s="18" t="s">
        <v>544</v>
      </c>
      <c r="D182" s="19" t="n">
        <v>143.17</v>
      </c>
      <c r="E182" s="19" t="n">
        <v>0</v>
      </c>
      <c r="F182" s="20" t="n">
        <v>0</v>
      </c>
      <c r="G182" s="21" t="n">
        <v>34.92</v>
      </c>
      <c r="H182" s="21" t="n">
        <v>0</v>
      </c>
      <c r="I182" s="22" t="n">
        <f aca="false">W$2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  <c r="T182" s="26"/>
      <c r="U182" s="26"/>
      <c r="V182" s="26"/>
      <c r="W182" s="26"/>
      <c r="X182" s="26"/>
      <c r="Y182" s="26"/>
      <c r="Z182" s="26"/>
      <c r="AA182" s="26"/>
      <c r="AB182" s="26"/>
    </row>
    <row r="183" customFormat="false" ht="15" hidden="false" customHeight="false" outlineLevel="0" collapsed="false">
      <c r="A183" s="17" t="s">
        <v>545</v>
      </c>
      <c r="B183" s="18" t="s">
        <v>546</v>
      </c>
      <c r="C183" s="18" t="s">
        <v>547</v>
      </c>
      <c r="D183" s="19" t="n">
        <v>1055.39</v>
      </c>
      <c r="E183" s="19" t="n">
        <v>0</v>
      </c>
      <c r="F183" s="20" t="n">
        <v>0</v>
      </c>
      <c r="G183" s="21" t="n">
        <v>61.91</v>
      </c>
      <c r="H183" s="21" t="n">
        <v>0</v>
      </c>
      <c r="I183" s="22" t="n">
        <f aca="false">W$2</f>
        <v>4.1</v>
      </c>
      <c r="J183" s="23" t="n">
        <f aca="false">ROUND(G183*I183,2)</f>
        <v>253.83</v>
      </c>
      <c r="K183" s="19"/>
      <c r="L183" s="19" t="n">
        <v>253.83</v>
      </c>
      <c r="M183" s="19"/>
      <c r="N183" s="19" t="n">
        <f aca="false">ROUND((G183*I183)-K183-L183-M183,2)</f>
        <v>0</v>
      </c>
      <c r="O183" s="19"/>
      <c r="P183" s="25" t="n">
        <f aca="false">IF(D183=0,IF((N183-E183-O183)&gt;0,(N183-E183-O183),0),IF((D183+N183-O183)&gt;0,(D183+N183-O183),0))</f>
        <v>1055.39</v>
      </c>
      <c r="Q183" s="25" t="n">
        <f aca="false">IF(E183=0,IF((D183+N183-O183)&lt;0,ABS(D183+N183-O183),0),IF((N183-E183-O183)&lt;0,ABS(N183-E183-O183),0))</f>
        <v>0</v>
      </c>
      <c r="T183" s="26"/>
      <c r="U183" s="26"/>
      <c r="V183" s="26"/>
      <c r="W183" s="26"/>
      <c r="X183" s="26"/>
      <c r="Y183" s="26"/>
      <c r="Z183" s="26"/>
      <c r="AA183" s="26"/>
      <c r="AB183" s="26"/>
    </row>
    <row r="184" customFormat="false" ht="15" hidden="false" customHeight="false" outlineLevel="0" collapsed="false">
      <c r="A184" s="17" t="s">
        <v>548</v>
      </c>
      <c r="B184" s="18" t="s">
        <v>549</v>
      </c>
      <c r="C184" s="18" t="s">
        <v>550</v>
      </c>
      <c r="D184" s="19" t="n">
        <v>2457.79</v>
      </c>
      <c r="E184" s="19" t="n">
        <v>0</v>
      </c>
      <c r="F184" s="20" t="n">
        <v>0</v>
      </c>
      <c r="G184" s="21" t="n">
        <v>65.15</v>
      </c>
      <c r="H184" s="21" t="n">
        <v>0</v>
      </c>
      <c r="I184" s="22" t="n">
        <f aca="false">W$2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2724.91</v>
      </c>
      <c r="Q184" s="25" t="n">
        <f aca="false">IF(E184=0,IF((D184+N184-O184)&lt;0,ABS(D184+N184-O184),0),IF((N184-E184-O184)&lt;0,ABS(N184-E184-O184),0))</f>
        <v>0</v>
      </c>
      <c r="T184" s="26"/>
      <c r="U184" s="26"/>
      <c r="V184" s="26"/>
      <c r="W184" s="26"/>
      <c r="X184" s="26"/>
      <c r="Y184" s="26"/>
      <c r="Z184" s="26"/>
      <c r="AA184" s="26"/>
      <c r="AB184" s="26"/>
    </row>
    <row r="185" customFormat="false" ht="15" hidden="false" customHeight="false" outlineLevel="0" collapsed="false">
      <c r="A185" s="17" t="s">
        <v>551</v>
      </c>
      <c r="B185" s="18" t="s">
        <v>552</v>
      </c>
      <c r="C185" s="18" t="s">
        <v>553</v>
      </c>
      <c r="D185" s="19" t="n">
        <v>1639.98</v>
      </c>
      <c r="E185" s="19" t="n">
        <v>0</v>
      </c>
      <c r="F185" s="20" t="n">
        <v>0</v>
      </c>
      <c r="G185" s="21" t="n">
        <v>50</v>
      </c>
      <c r="H185" s="21" t="n">
        <v>0</v>
      </c>
      <c r="I185" s="22" t="n">
        <f aca="false">W$2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1844.98</v>
      </c>
      <c r="Q185" s="25" t="n">
        <f aca="false">IF(E185=0,IF((D185+N185-O185)&lt;0,ABS(D185+N185-O185),0),IF((N185-E185-O185)&lt;0,ABS(N185-E185-O185),0))</f>
        <v>0</v>
      </c>
      <c r="T185" s="26"/>
      <c r="U185" s="26"/>
      <c r="V185" s="26"/>
      <c r="W185" s="26"/>
      <c r="X185" s="26"/>
      <c r="Y185" s="26"/>
      <c r="Z185" s="26"/>
      <c r="AA185" s="26"/>
      <c r="AB185" s="26"/>
    </row>
    <row r="186" customFormat="false" ht="15" hidden="false" customHeight="false" outlineLevel="0" collapsed="false">
      <c r="A186" s="17" t="s">
        <v>554</v>
      </c>
      <c r="B186" s="18" t="s">
        <v>555</v>
      </c>
      <c r="C186" s="18" t="s">
        <v>556</v>
      </c>
      <c r="D186" s="19" t="n">
        <v>1006.65</v>
      </c>
      <c r="E186" s="19" t="n">
        <v>0</v>
      </c>
      <c r="F186" s="20" t="n">
        <v>0</v>
      </c>
      <c r="G186" s="21" t="n">
        <v>35.1</v>
      </c>
      <c r="H186" s="21" t="n">
        <v>0</v>
      </c>
      <c r="I186" s="22" t="n">
        <f aca="false">W$2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1150.56</v>
      </c>
      <c r="Q186" s="25" t="n">
        <f aca="false">IF(E186=0,IF((D186+N186-O186)&lt;0,ABS(D186+N186-O186),0),IF((N186-E186-O186)&lt;0,ABS(N186-E186-O186),0))</f>
        <v>0</v>
      </c>
      <c r="T186" s="26"/>
      <c r="U186" s="26"/>
      <c r="V186" s="26"/>
      <c r="W186" s="26"/>
      <c r="X186" s="26"/>
      <c r="Y186" s="26"/>
      <c r="Z186" s="26"/>
      <c r="AA186" s="26"/>
      <c r="AB186" s="26"/>
    </row>
    <row r="187" customFormat="false" ht="15" hidden="false" customHeight="false" outlineLevel="0" collapsed="false">
      <c r="A187" s="17" t="s">
        <v>557</v>
      </c>
      <c r="B187" s="18" t="s">
        <v>558</v>
      </c>
      <c r="C187" s="18" t="s">
        <v>559</v>
      </c>
      <c r="D187" s="19" t="n">
        <v>3039.95</v>
      </c>
      <c r="E187" s="19" t="n">
        <v>0</v>
      </c>
      <c r="F187" s="20" t="n">
        <v>0</v>
      </c>
      <c r="G187" s="21" t="n">
        <v>61.8</v>
      </c>
      <c r="H187" s="21" t="n">
        <v>0</v>
      </c>
      <c r="I187" s="22" t="n">
        <f aca="false">W$2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3293.33</v>
      </c>
      <c r="Q187" s="25" t="n">
        <f aca="false">IF(E187=0,IF((D187+N187-O187)&lt;0,ABS(D187+N187-O187),0),IF((N187-E187-O187)&lt;0,ABS(N187-E187-O187),0))</f>
        <v>0</v>
      </c>
      <c r="T187" s="26"/>
      <c r="U187" s="26"/>
      <c r="V187" s="26"/>
      <c r="W187" s="26"/>
      <c r="X187" s="26"/>
      <c r="Y187" s="26"/>
      <c r="Z187" s="26"/>
      <c r="AA187" s="26"/>
      <c r="AB187" s="26"/>
    </row>
    <row r="188" customFormat="false" ht="15" hidden="false" customHeight="false" outlineLevel="0" collapsed="false">
      <c r="A188" s="17" t="s">
        <v>560</v>
      </c>
      <c r="B188" s="18" t="s">
        <v>561</v>
      </c>
      <c r="C188" s="18" t="s">
        <v>562</v>
      </c>
      <c r="D188" s="19" t="n">
        <v>2029.63</v>
      </c>
      <c r="E188" s="19" t="n">
        <v>0</v>
      </c>
      <c r="F188" s="20" t="n">
        <v>0</v>
      </c>
      <c r="G188" s="21" t="n">
        <v>71.06</v>
      </c>
      <c r="H188" s="21" t="n">
        <v>0</v>
      </c>
      <c r="I188" s="22" t="n">
        <f aca="false">W$2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2320.98</v>
      </c>
      <c r="Q188" s="25" t="n">
        <f aca="false">IF(E188=0,IF((D188+N188-O188)&lt;0,ABS(D188+N188-O188),0),IF((N188-E188-O188)&lt;0,ABS(N188-E188-O188),0))</f>
        <v>0</v>
      </c>
      <c r="T188" s="26"/>
      <c r="U188" s="26"/>
      <c r="V188" s="26"/>
      <c r="W188" s="26"/>
      <c r="X188" s="26"/>
      <c r="Y188" s="26"/>
      <c r="Z188" s="26"/>
      <c r="AA188" s="26"/>
      <c r="AB188" s="26"/>
    </row>
    <row r="189" customFormat="false" ht="15" hidden="false" customHeight="false" outlineLevel="0" collapsed="false">
      <c r="A189" s="17" t="s">
        <v>563</v>
      </c>
      <c r="B189" s="18" t="s">
        <v>564</v>
      </c>
      <c r="C189" s="18" t="s">
        <v>565</v>
      </c>
      <c r="D189" s="19" t="n">
        <v>806.08</v>
      </c>
      <c r="E189" s="19" t="n">
        <v>0</v>
      </c>
      <c r="F189" s="20" t="n">
        <v>0</v>
      </c>
      <c r="G189" s="21" t="n">
        <v>49.15</v>
      </c>
      <c r="H189" s="21" t="n">
        <v>0</v>
      </c>
      <c r="I189" s="22" t="n">
        <f aca="false">W$2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 t="n">
        <v>806.08</v>
      </c>
      <c r="P189" s="25" t="n">
        <f aca="false">IF(D189=0,IF((N189-E189-O189)&gt;0,(N189-E189-O189),0),IF((D189+N189-O189)&gt;0,(D189+N189-O189),0))</f>
        <v>201.52</v>
      </c>
      <c r="Q189" s="25" t="n">
        <f aca="false">IF(E189=0,IF((D189+N189-O189)&lt;0,ABS(D189+N189-O189),0),IF((N189-E189-O189)&lt;0,ABS(N189-E189-O189),0))</f>
        <v>0</v>
      </c>
      <c r="T189" s="26"/>
      <c r="U189" s="26"/>
      <c r="V189" s="26"/>
      <c r="W189" s="26"/>
      <c r="X189" s="26"/>
      <c r="Y189" s="26"/>
      <c r="Z189" s="26"/>
      <c r="AA189" s="26"/>
      <c r="AB189" s="26"/>
    </row>
    <row r="190" customFormat="false" ht="15" hidden="false" customHeight="false" outlineLevel="0" collapsed="false">
      <c r="A190" s="17" t="s">
        <v>566</v>
      </c>
      <c r="B190" s="18" t="s">
        <v>567</v>
      </c>
      <c r="C190" s="18" t="s">
        <v>568</v>
      </c>
      <c r="D190" s="19" t="n">
        <v>45.2799999999997</v>
      </c>
      <c r="E190" s="19" t="n">
        <v>0</v>
      </c>
      <c r="F190" s="20" t="n">
        <v>0</v>
      </c>
      <c r="G190" s="21" t="n">
        <v>53.72</v>
      </c>
      <c r="H190" s="21" t="n">
        <v>0</v>
      </c>
      <c r="I190" s="22" t="n">
        <f aca="false">W$2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265.53</v>
      </c>
      <c r="Q190" s="25" t="n">
        <f aca="false">IF(E190=0,IF((D190+N190-O190)&lt;0,ABS(D190+N190-O190),0),IF((N190-E190-O190)&lt;0,ABS(N190-E190-O190),0))</f>
        <v>0</v>
      </c>
      <c r="T190" s="26"/>
      <c r="U190" s="26"/>
      <c r="V190" s="26"/>
      <c r="W190" s="26"/>
      <c r="X190" s="26"/>
      <c r="Y190" s="26"/>
      <c r="Z190" s="26"/>
      <c r="AA190" s="26"/>
      <c r="AB190" s="26"/>
    </row>
    <row r="191" customFormat="false" ht="15" hidden="false" customHeight="false" outlineLevel="0" collapsed="false">
      <c r="A191" s="17" t="s">
        <v>569</v>
      </c>
      <c r="B191" s="18" t="s">
        <v>570</v>
      </c>
      <c r="C191" s="18" t="s">
        <v>571</v>
      </c>
      <c r="D191" s="19" t="n">
        <v>1118.5</v>
      </c>
      <c r="E191" s="19" t="n">
        <v>0</v>
      </c>
      <c r="F191" s="20" t="n">
        <v>0</v>
      </c>
      <c r="G191" s="21" t="n">
        <v>68.97</v>
      </c>
      <c r="H191" s="21" t="n">
        <v>0</v>
      </c>
      <c r="I191" s="22" t="n">
        <f aca="false">W$2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 t="n">
        <v>1415</v>
      </c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13.7200000000009</v>
      </c>
      <c r="T191" s="26"/>
      <c r="U191" s="26"/>
      <c r="V191" s="26"/>
      <c r="W191" s="26"/>
      <c r="X191" s="26"/>
      <c r="Y191" s="26"/>
      <c r="Z191" s="26"/>
      <c r="AA191" s="26"/>
      <c r="AB191" s="26"/>
    </row>
    <row r="192" customFormat="false" ht="15" hidden="false" customHeight="false" outlineLevel="0" collapsed="false">
      <c r="A192" s="17" t="s">
        <v>572</v>
      </c>
      <c r="B192" s="18" t="s">
        <v>573</v>
      </c>
      <c r="C192" s="18" t="s">
        <v>574</v>
      </c>
      <c r="D192" s="19" t="n">
        <v>4088.6</v>
      </c>
      <c r="E192" s="19" t="n">
        <v>0</v>
      </c>
      <c r="F192" s="20" t="n">
        <v>0</v>
      </c>
      <c r="G192" s="21" t="n">
        <v>49.86</v>
      </c>
      <c r="H192" s="21" t="n">
        <v>0</v>
      </c>
      <c r="I192" s="22" t="n">
        <f aca="false">W$2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4293.03</v>
      </c>
      <c r="Q192" s="25" t="n">
        <f aca="false">IF(E192=0,IF((D192+N192-O192)&lt;0,ABS(D192+N192-O192),0),IF((N192-E192-O192)&lt;0,ABS(N192-E192-O192),0))</f>
        <v>0</v>
      </c>
      <c r="T192" s="26"/>
      <c r="U192" s="26"/>
      <c r="V192" s="26"/>
      <c r="W192" s="26"/>
      <c r="X192" s="26"/>
      <c r="Y192" s="26"/>
      <c r="Z192" s="26"/>
      <c r="AA192" s="26"/>
      <c r="AB192" s="26"/>
    </row>
    <row r="193" customFormat="false" ht="15" hidden="false" customHeight="false" outlineLevel="0" collapsed="false">
      <c r="A193" s="17" t="s">
        <v>575</v>
      </c>
      <c r="B193" s="18" t="s">
        <v>576</v>
      </c>
      <c r="C193" s="18" t="s">
        <v>577</v>
      </c>
      <c r="D193" s="19" t="n">
        <v>2903.37</v>
      </c>
      <c r="E193" s="19" t="n">
        <v>0</v>
      </c>
      <c r="F193" s="20" t="n">
        <v>0</v>
      </c>
      <c r="G193" s="21" t="n">
        <v>60.86</v>
      </c>
      <c r="H193" s="21" t="n">
        <v>0</v>
      </c>
      <c r="I193" s="22" t="n">
        <f aca="false">W$2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3152.9</v>
      </c>
      <c r="Q193" s="25" t="n">
        <f aca="false">IF(E193=0,IF((D193+N193-O193)&lt;0,ABS(D193+N193-O193),0),IF((N193-E193-O193)&lt;0,ABS(N193-E193-O193),0))</f>
        <v>0</v>
      </c>
      <c r="T193" s="26"/>
      <c r="U193" s="26"/>
      <c r="V193" s="26"/>
      <c r="W193" s="26"/>
      <c r="X193" s="26"/>
      <c r="Y193" s="26"/>
      <c r="Z193" s="26"/>
      <c r="AA193" s="26"/>
      <c r="AB193" s="26"/>
    </row>
    <row r="194" customFormat="false" ht="15" hidden="false" customHeight="false" outlineLevel="0" collapsed="false">
      <c r="A194" s="17" t="s">
        <v>578</v>
      </c>
      <c r="B194" s="18" t="s">
        <v>579</v>
      </c>
      <c r="C194" s="18" t="s">
        <v>580</v>
      </c>
      <c r="D194" s="19" t="n">
        <v>549.63</v>
      </c>
      <c r="E194" s="19" t="n">
        <v>0</v>
      </c>
      <c r="F194" s="20" t="n">
        <v>0</v>
      </c>
      <c r="G194" s="21" t="n">
        <v>66.75</v>
      </c>
      <c r="H194" s="21" t="n">
        <v>0</v>
      </c>
      <c r="I194" s="22" t="n">
        <f aca="false">W$2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823.31</v>
      </c>
      <c r="Q194" s="25" t="n">
        <f aca="false">IF(E194=0,IF((D194+N194-O194)&lt;0,ABS(D194+N194-O194),0),IF((N194-E194-O194)&lt;0,ABS(N194-E194-O194),0))</f>
        <v>0</v>
      </c>
      <c r="T194" s="26"/>
      <c r="U194" s="26"/>
      <c r="V194" s="26"/>
      <c r="W194" s="26"/>
      <c r="X194" s="26"/>
      <c r="Y194" s="26"/>
      <c r="Z194" s="26"/>
      <c r="AA194" s="26"/>
      <c r="AB194" s="26"/>
    </row>
    <row r="195" customFormat="false" ht="15" hidden="false" customHeight="false" outlineLevel="0" collapsed="false">
      <c r="A195" s="17" t="s">
        <v>581</v>
      </c>
      <c r="B195" s="18" t="s">
        <v>582</v>
      </c>
      <c r="C195" s="18" t="s">
        <v>583</v>
      </c>
      <c r="D195" s="19" t="n">
        <v>2377.58</v>
      </c>
      <c r="E195" s="19" t="n">
        <v>0</v>
      </c>
      <c r="F195" s="20" t="n">
        <v>0</v>
      </c>
      <c r="G195" s="21" t="n">
        <v>72.49</v>
      </c>
      <c r="H195" s="21" t="n">
        <v>0</v>
      </c>
      <c r="I195" s="22" t="n">
        <f aca="false">W$2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2674.79</v>
      </c>
      <c r="Q195" s="25" t="n">
        <f aca="false">IF(E195=0,IF((D195+N195-O195)&lt;0,ABS(D195+N195-O195),0),IF((N195-E195-O195)&lt;0,ABS(N195-E195-O195),0))</f>
        <v>0</v>
      </c>
      <c r="T195" s="26"/>
      <c r="U195" s="26"/>
      <c r="V195" s="26"/>
      <c r="W195" s="26"/>
      <c r="X195" s="26"/>
      <c r="Y195" s="26"/>
      <c r="Z195" s="26"/>
      <c r="AA195" s="26"/>
      <c r="AB195" s="26"/>
    </row>
    <row r="196" customFormat="false" ht="15" hidden="false" customHeight="false" outlineLevel="0" collapsed="false">
      <c r="A196" s="17" t="s">
        <v>584</v>
      </c>
      <c r="B196" s="18" t="s">
        <v>585</v>
      </c>
      <c r="C196" s="18" t="s">
        <v>586</v>
      </c>
      <c r="D196" s="19" t="n">
        <v>321.7</v>
      </c>
      <c r="E196" s="19" t="n">
        <v>0</v>
      </c>
      <c r="F196" s="20" t="n">
        <v>0</v>
      </c>
      <c r="G196" s="21" t="n">
        <v>49.8</v>
      </c>
      <c r="H196" s="21" t="n">
        <v>0</v>
      </c>
      <c r="I196" s="22" t="n">
        <f aca="false">W$2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 t="n">
        <v>350</v>
      </c>
      <c r="P196" s="25" t="n">
        <f aca="false">IF(D196=0,IF((N196-E196-O196)&gt;0,(N196-E196-O196),0),IF((D196+N196-O196)&gt;0,(D196+N196-O196),0))</f>
        <v>175.88</v>
      </c>
      <c r="Q196" s="25" t="n">
        <f aca="false">IF(E196=0,IF((D196+N196-O196)&lt;0,ABS(D196+N196-O196),0),IF((N196-E196-O196)&lt;0,ABS(N196-E196-O196),0))</f>
        <v>0</v>
      </c>
      <c r="T196" s="26"/>
      <c r="U196" s="26"/>
      <c r="V196" s="26"/>
      <c r="W196" s="26"/>
      <c r="X196" s="26"/>
      <c r="Y196" s="26"/>
      <c r="Z196" s="26"/>
      <c r="AA196" s="26"/>
      <c r="AB196" s="26"/>
    </row>
    <row r="197" customFormat="false" ht="15" hidden="false" customHeight="false" outlineLevel="0" collapsed="false">
      <c r="A197" s="17" t="s">
        <v>587</v>
      </c>
      <c r="B197" s="18" t="s">
        <v>588</v>
      </c>
      <c r="C197" s="18" t="s">
        <v>589</v>
      </c>
      <c r="D197" s="19" t="n">
        <v>1534.79</v>
      </c>
      <c r="E197" s="19" t="n">
        <v>0</v>
      </c>
      <c r="F197" s="20" t="n">
        <v>0</v>
      </c>
      <c r="G197" s="21" t="n">
        <v>62.36</v>
      </c>
      <c r="H197" s="21" t="n">
        <v>0</v>
      </c>
      <c r="I197" s="22" t="n">
        <f aca="false">W$2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 t="n">
        <v>500</v>
      </c>
      <c r="P197" s="25" t="n">
        <f aca="false">IF(D197=0,IF((N197-E197-O197)&gt;0,(N197-E197-O197),0),IF((D197+N197-O197)&gt;0,(D197+N197-O197),0))</f>
        <v>1290.47</v>
      </c>
      <c r="Q197" s="25" t="n">
        <f aca="false">IF(E197=0,IF((D197+N197-O197)&lt;0,ABS(D197+N197-O197),0),IF((N197-E197-O197)&lt;0,ABS(N197-E197-O197),0))</f>
        <v>0</v>
      </c>
      <c r="T197" s="26"/>
      <c r="U197" s="26"/>
      <c r="V197" s="26"/>
      <c r="W197" s="26"/>
      <c r="X197" s="26"/>
      <c r="Y197" s="26"/>
      <c r="Z197" s="26"/>
      <c r="AA197" s="26"/>
      <c r="AB197" s="26"/>
    </row>
    <row r="198" customFormat="false" ht="15" hidden="false" customHeight="false" outlineLevel="0" collapsed="false">
      <c r="A198" s="17" t="s">
        <v>590</v>
      </c>
      <c r="B198" s="18" t="s">
        <v>591</v>
      </c>
      <c r="C198" s="18" t="s">
        <v>592</v>
      </c>
      <c r="D198" s="19" t="n">
        <v>2630.4</v>
      </c>
      <c r="E198" s="19" t="n">
        <v>0</v>
      </c>
      <c r="F198" s="20" t="n">
        <v>0</v>
      </c>
      <c r="G198" s="21" t="n">
        <v>68.5</v>
      </c>
      <c r="H198" s="21" t="n">
        <v>0</v>
      </c>
      <c r="I198" s="22" t="n">
        <f aca="false">W$2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2911.25</v>
      </c>
      <c r="Q198" s="25" t="n">
        <f aca="false">IF(E198=0,IF((D198+N198-O198)&lt;0,ABS(D198+N198-O198),0),IF((N198-E198-O198)&lt;0,ABS(N198-E198-O198),0))</f>
        <v>0</v>
      </c>
      <c r="T198" s="26"/>
      <c r="U198" s="26"/>
      <c r="V198" s="26"/>
      <c r="W198" s="26"/>
      <c r="X198" s="26"/>
      <c r="Y198" s="26"/>
      <c r="Z198" s="26"/>
      <c r="AA198" s="26"/>
      <c r="AB198" s="26"/>
    </row>
    <row r="199" customFormat="false" ht="15" hidden="false" customHeight="false" outlineLevel="0" collapsed="false">
      <c r="A199" s="17" t="s">
        <v>593</v>
      </c>
      <c r="B199" s="18" t="s">
        <v>594</v>
      </c>
      <c r="C199" s="18" t="s">
        <v>595</v>
      </c>
      <c r="D199" s="19" t="n">
        <v>618.400000000001</v>
      </c>
      <c r="E199" s="19" t="n">
        <v>0</v>
      </c>
      <c r="F199" s="20" t="n">
        <v>0</v>
      </c>
      <c r="G199" s="21" t="n">
        <v>70.42</v>
      </c>
      <c r="H199" s="21" t="n">
        <v>0</v>
      </c>
      <c r="I199" s="22" t="n">
        <f aca="false">W$2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907.120000000001</v>
      </c>
      <c r="Q199" s="25" t="n">
        <f aca="false">IF(E199=0,IF((D199+N199-O199)&lt;0,ABS(D199+N199-O199),0),IF((N199-E199-O199)&lt;0,ABS(N199-E199-O199),0))</f>
        <v>0</v>
      </c>
      <c r="T199" s="26"/>
      <c r="U199" s="26"/>
      <c r="V199" s="26"/>
      <c r="W199" s="26"/>
      <c r="X199" s="26"/>
      <c r="Y199" s="26"/>
      <c r="Z199" s="26"/>
      <c r="AA199" s="26"/>
      <c r="AB199" s="26"/>
    </row>
    <row r="200" customFormat="false" ht="15" hidden="false" customHeight="false" outlineLevel="0" collapsed="false">
      <c r="A200" s="17" t="s">
        <v>596</v>
      </c>
      <c r="B200" s="18" t="s">
        <v>597</v>
      </c>
      <c r="C200" s="18" t="s">
        <v>598</v>
      </c>
      <c r="D200" s="19" t="n">
        <v>2743.02</v>
      </c>
      <c r="E200" s="19" t="n">
        <v>0</v>
      </c>
      <c r="F200" s="20" t="n">
        <v>0</v>
      </c>
      <c r="G200" s="21" t="n">
        <v>49.7</v>
      </c>
      <c r="H200" s="21" t="n">
        <v>0</v>
      </c>
      <c r="I200" s="22" t="n">
        <f aca="false">W$2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2946.79</v>
      </c>
      <c r="Q200" s="25" t="n">
        <f aca="false">IF(E200=0,IF((D200+N200-O200)&lt;0,ABS(D200+N200-O200),0),IF((N200-E200-O200)&lt;0,ABS(N200-E200-O200),0))</f>
        <v>0</v>
      </c>
      <c r="T200" s="26"/>
      <c r="U200" s="26"/>
      <c r="V200" s="26"/>
      <c r="W200" s="26"/>
      <c r="X200" s="26"/>
      <c r="Y200" s="26"/>
      <c r="Z200" s="26"/>
      <c r="AA200" s="26"/>
      <c r="AB200" s="26"/>
    </row>
    <row r="201" customFormat="false" ht="15" hidden="false" customHeight="false" outlineLevel="0" collapsed="false">
      <c r="A201" s="17" t="s">
        <v>599</v>
      </c>
      <c r="B201" s="18" t="s">
        <v>600</v>
      </c>
      <c r="C201" s="18" t="s">
        <v>601</v>
      </c>
      <c r="D201" s="19" t="n">
        <v>2823.26</v>
      </c>
      <c r="E201" s="19" t="n">
        <v>0</v>
      </c>
      <c r="F201" s="20" t="n">
        <v>0</v>
      </c>
      <c r="G201" s="21" t="n">
        <v>62.6</v>
      </c>
      <c r="H201" s="21" t="n">
        <v>0</v>
      </c>
      <c r="I201" s="22" t="n">
        <f aca="false">W$2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3079.92</v>
      </c>
      <c r="Q201" s="25" t="n">
        <f aca="false">IF(E201=0,IF((D201+N201-O201)&lt;0,ABS(D201+N201-O201),0),IF((N201-E201-O201)&lt;0,ABS(N201-E201-O201),0))</f>
        <v>0</v>
      </c>
      <c r="T201" s="26"/>
      <c r="U201" s="26"/>
      <c r="V201" s="26"/>
      <c r="W201" s="26"/>
      <c r="X201" s="26"/>
      <c r="Y201" s="26"/>
      <c r="Z201" s="26"/>
      <c r="AA201" s="26"/>
      <c r="AB201" s="26"/>
    </row>
    <row r="202" customFormat="false" ht="15" hidden="false" customHeight="false" outlineLevel="0" collapsed="false">
      <c r="A202" s="17" t="s">
        <v>602</v>
      </c>
      <c r="B202" s="18" t="s">
        <v>603</v>
      </c>
      <c r="C202" s="18" t="s">
        <v>604</v>
      </c>
      <c r="D202" s="19" t="n">
        <v>2020.48</v>
      </c>
      <c r="E202" s="19" t="n">
        <v>0</v>
      </c>
      <c r="F202" s="20" t="n">
        <v>0</v>
      </c>
      <c r="G202" s="21" t="n">
        <v>70.4</v>
      </c>
      <c r="H202" s="21" t="n">
        <v>0</v>
      </c>
      <c r="I202" s="22" t="n">
        <f aca="false">W$2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2309.12</v>
      </c>
      <c r="Q202" s="25" t="n">
        <f aca="false">IF(E202=0,IF((D202+N202-O202)&lt;0,ABS(D202+N202-O202),0),IF((N202-E202-O202)&lt;0,ABS(N202-E202-O202),0))</f>
        <v>0</v>
      </c>
      <c r="T202" s="26"/>
      <c r="U202" s="26"/>
      <c r="V202" s="26"/>
      <c r="W202" s="26"/>
      <c r="X202" s="26"/>
      <c r="Y202" s="26"/>
      <c r="Z202" s="26"/>
      <c r="AA202" s="26"/>
      <c r="AB202" s="26"/>
    </row>
    <row r="203" customFormat="false" ht="15" hidden="false" customHeight="false" outlineLevel="0" collapsed="false">
      <c r="A203" s="17" t="s">
        <v>605</v>
      </c>
      <c r="B203" s="18" t="s">
        <v>606</v>
      </c>
      <c r="C203" s="18" t="s">
        <v>607</v>
      </c>
      <c r="D203" s="19" t="n">
        <v>2293.41</v>
      </c>
      <c r="E203" s="19" t="n">
        <v>0</v>
      </c>
      <c r="F203" s="20" t="n">
        <v>0</v>
      </c>
      <c r="G203" s="21" t="n">
        <v>70.2</v>
      </c>
      <c r="H203" s="21" t="n">
        <v>0</v>
      </c>
      <c r="I203" s="22" t="n">
        <f aca="false">W$2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2581.23</v>
      </c>
      <c r="Q203" s="25" t="n">
        <f aca="false">IF(E203=0,IF((D203+N203-O203)&lt;0,ABS(D203+N203-O203),0),IF((N203-E203-O203)&lt;0,ABS(N203-E203-O203),0))</f>
        <v>0</v>
      </c>
      <c r="T203" s="26"/>
      <c r="U203" s="26"/>
      <c r="V203" s="26"/>
      <c r="W203" s="26"/>
      <c r="X203" s="26"/>
      <c r="Y203" s="26"/>
      <c r="Z203" s="26"/>
      <c r="AA203" s="26"/>
      <c r="AB203" s="26"/>
    </row>
    <row r="204" customFormat="false" ht="15" hidden="false" customHeight="false" outlineLevel="0" collapsed="false">
      <c r="A204" s="17" t="s">
        <v>608</v>
      </c>
      <c r="B204" s="18" t="s">
        <v>609</v>
      </c>
      <c r="C204" s="18" t="s">
        <v>610</v>
      </c>
      <c r="D204" s="19" t="n">
        <v>1689.27</v>
      </c>
      <c r="E204" s="19" t="n">
        <v>0</v>
      </c>
      <c r="F204" s="20" t="n">
        <v>0</v>
      </c>
      <c r="G204" s="21" t="n">
        <v>49.94</v>
      </c>
      <c r="H204" s="21" t="n">
        <v>0</v>
      </c>
      <c r="I204" s="22" t="n">
        <f aca="false">W$2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1894.02</v>
      </c>
      <c r="Q204" s="25" t="n">
        <f aca="false">IF(E204=0,IF((D204+N204-O204)&lt;0,ABS(D204+N204-O204),0),IF((N204-E204-O204)&lt;0,ABS(N204-E204-O204),0))</f>
        <v>0</v>
      </c>
      <c r="T204" s="26"/>
      <c r="U204" s="26"/>
      <c r="V204" s="26"/>
      <c r="W204" s="26"/>
      <c r="X204" s="26"/>
      <c r="Y204" s="26"/>
      <c r="Z204" s="26"/>
      <c r="AA204" s="26"/>
      <c r="AB204" s="26"/>
    </row>
    <row r="205" customFormat="false" ht="15" hidden="false" customHeight="false" outlineLevel="0" collapsed="false">
      <c r="A205" s="17" t="s">
        <v>611</v>
      </c>
      <c r="B205" s="18" t="s">
        <v>612</v>
      </c>
      <c r="C205" s="18" t="s">
        <v>613</v>
      </c>
      <c r="D205" s="19" t="n">
        <v>761.72</v>
      </c>
      <c r="E205" s="19" t="n">
        <v>0</v>
      </c>
      <c r="F205" s="20" t="n">
        <v>0</v>
      </c>
      <c r="G205" s="21" t="n">
        <v>62.3</v>
      </c>
      <c r="H205" s="21" t="n">
        <v>0</v>
      </c>
      <c r="I205" s="22" t="n">
        <f aca="false">W$2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1017.15</v>
      </c>
      <c r="Q205" s="25" t="n">
        <f aca="false">IF(E205=0,IF((D205+N205-O205)&lt;0,ABS(D205+N205-O205),0),IF((N205-E205-O205)&lt;0,ABS(N205-E205-O205),0))</f>
        <v>0</v>
      </c>
      <c r="T205" s="26"/>
      <c r="U205" s="26"/>
      <c r="V205" s="26"/>
      <c r="W205" s="26"/>
      <c r="X205" s="26"/>
      <c r="Y205" s="26"/>
      <c r="Z205" s="26"/>
      <c r="AA205" s="26"/>
      <c r="AB205" s="26"/>
    </row>
    <row r="206" customFormat="false" ht="15" hidden="false" customHeight="false" outlineLevel="0" collapsed="false">
      <c r="A206" s="17" t="s">
        <v>614</v>
      </c>
      <c r="B206" s="18" t="s">
        <v>615</v>
      </c>
      <c r="C206" s="18" t="s">
        <v>616</v>
      </c>
      <c r="D206" s="19" t="n">
        <v>995.25</v>
      </c>
      <c r="E206" s="19" t="n">
        <v>0</v>
      </c>
      <c r="F206" s="20" t="n">
        <v>0</v>
      </c>
      <c r="G206" s="21" t="n">
        <v>67.61</v>
      </c>
      <c r="H206" s="21"/>
      <c r="I206" s="22" t="n">
        <f aca="false">W$2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1272.45</v>
      </c>
      <c r="Q206" s="25" t="n">
        <f aca="false">IF(E206=0,IF((D206+N206-O206)&lt;0,ABS(D206+N206-O206),0),IF((N206-E206-O206)&lt;0,ABS(N206-E206-O206),0))</f>
        <v>0</v>
      </c>
      <c r="T206" s="26"/>
      <c r="U206" s="26"/>
      <c r="V206" s="26"/>
      <c r="W206" s="26"/>
      <c r="X206" s="26"/>
      <c r="Y206" s="26"/>
      <c r="Z206" s="26"/>
      <c r="AA206" s="26"/>
      <c r="AB206" s="26"/>
    </row>
    <row r="207" customFormat="false" ht="15" hidden="false" customHeight="false" outlineLevel="0" collapsed="false">
      <c r="A207" s="17" t="s">
        <v>617</v>
      </c>
      <c r="B207" s="18" t="s">
        <v>618</v>
      </c>
      <c r="C207" s="18" t="s">
        <v>619</v>
      </c>
      <c r="D207" s="19" t="n">
        <v>2691.81</v>
      </c>
      <c r="E207" s="19" t="n">
        <v>0</v>
      </c>
      <c r="F207" s="20" t="n">
        <v>0</v>
      </c>
      <c r="G207" s="21" t="n">
        <v>70.38</v>
      </c>
      <c r="H207" s="21" t="n">
        <v>0</v>
      </c>
      <c r="I207" s="22" t="n">
        <f aca="false">W$2</f>
        <v>4.1</v>
      </c>
      <c r="J207" s="23" t="n">
        <f aca="false">ROUND(G207*I207,2)</f>
        <v>288.56</v>
      </c>
      <c r="K207" s="19"/>
      <c r="L207" s="19" t="n">
        <v>288.56</v>
      </c>
      <c r="M207" s="19"/>
      <c r="N207" s="19" t="n">
        <f aca="false">ROUND((G207*I207)-K207-L207-M207,2)</f>
        <v>-0</v>
      </c>
      <c r="O207" s="19"/>
      <c r="P207" s="25" t="n">
        <f aca="false">IF(D207=0,IF((N207-E207-O207)&gt;0,(N207-E207-O207),0),IF((D207+N207-O207)&gt;0,(D207+N207-O207),0))</f>
        <v>2691.81</v>
      </c>
      <c r="Q207" s="25" t="n">
        <f aca="false">IF(E207=0,IF((D207+N207-O207)&lt;0,ABS(D207+N207-O207),0),IF((N207-E207-O207)&lt;0,ABS(N207-E207-O207),0))</f>
        <v>0</v>
      </c>
      <c r="T207" s="26"/>
      <c r="U207" s="26"/>
      <c r="V207" s="26"/>
      <c r="W207" s="26"/>
      <c r="X207" s="26"/>
      <c r="Y207" s="26"/>
      <c r="Z207" s="26"/>
      <c r="AA207" s="26"/>
      <c r="AB207" s="26"/>
    </row>
    <row r="208" customFormat="false" ht="15" hidden="false" customHeight="false" outlineLevel="0" collapsed="false">
      <c r="A208" s="17" t="s">
        <v>620</v>
      </c>
      <c r="B208" s="18" t="s">
        <v>621</v>
      </c>
      <c r="C208" s="18" t="s">
        <v>622</v>
      </c>
      <c r="D208" s="19" t="n">
        <v>1469.54</v>
      </c>
      <c r="E208" s="19" t="n">
        <v>0</v>
      </c>
      <c r="F208" s="20" t="n">
        <v>0</v>
      </c>
      <c r="G208" s="21" t="n">
        <v>49.88</v>
      </c>
      <c r="H208" s="21" t="n">
        <v>0</v>
      </c>
      <c r="I208" s="22" t="n">
        <f aca="false">W$2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1674.05</v>
      </c>
      <c r="Q208" s="25" t="n">
        <f aca="false">IF(E208=0,IF((D208+N208-O208)&lt;0,ABS(D208+N208-O208),0),IF((N208-E208-O208)&lt;0,ABS(N208-E208-O208),0))</f>
        <v>0</v>
      </c>
      <c r="T208" s="26"/>
      <c r="U208" s="26"/>
      <c r="V208" s="26"/>
      <c r="W208" s="26"/>
      <c r="X208" s="26"/>
      <c r="Y208" s="26"/>
      <c r="Z208" s="26"/>
      <c r="AA208" s="26"/>
      <c r="AB208" s="26"/>
    </row>
    <row r="209" customFormat="false" ht="15" hidden="false" customHeight="false" outlineLevel="0" collapsed="false">
      <c r="A209" s="17" t="s">
        <v>623</v>
      </c>
      <c r="B209" s="18" t="s">
        <v>624</v>
      </c>
      <c r="C209" s="18" t="s">
        <v>625</v>
      </c>
      <c r="D209" s="19" t="n">
        <v>969.24</v>
      </c>
      <c r="E209" s="19" t="n">
        <v>0</v>
      </c>
      <c r="F209" s="20" t="n">
        <v>0</v>
      </c>
      <c r="G209" s="21" t="n">
        <v>62.02</v>
      </c>
      <c r="H209" s="21" t="n">
        <v>0</v>
      </c>
      <c r="I209" s="22" t="n">
        <f aca="false">W$2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1223.52</v>
      </c>
      <c r="Q209" s="25" t="n">
        <f aca="false">IF(E209=0,IF((D209+N209-O209)&lt;0,ABS(D209+N209-O209),0),IF((N209-E209-O209)&lt;0,ABS(N209-E209-O209),0))</f>
        <v>0</v>
      </c>
      <c r="T209" s="26"/>
      <c r="U209" s="26"/>
      <c r="V209" s="26"/>
      <c r="W209" s="26"/>
      <c r="X209" s="26"/>
      <c r="Y209" s="26"/>
      <c r="Z209" s="26"/>
      <c r="AA209" s="26"/>
      <c r="AB209" s="26"/>
    </row>
    <row r="210" customFormat="false" ht="15" hidden="false" customHeight="false" outlineLevel="0" collapsed="false">
      <c r="A210" s="17" t="s">
        <v>626</v>
      </c>
      <c r="B210" s="18" t="s">
        <v>627</v>
      </c>
      <c r="C210" s="18" t="s">
        <v>628</v>
      </c>
      <c r="D210" s="19" t="n">
        <v>1646.71</v>
      </c>
      <c r="E210" s="19" t="n">
        <v>0</v>
      </c>
      <c r="F210" s="20" t="n">
        <v>0</v>
      </c>
      <c r="G210" s="21" t="n">
        <v>67.6</v>
      </c>
      <c r="H210" s="21" t="n">
        <v>0</v>
      </c>
      <c r="I210" s="22" t="n">
        <f aca="false">W$2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1923.87</v>
      </c>
      <c r="Q210" s="25" t="n">
        <f aca="false">IF(E210=0,IF((D210+N210-O210)&lt;0,ABS(D210+N210-O210),0),IF((N210-E210-O210)&lt;0,ABS(N210-E210-O210),0))</f>
        <v>0</v>
      </c>
      <c r="T210" s="26"/>
      <c r="U210" s="26"/>
      <c r="V210" s="26"/>
      <c r="W210" s="26"/>
      <c r="X210" s="26"/>
      <c r="Y210" s="26"/>
      <c r="Z210" s="26"/>
      <c r="AA210" s="26"/>
      <c r="AB210" s="26"/>
    </row>
    <row r="211" customFormat="false" ht="15" hidden="false" customHeight="false" outlineLevel="0" collapsed="false">
      <c r="A211" s="17" t="s">
        <v>629</v>
      </c>
      <c r="B211" s="18" t="s">
        <v>630</v>
      </c>
      <c r="C211" s="18" t="s">
        <v>631</v>
      </c>
      <c r="D211" s="19" t="n">
        <v>3464.64</v>
      </c>
      <c r="E211" s="19" t="n">
        <v>0</v>
      </c>
      <c r="F211" s="20" t="n">
        <v>0</v>
      </c>
      <c r="G211" s="21" t="n">
        <v>70.42</v>
      </c>
      <c r="H211" s="21" t="n">
        <v>0</v>
      </c>
      <c r="I211" s="22" t="n">
        <f aca="false">W$2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3753.36</v>
      </c>
      <c r="Q211" s="25" t="n">
        <f aca="false">IF(E211=0,IF((D211+N211-O211)&lt;0,ABS(D211+N211-O211),0),IF((N211-E211-O211)&lt;0,ABS(N211-E211-O211),0))</f>
        <v>0</v>
      </c>
      <c r="T211" s="26"/>
      <c r="U211" s="26"/>
      <c r="V211" s="26"/>
      <c r="W211" s="26"/>
      <c r="X211" s="26"/>
      <c r="Y211" s="26"/>
      <c r="Z211" s="26"/>
      <c r="AA211" s="26"/>
      <c r="AB211" s="26"/>
    </row>
    <row r="212" customFormat="false" ht="15" hidden="false" customHeight="false" outlineLevel="0" collapsed="false">
      <c r="A212" s="17" t="s">
        <v>632</v>
      </c>
      <c r="B212" s="18" t="s">
        <v>633</v>
      </c>
      <c r="C212" s="18" t="s">
        <v>634</v>
      </c>
      <c r="D212" s="19" t="n">
        <v>1194.77</v>
      </c>
      <c r="E212" s="19" t="n">
        <v>0</v>
      </c>
      <c r="F212" s="20" t="n">
        <v>0</v>
      </c>
      <c r="G212" s="21" t="n">
        <v>49.8</v>
      </c>
      <c r="H212" s="21" t="n">
        <v>0</v>
      </c>
      <c r="I212" s="22" t="n">
        <f aca="false">W$2</f>
        <v>4.1</v>
      </c>
      <c r="J212" s="23" t="n">
        <f aca="false">ROUND(G212*I212,2)</f>
        <v>204.18</v>
      </c>
      <c r="K212" s="19"/>
      <c r="L212" s="19" t="n">
        <v>204.18</v>
      </c>
      <c r="M212" s="19"/>
      <c r="N212" s="19" t="n">
        <f aca="false">ROUND((G212*I212)-K212-L212-M212,2)</f>
        <v>0</v>
      </c>
      <c r="O212" s="19"/>
      <c r="P212" s="25" t="n">
        <f aca="false">IF(D212=0,IF((N212-E212-O212)&gt;0,(N212-E212-O212),0),IF((D212+N212-O212)&gt;0,(D212+N212-O212),0))</f>
        <v>1194.77</v>
      </c>
      <c r="Q212" s="25" t="n">
        <f aca="false">IF(E212=0,IF((D212+N212-O212)&lt;0,ABS(D212+N212-O212),0),IF((N212-E212-O212)&lt;0,ABS(N212-E212-O212),0))</f>
        <v>0</v>
      </c>
      <c r="T212" s="26"/>
      <c r="U212" s="26"/>
      <c r="V212" s="26"/>
      <c r="W212" s="26"/>
      <c r="X212" s="26"/>
      <c r="Y212" s="26"/>
      <c r="Z212" s="26"/>
      <c r="AA212" s="26"/>
      <c r="AB212" s="26"/>
    </row>
    <row r="213" customFormat="false" ht="15" hidden="false" customHeight="false" outlineLevel="0" collapsed="false">
      <c r="A213" s="17" t="s">
        <v>635</v>
      </c>
      <c r="B213" s="18" t="s">
        <v>636</v>
      </c>
      <c r="C213" s="18" t="s">
        <v>637</v>
      </c>
      <c r="D213" s="19" t="n">
        <v>3301</v>
      </c>
      <c r="E213" s="19" t="n">
        <v>0</v>
      </c>
      <c r="F213" s="20" t="n">
        <v>0</v>
      </c>
      <c r="G213" s="21" t="n">
        <v>62.7</v>
      </c>
      <c r="H213" s="21" t="n">
        <v>0</v>
      </c>
      <c r="I213" s="22" t="n">
        <f aca="false">W$2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3558.07</v>
      </c>
      <c r="Q213" s="25" t="n">
        <f aca="false">IF(E213=0,IF((D213+N213-O213)&lt;0,ABS(D213+N213-O213),0),IF((N213-E213-O213)&lt;0,ABS(N213-E213-O213),0))</f>
        <v>0</v>
      </c>
      <c r="T213" s="26"/>
      <c r="U213" s="26"/>
      <c r="V213" s="26"/>
      <c r="W213" s="26"/>
      <c r="X213" s="26"/>
      <c r="Y213" s="26"/>
      <c r="Z213" s="26"/>
      <c r="AA213" s="26"/>
      <c r="AB213" s="26"/>
    </row>
    <row r="214" customFormat="false" ht="15" hidden="false" customHeight="false" outlineLevel="0" collapsed="false">
      <c r="A214" s="17" t="s">
        <v>638</v>
      </c>
      <c r="B214" s="18" t="s">
        <v>639</v>
      </c>
      <c r="C214" s="18" t="s">
        <v>640</v>
      </c>
      <c r="D214" s="19" t="n">
        <v>204</v>
      </c>
      <c r="E214" s="19" t="n">
        <v>0</v>
      </c>
      <c r="F214" s="20" t="n">
        <v>0</v>
      </c>
      <c r="G214" s="21" t="n">
        <v>68</v>
      </c>
      <c r="H214" s="21" t="n">
        <v>0</v>
      </c>
      <c r="I214" s="22" t="n">
        <f aca="false">W$2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  <c r="T214" s="26"/>
      <c r="U214" s="26"/>
      <c r="V214" s="26"/>
      <c r="W214" s="26"/>
      <c r="X214" s="26"/>
      <c r="Y214" s="26"/>
      <c r="Z214" s="26"/>
      <c r="AA214" s="26"/>
      <c r="AB214" s="26"/>
    </row>
    <row r="215" customFormat="false" ht="15" hidden="false" customHeight="false" outlineLevel="0" collapsed="false">
      <c r="A215" s="17" t="s">
        <v>641</v>
      </c>
      <c r="B215" s="18" t="s">
        <v>642</v>
      </c>
      <c r="C215" s="18" t="s">
        <v>643</v>
      </c>
      <c r="D215" s="19" t="n">
        <v>523.860000000001</v>
      </c>
      <c r="E215" s="19" t="n">
        <v>0</v>
      </c>
      <c r="F215" s="20" t="n">
        <v>0</v>
      </c>
      <c r="G215" s="21" t="n">
        <v>72.1</v>
      </c>
      <c r="H215" s="21" t="n">
        <v>0</v>
      </c>
      <c r="I215" s="22" t="n">
        <f aca="false">W$2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 t="n">
        <v>600</v>
      </c>
      <c r="P215" s="25" t="n">
        <f aca="false">IF(D215=0,IF((N215-E215-O215)&gt;0,(N215-E215-O215),0),IF((D215+N215-O215)&gt;0,(D215+N215-O215),0))</f>
        <v>219.470000000001</v>
      </c>
      <c r="Q215" s="25" t="n">
        <f aca="false">IF(E215=0,IF((D215+N215-O215)&lt;0,ABS(D215+N215-O215),0),IF((N215-E215-O215)&lt;0,ABS(N215-E215-O215),0))</f>
        <v>0</v>
      </c>
      <c r="T215" s="26"/>
      <c r="U215" s="26"/>
      <c r="V215" s="26"/>
      <c r="W215" s="26"/>
      <c r="X215" s="26"/>
      <c r="Y215" s="26"/>
      <c r="Z215" s="26"/>
      <c r="AA215" s="26"/>
      <c r="AB215" s="26"/>
    </row>
    <row r="216" customFormat="false" ht="15" hidden="false" customHeight="false" outlineLevel="0" collapsed="false">
      <c r="A216" s="17" t="s">
        <v>644</v>
      </c>
      <c r="B216" s="18" t="s">
        <v>645</v>
      </c>
      <c r="C216" s="18" t="s">
        <v>646</v>
      </c>
      <c r="D216" s="19" t="n">
        <v>803.9</v>
      </c>
      <c r="E216" s="19" t="n">
        <v>0</v>
      </c>
      <c r="F216" s="20" t="n">
        <v>0</v>
      </c>
      <c r="G216" s="21" t="n">
        <v>49.72</v>
      </c>
      <c r="H216" s="21" t="n">
        <v>0</v>
      </c>
      <c r="I216" s="22" t="n">
        <f aca="false">W$2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1007.75</v>
      </c>
      <c r="Q216" s="25" t="n">
        <f aca="false">IF(E216=0,IF((D216+N216-O216)&lt;0,ABS(D216+N216-O216),0),IF((N216-E216-O216)&lt;0,ABS(N216-E216-O216),0))</f>
        <v>0</v>
      </c>
      <c r="T216" s="26"/>
      <c r="U216" s="26"/>
      <c r="V216" s="26"/>
      <c r="W216" s="26"/>
      <c r="X216" s="26"/>
      <c r="Y216" s="26"/>
      <c r="Z216" s="26"/>
      <c r="AA216" s="26"/>
      <c r="AB216" s="26"/>
    </row>
    <row r="217" customFormat="false" ht="15" hidden="false" customHeight="false" outlineLevel="0" collapsed="false">
      <c r="A217" s="17" t="s">
        <v>647</v>
      </c>
      <c r="B217" s="18" t="s">
        <v>648</v>
      </c>
      <c r="C217" s="18" t="s">
        <v>649</v>
      </c>
      <c r="D217" s="19" t="n">
        <v>764.49</v>
      </c>
      <c r="E217" s="19" t="n">
        <v>0</v>
      </c>
      <c r="F217" s="20" t="n">
        <v>0</v>
      </c>
      <c r="G217" s="21" t="n">
        <v>62.39</v>
      </c>
      <c r="H217" s="21" t="n">
        <v>0</v>
      </c>
      <c r="I217" s="22" t="n">
        <f aca="false">W$2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 t="n">
        <v>800</v>
      </c>
      <c r="P217" s="25" t="n">
        <f aca="false">IF(D217=0,IF((N217-E217-O217)&gt;0,(N217-E217-O217),0),IF((D217+N217-O217)&gt;0,(D217+N217-O217),0))</f>
        <v>220.29</v>
      </c>
      <c r="Q217" s="25" t="n">
        <f aca="false">IF(E217=0,IF((D217+N217-O217)&lt;0,ABS(D217+N217-O217),0),IF((N217-E217-O217)&lt;0,ABS(N217-E217-O217),0))</f>
        <v>0</v>
      </c>
      <c r="T217" s="26"/>
      <c r="U217" s="26"/>
      <c r="V217" s="26"/>
      <c r="W217" s="26"/>
      <c r="X217" s="26"/>
      <c r="Y217" s="26"/>
      <c r="Z217" s="26"/>
      <c r="AA217" s="26"/>
      <c r="AB217" s="26"/>
    </row>
    <row r="218" customFormat="false" ht="15" hidden="false" customHeight="false" outlineLevel="0" collapsed="false">
      <c r="A218" s="17" t="s">
        <v>650</v>
      </c>
      <c r="B218" s="18" t="s">
        <v>651</v>
      </c>
      <c r="C218" s="18" t="s">
        <v>652</v>
      </c>
      <c r="D218" s="19" t="n">
        <v>2757.45</v>
      </c>
      <c r="E218" s="19" t="n">
        <v>0</v>
      </c>
      <c r="F218" s="20" t="n">
        <v>0</v>
      </c>
      <c r="G218" s="21" t="n">
        <v>67.47</v>
      </c>
      <c r="H218" s="21" t="n">
        <v>0</v>
      </c>
      <c r="I218" s="22" t="n">
        <f aca="false">W$2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3034.08</v>
      </c>
      <c r="Q218" s="25" t="n">
        <f aca="false">IF(E218=0,IF((D218+N218-O218)&lt;0,ABS(D218+N218-O218),0),IF((N218-E218-O218)&lt;0,ABS(N218-E218-O218),0))</f>
        <v>0</v>
      </c>
      <c r="T218" s="26"/>
      <c r="U218" s="26"/>
      <c r="V218" s="26"/>
      <c r="W218" s="26"/>
      <c r="X218" s="26"/>
      <c r="Y218" s="26"/>
      <c r="Z218" s="26"/>
      <c r="AA218" s="26"/>
      <c r="AB218" s="26"/>
    </row>
    <row r="219" customFormat="false" ht="15" hidden="false" customHeight="false" outlineLevel="0" collapsed="false">
      <c r="A219" s="17" t="s">
        <v>653</v>
      </c>
      <c r="B219" s="18" t="s">
        <v>654</v>
      </c>
      <c r="C219" s="18" t="s">
        <v>655</v>
      </c>
      <c r="D219" s="19" t="n">
        <v>2182.48</v>
      </c>
      <c r="E219" s="19" t="n">
        <v>0</v>
      </c>
      <c r="F219" s="20" t="n">
        <v>0</v>
      </c>
      <c r="G219" s="21" t="n">
        <v>70.41</v>
      </c>
      <c r="H219" s="21" t="n">
        <v>0</v>
      </c>
      <c r="I219" s="22" t="n">
        <f aca="false">W$2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2471.16</v>
      </c>
      <c r="Q219" s="25" t="n">
        <f aca="false">IF(E219=0,IF((D219+N219-O219)&lt;0,ABS(D219+N219-O219),0),IF((N219-E219-O219)&lt;0,ABS(N219-E219-O219),0))</f>
        <v>0</v>
      </c>
      <c r="T219" s="26"/>
      <c r="U219" s="26"/>
      <c r="V219" s="26"/>
      <c r="W219" s="26"/>
      <c r="X219" s="26"/>
      <c r="Y219" s="26"/>
      <c r="Z219" s="26"/>
      <c r="AA219" s="26"/>
      <c r="AB219" s="26"/>
    </row>
    <row r="220" customFormat="false" ht="15" hidden="false" customHeight="false" outlineLevel="0" collapsed="false">
      <c r="A220" s="17" t="s">
        <v>656</v>
      </c>
      <c r="B220" s="18" t="s">
        <v>657</v>
      </c>
      <c r="C220" s="18" t="s">
        <v>658</v>
      </c>
      <c r="D220" s="19" t="n">
        <v>1268.41</v>
      </c>
      <c r="E220" s="19" t="n">
        <v>0</v>
      </c>
      <c r="F220" s="20" t="n">
        <v>0</v>
      </c>
      <c r="G220" s="21" t="n">
        <v>49.73</v>
      </c>
      <c r="H220" s="21" t="n">
        <v>0</v>
      </c>
      <c r="I220" s="22" t="n">
        <f aca="false">W$2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 t="n">
        <v>110</v>
      </c>
      <c r="P220" s="25" t="n">
        <f aca="false">IF(D220=0,IF((N220-E220-O220)&gt;0,(N220-E220-O220),0),IF((D220+N220-O220)&gt;0,(D220+N220-O220),0))</f>
        <v>1362.3</v>
      </c>
      <c r="Q220" s="25" t="n">
        <f aca="false">IF(E220=0,IF((D220+N220-O220)&lt;0,ABS(D220+N220-O220),0),IF((N220-E220-O220)&lt;0,ABS(N220-E220-O220),0))</f>
        <v>0</v>
      </c>
      <c r="T220" s="26"/>
      <c r="U220" s="26"/>
      <c r="V220" s="26"/>
      <c r="W220" s="26"/>
      <c r="X220" s="26"/>
      <c r="Y220" s="26"/>
      <c r="Z220" s="26"/>
      <c r="AA220" s="26"/>
      <c r="AB220" s="26"/>
    </row>
    <row r="221" customFormat="false" ht="15" hidden="false" customHeight="false" outlineLevel="0" collapsed="false">
      <c r="A221" s="27" t="s">
        <v>659</v>
      </c>
      <c r="B221" s="18" t="s">
        <v>660</v>
      </c>
      <c r="C221" s="18" t="s">
        <v>661</v>
      </c>
      <c r="D221" s="28" t="n">
        <v>4373.6</v>
      </c>
      <c r="E221" s="29" t="n">
        <v>0</v>
      </c>
      <c r="F221" s="20" t="n">
        <v>0</v>
      </c>
      <c r="G221" s="21" t="n">
        <v>62</v>
      </c>
      <c r="H221" s="21" t="n">
        <v>0</v>
      </c>
      <c r="I221" s="22" t="n">
        <f aca="false">W$2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4627.8</v>
      </c>
      <c r="Q221" s="30" t="n">
        <f aca="false">IF(E221=0,IF((D221+N221-O221)&lt;0,ABS(D221+N221-O221),0),IF((N221-E221-O221)&lt;0,ABS(N221-E221-O221),0))</f>
        <v>0</v>
      </c>
      <c r="T221" s="26"/>
      <c r="U221" s="26"/>
      <c r="V221" s="26"/>
      <c r="W221" s="26"/>
      <c r="X221" s="26"/>
      <c r="Y221" s="26"/>
      <c r="Z221" s="26"/>
      <c r="AA221" s="26"/>
      <c r="AB221" s="26"/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339118.67</v>
      </c>
      <c r="E222" s="33" t="n">
        <f aca="false">SUM(E7:E221)</f>
        <v>5920.11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2941.09</v>
      </c>
      <c r="M222" s="37" t="n">
        <f aca="false">SUM(M7:M221)</f>
        <v>0</v>
      </c>
      <c r="N222" s="38" t="n">
        <f aca="false">SUM(N7:N221)</f>
        <v>44833.9</v>
      </c>
      <c r="O222" s="37" t="n">
        <f aca="false">SUM(O7:O221)</f>
        <v>29037.01</v>
      </c>
      <c r="P222" s="39" t="n">
        <f aca="false">SUM(P7:P221)</f>
        <v>354363.24</v>
      </c>
      <c r="Q222" s="33" t="n">
        <f aca="false">SUM(Q7:Q221)</f>
        <v>5367.79</v>
      </c>
      <c r="T222" s="26"/>
      <c r="U222" s="26"/>
      <c r="V222" s="26"/>
      <c r="W222" s="26"/>
      <c r="X222" s="26"/>
      <c r="Y222" s="26"/>
      <c r="Z222" s="26"/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333198.56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348995.45</v>
      </c>
      <c r="Q223" s="41"/>
      <c r="T223" s="26"/>
      <c r="U223" s="26"/>
      <c r="V223" s="26"/>
      <c r="W223" s="26"/>
      <c r="X223" s="26"/>
      <c r="Y223" s="26"/>
      <c r="Z223" s="26"/>
    </row>
    <row r="224" customFormat="false" ht="15" hidden="false" customHeight="false" outlineLevel="0" collapsed="false">
      <c r="U224" s="42"/>
      <c r="Z224" s="26"/>
    </row>
    <row r="225" customFormat="false" ht="15" hidden="false" customHeight="false" outlineLevel="0" collapsed="false">
      <c r="U225" s="42" t="n">
        <f aca="false">[1]січень!$F$76</f>
        <v>29037.01</v>
      </c>
    </row>
    <row r="226" customFormat="false" ht="15" hidden="false" customHeight="false" outlineLevel="0" collapsed="false">
      <c r="U226" s="42" t="n">
        <f aca="false">U225-O222</f>
        <v>0</v>
      </c>
    </row>
    <row r="229" customFormat="false" ht="15" hidden="false" customHeight="false" outlineLevel="0" collapsed="false">
      <c r="T229" s="42"/>
    </row>
    <row r="230" customFormat="false" ht="15" hidden="false" customHeight="false" outlineLevel="0" collapsed="false">
      <c r="T230" s="42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F9:G9 D9:E10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equal" aboveAverage="0" equalAverage="0" bottom="0" percent="0" rank="0" text="" dxfId="2">
      <formula>0</formula>
    </cfRule>
  </conditionalFormatting>
  <conditionalFormatting sqref="D7:G221">
    <cfRule type="cellIs" priority="5" operator="equal" aboveAverage="0" equalAverage="0" bottom="0" percent="0" rank="0" text="" dxfId="3">
      <formula>0</formula>
    </cfRule>
    <cfRule type="cellIs" priority="6" operator="equal" aboveAverage="0" equalAverage="0" bottom="0" percent="0" rank="0" text="" dxfId="4">
      <formula>0</formula>
    </cfRule>
    <cfRule type="cellIs" priority="7" operator="equal" aboveAverage="0" equalAverage="0" bottom="0" percent="0" rank="0" text="" dxfId="5">
      <formula>0</formula>
    </cfRule>
  </conditionalFormatting>
  <conditionalFormatting sqref="J4:Q5 D4:E5 F4:I4 O15:O16 O21:O22 O27:O28 O33 O36:O37 O63:O64 O42:O43 O69:O70 O48:O49 O75:O76 O54:O55 O60 O83:O84 O89 O94:O95 O100:O101 O106 F9:I9 D9:E10 J9:O10">
    <cfRule type="cellIs" priority="8" operator="equal" aboveAverage="0" equalAverage="0" bottom="0" percent="0" rank="0" text="" dxfId="6">
      <formula>0</formula>
    </cfRule>
  </conditionalFormatting>
  <conditionalFormatting sqref="L2:L5 M4:M89 N2:Q89 L7:L221 M90:Q221 D2:K221">
    <cfRule type="cellIs" priority="9" operator="equal" aboveAverage="0" equalAverage="0" bottom="0" percent="0" rank="0" text="" dxfId="7">
      <formula>0</formula>
    </cfRule>
  </conditionalFormatting>
  <conditionalFormatting sqref="J4:Q5 D4:E5 F4:I4 D9:E10 J9:O10 O7:O9 O11:O207 F9:I9">
    <cfRule type="cellIs" priority="10" operator="equal" aboveAverage="0" equalAverage="0" bottom="0" percent="0" rank="0" text="" dxfId="8">
      <formula>0</formula>
    </cfRule>
  </conditionalFormatting>
  <conditionalFormatting sqref="L2:L5 M4:M89 N2:Q89 L7:L221 W6:Z6 M6:Q221 D2:K221">
    <cfRule type="cellIs" priority="11" operator="equal" aboveAverage="0" equalAverage="0" bottom="0" percent="0" rank="0" text="" dxfId="9">
      <formula>0</formula>
    </cfRule>
  </conditionalFormatting>
  <printOptions headings="false" gridLines="false" gridLinesSet="true" horizontalCentered="true" verticalCentered="false"/>
  <pageMargins left="0.118055555555556" right="0.118055555555556" top="0.354166666666667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0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18.29"/>
    <col collapsed="false" customWidth="true" hidden="false" outlineLevel="0" max="3" min="3" style="0" width="6.85"/>
    <col collapsed="false" customWidth="true" hidden="false" outlineLevel="0" max="4" min="4" style="0" width="9.86"/>
    <col collapsed="false" customWidth="true" hidden="false" outlineLevel="0" max="6" min="6" style="0" width="5.29"/>
    <col collapsed="false" customWidth="true" hidden="false" outlineLevel="0" max="7" min="7" style="0" width="7.86"/>
    <col collapsed="false" customWidth="true" hidden="false" outlineLevel="0" max="8" min="8" style="0" width="6.43"/>
    <col collapsed="false" customWidth="true" hidden="false" outlineLevel="0" max="9" min="9" style="0" width="7.71"/>
    <col collapsed="false" customWidth="true" hidden="false" outlineLevel="0" max="10" min="10" style="0" width="8.86"/>
    <col collapsed="false" customWidth="true" hidden="false" outlineLevel="0" max="11" min="11" style="0" width="6.29"/>
    <col collapsed="false" customWidth="true" hidden="false" outlineLevel="0" max="12" min="12" style="0" width="7.86"/>
    <col collapsed="false" customWidth="true" hidden="false" outlineLevel="0" max="13" min="13" style="0" width="8"/>
    <col collapsed="false" customWidth="true" hidden="false" outlineLevel="0" max="16" min="16" style="0" width="9.57"/>
    <col collapsed="false" customWidth="true" hidden="false" outlineLevel="0" max="20" min="20" style="0" width="9.86"/>
  </cols>
  <sheetData>
    <row r="1" customFormat="false" ht="32.25" hidden="false" customHeight="tru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663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2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5" hidden="false" customHeight="false" outlineLevel="0" collapsed="false">
      <c r="I5" s="2"/>
    </row>
    <row r="6" customFormat="false" ht="68.25" hidden="false" customHeight="tru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12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січень!B7</f>
        <v>Бережний В.М.</v>
      </c>
      <c r="C7" s="18" t="str">
        <f aca="false">січень!C7</f>
        <v>1001</v>
      </c>
      <c r="D7" s="19" t="n">
        <f aca="false">січень!P7</f>
        <v>1314.7</v>
      </c>
      <c r="E7" s="19" t="n">
        <f aca="false">січень!Q7</f>
        <v>0</v>
      </c>
      <c r="F7" s="20" t="n">
        <f aca="false">січень!F7</f>
        <v>0</v>
      </c>
      <c r="G7" s="21" t="n">
        <f aca="false">січень!G7</f>
        <v>64.26</v>
      </c>
      <c r="H7" s="21" t="n">
        <f aca="false">січень!H7</f>
        <v>0</v>
      </c>
      <c r="I7" s="22" t="n">
        <f aca="false">січень!I7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1578.17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січень!B8</f>
        <v>Старикова Т.О.</v>
      </c>
      <c r="C8" s="18" t="str">
        <f aca="false">січень!C8</f>
        <v>1002</v>
      </c>
      <c r="D8" s="19" t="n">
        <f aca="false">січень!P8</f>
        <v>2523.77</v>
      </c>
      <c r="E8" s="19" t="n">
        <f aca="false">січень!Q8</f>
        <v>0</v>
      </c>
      <c r="F8" s="20" t="n">
        <f aca="false">січень!F8</f>
        <v>0</v>
      </c>
      <c r="G8" s="21" t="n">
        <f aca="false">січень!G8</f>
        <v>48.71</v>
      </c>
      <c r="H8" s="21" t="n">
        <f aca="false">січень!H8</f>
        <v>0</v>
      </c>
      <c r="I8" s="22" t="n">
        <f aca="false">січень!I8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2723.48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січень!B9</f>
        <v>Мазур Т.В.</v>
      </c>
      <c r="C9" s="18" t="str">
        <f aca="false">січень!C9</f>
        <v>1003</v>
      </c>
      <c r="D9" s="19" t="n">
        <f aca="false">січень!P9</f>
        <v>281</v>
      </c>
      <c r="E9" s="19" t="n">
        <f aca="false">січень!Q9</f>
        <v>0</v>
      </c>
      <c r="F9" s="20" t="n">
        <f aca="false">січень!F9</f>
        <v>0</v>
      </c>
      <c r="G9" s="21" t="n">
        <f aca="false">січень!G9</f>
        <v>35</v>
      </c>
      <c r="H9" s="21" t="n">
        <f aca="false">січень!H9</f>
        <v>0</v>
      </c>
      <c r="I9" s="22" t="n">
        <f aca="false">січень!I9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 t="n">
        <v>400</v>
      </c>
      <c r="P9" s="25" t="n">
        <f aca="false">IF(D9=0,IF((N9-E9-O9)&gt;0,(N9-E9-O9),0),IF((D9+N9-O9)&gt;0,(D9+N9-O9),0))</f>
        <v>24.5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січень!B10</f>
        <v>Сокол О.В.</v>
      </c>
      <c r="C10" s="18" t="str">
        <f aca="false">січень!C10</f>
        <v>1004</v>
      </c>
      <c r="D10" s="19" t="n">
        <f aca="false">січень!P10</f>
        <v>0</v>
      </c>
      <c r="E10" s="19" t="n">
        <f aca="false">січень!Q10</f>
        <v>0.0300000000002001</v>
      </c>
      <c r="F10" s="20" t="n">
        <f aca="false">січень!F10</f>
        <v>0</v>
      </c>
      <c r="G10" s="21" t="n">
        <f aca="false">січень!G10</f>
        <v>61.6</v>
      </c>
      <c r="H10" s="21" t="n">
        <f aca="false">січень!H10</f>
        <v>0</v>
      </c>
      <c r="I10" s="22" t="n">
        <f aca="false">січень!I10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 t="n">
        <f aca="false">252.56+252.56</f>
        <v>505.12</v>
      </c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252.59</v>
      </c>
    </row>
    <row r="11" customFormat="false" ht="15" hidden="false" customHeight="false" outlineLevel="0" collapsed="false">
      <c r="A11" s="17" t="s">
        <v>31</v>
      </c>
      <c r="B11" s="18" t="str">
        <f aca="false">січень!B11</f>
        <v>Семко Л.І.</v>
      </c>
      <c r="C11" s="18" t="str">
        <f aca="false">січень!C11</f>
        <v>1005</v>
      </c>
      <c r="D11" s="19" t="n">
        <f aca="false">січень!P11</f>
        <v>277.220000000001</v>
      </c>
      <c r="E11" s="19" t="n">
        <f aca="false">січень!Q11</f>
        <v>0</v>
      </c>
      <c r="F11" s="20" t="n">
        <f aca="false">січень!F11</f>
        <v>0</v>
      </c>
      <c r="G11" s="21" t="n">
        <f aca="false">січень!G11</f>
        <v>28.34</v>
      </c>
      <c r="H11" s="21" t="n">
        <f aca="false">січень!H11</f>
        <v>0</v>
      </c>
      <c r="I11" s="22" t="n">
        <f aca="false">січень!I11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393.410000000001</v>
      </c>
      <c r="Q11" s="25" t="n">
        <f aca="false">IF(E11=0,IF((D11+N11-O11)&lt;0,ABS(D11+N11-O11),0),IF((N11-E11-O11)&lt;0,ABS(N11-E11-O11),0))</f>
        <v>0</v>
      </c>
    </row>
    <row r="12" customFormat="false" ht="15" hidden="false" customHeight="false" outlineLevel="0" collapsed="false">
      <c r="A12" s="17" t="s">
        <v>31</v>
      </c>
      <c r="B12" s="18" t="str">
        <f aca="false">січень!B12</f>
        <v>Гаркуша Н.І.</v>
      </c>
      <c r="C12" s="18" t="str">
        <f aca="false">січень!C12</f>
        <v>1005-а</v>
      </c>
      <c r="D12" s="19" t="n">
        <f aca="false">січень!P12</f>
        <v>248.410000000001</v>
      </c>
      <c r="E12" s="19" t="n">
        <f aca="false">січень!Q12</f>
        <v>0</v>
      </c>
      <c r="F12" s="20" t="n">
        <f aca="false">січень!F12</f>
        <v>0</v>
      </c>
      <c r="G12" s="21" t="n">
        <f aca="false">січень!G12</f>
        <v>36.66</v>
      </c>
      <c r="H12" s="21" t="n">
        <f aca="false">січень!H12</f>
        <v>0</v>
      </c>
      <c r="I12" s="22" t="n">
        <f aca="false">січень!I12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 t="n">
        <v>500</v>
      </c>
      <c r="P12" s="25" t="n">
        <f aca="false">IF(D12=0,IF((N12-E12-O12)&gt;0,(N12-E12-O12),0),IF((D12+N12-O12)&gt;0,(D12+N12-O12),0))</f>
        <v>0</v>
      </c>
      <c r="Q12" s="25" t="n">
        <f aca="false">IF(E12=0,IF((D12+N12-O12)&lt;0,ABS(D12+N12-O12),0),IF((N12-E12-O12)&lt;0,ABS(N12-E12-O12),0))</f>
        <v>101.279999999999</v>
      </c>
    </row>
    <row r="13" customFormat="false" ht="15" hidden="false" customHeight="false" outlineLevel="0" collapsed="false">
      <c r="A13" s="17" t="s">
        <v>36</v>
      </c>
      <c r="B13" s="18" t="str">
        <f aca="false">січень!B13</f>
        <v>Андріяшев В.М</v>
      </c>
      <c r="C13" s="18" t="str">
        <f aca="false">січень!C13</f>
        <v>1006</v>
      </c>
      <c r="D13" s="19" t="n">
        <f aca="false">січень!P13</f>
        <v>1468.26</v>
      </c>
      <c r="E13" s="19" t="n">
        <f aca="false">січень!Q13</f>
        <v>0</v>
      </c>
      <c r="F13" s="20" t="n">
        <f aca="false">січень!F13</f>
        <v>0</v>
      </c>
      <c r="G13" s="21" t="n">
        <f aca="false">січень!G13</f>
        <v>49.8</v>
      </c>
      <c r="H13" s="21" t="n">
        <f aca="false">січень!H13</f>
        <v>0</v>
      </c>
      <c r="I13" s="22" t="n">
        <f aca="false">січень!I13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 t="n">
        <v>1025</v>
      </c>
      <c r="P13" s="25" t="n">
        <f aca="false">IF(D13=0,IF((N13-E13-O13)&gt;0,(N13-E13-O13),0),IF((D13+N13-O13)&gt;0,(D13+N13-O13),0))</f>
        <v>647.44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січень!B14</f>
        <v>Старчикова О.М.</v>
      </c>
      <c r="C14" s="18" t="str">
        <f aca="false">січень!C14</f>
        <v>1007</v>
      </c>
      <c r="D14" s="19" t="n">
        <f aca="false">січень!P14</f>
        <v>0</v>
      </c>
      <c r="E14" s="19" t="n">
        <f aca="false">січень!Q14</f>
        <v>1.09000000000009</v>
      </c>
      <c r="F14" s="20" t="n">
        <f aca="false">січень!F14</f>
        <v>0</v>
      </c>
      <c r="G14" s="21" t="n">
        <f aca="false">січень!G14</f>
        <v>34.65</v>
      </c>
      <c r="H14" s="21" t="n">
        <f aca="false">січень!H14</f>
        <v>0</v>
      </c>
      <c r="I14" s="22" t="n">
        <f aca="false">січень!I14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/>
      <c r="P14" s="25" t="n">
        <f aca="false">IF(D14=0,IF((N14-E14-O14)&gt;0,(N14-E14-O14),0),IF((D14+N14-O14)&gt;0,(D14+N14-O14),0))</f>
        <v>140.98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січень!B15</f>
        <v>Безер Т.М</v>
      </c>
      <c r="C15" s="18" t="str">
        <f aca="false">січень!C15</f>
        <v>1008</v>
      </c>
      <c r="D15" s="19" t="n">
        <f aca="false">січень!P15</f>
        <v>226.02</v>
      </c>
      <c r="E15" s="19" t="n">
        <f aca="false">січень!Q15</f>
        <v>0</v>
      </c>
      <c r="F15" s="20" t="n">
        <f aca="false">січень!F15</f>
        <v>0</v>
      </c>
      <c r="G15" s="21" t="n">
        <f aca="false">січень!G15</f>
        <v>62.14</v>
      </c>
      <c r="H15" s="21" t="n">
        <f aca="false">січень!H15</f>
        <v>0</v>
      </c>
      <c r="I15" s="22" t="n">
        <f aca="false">січень!I15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480.79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січень!B16</f>
        <v>Решетило М.М</v>
      </c>
      <c r="C16" s="18" t="str">
        <f aca="false">січень!C16</f>
        <v>1009</v>
      </c>
      <c r="D16" s="19" t="n">
        <f aca="false">січень!P16</f>
        <v>3173.12</v>
      </c>
      <c r="E16" s="19" t="n">
        <f aca="false">січень!Q16</f>
        <v>0</v>
      </c>
      <c r="F16" s="20" t="n">
        <f aca="false">січень!F16</f>
        <v>0</v>
      </c>
      <c r="G16" s="21" t="n">
        <f aca="false">січень!G16</f>
        <v>65.16</v>
      </c>
      <c r="H16" s="21" t="n">
        <f aca="false">січень!H16</f>
        <v>0</v>
      </c>
      <c r="I16" s="22" t="n">
        <f aca="false">січень!I16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3440.28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січень!B17</f>
        <v>Фесенко О.В.</v>
      </c>
      <c r="C17" s="18" t="str">
        <f aca="false">січень!C17</f>
        <v>1010</v>
      </c>
      <c r="D17" s="19" t="n">
        <f aca="false">січень!P17</f>
        <v>1787.34</v>
      </c>
      <c r="E17" s="19" t="n">
        <f aca="false">січень!Q17</f>
        <v>0</v>
      </c>
      <c r="F17" s="20" t="n">
        <f aca="false">січень!F17</f>
        <v>0</v>
      </c>
      <c r="G17" s="21" t="n">
        <f aca="false">січень!G17</f>
        <v>50.1</v>
      </c>
      <c r="H17" s="21" t="n">
        <f aca="false">січень!H17</f>
        <v>0</v>
      </c>
      <c r="I17" s="22" t="n">
        <f aca="false">січень!I17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1992.75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січень!B18</f>
        <v>Петренко О.М.</v>
      </c>
      <c r="C18" s="18" t="str">
        <f aca="false">січень!C18</f>
        <v>1011</v>
      </c>
      <c r="D18" s="19" t="n">
        <f aca="false">січень!P18</f>
        <v>1497</v>
      </c>
      <c r="E18" s="19" t="n">
        <f aca="false">січень!Q18</f>
        <v>0</v>
      </c>
      <c r="F18" s="20" t="n">
        <f aca="false">січень!F18</f>
        <v>0</v>
      </c>
      <c r="G18" s="21" t="n">
        <f aca="false">січень!G18</f>
        <v>35.2</v>
      </c>
      <c r="H18" s="21" t="n">
        <f aca="false">січень!H18</f>
        <v>0</v>
      </c>
      <c r="I18" s="22" t="n">
        <f aca="false">січень!I18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1641.32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січень!B19</f>
        <v>Зеленюк А.Д</v>
      </c>
      <c r="C19" s="18" t="str">
        <f aca="false">січень!C19</f>
        <v>1012</v>
      </c>
      <c r="D19" s="19" t="n">
        <f aca="false">січень!P19</f>
        <v>3170.61</v>
      </c>
      <c r="E19" s="19" t="n">
        <f aca="false">січень!Q19</f>
        <v>0</v>
      </c>
      <c r="F19" s="20" t="n">
        <f aca="false">січень!F19</f>
        <v>0</v>
      </c>
      <c r="G19" s="21" t="n">
        <f aca="false">січень!G19</f>
        <v>62.78</v>
      </c>
      <c r="H19" s="21" t="n">
        <f aca="false">січень!H19</f>
        <v>0</v>
      </c>
      <c r="I19" s="22" t="n">
        <f aca="false">січень!I19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3428.01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січень!B20</f>
        <v>Вовк І.В</v>
      </c>
      <c r="C20" s="18" t="str">
        <f aca="false">січень!C20</f>
        <v>1013</v>
      </c>
      <c r="D20" s="19" t="n">
        <f aca="false">січень!P20</f>
        <v>2252.61</v>
      </c>
      <c r="E20" s="19" t="n">
        <f aca="false">січень!Q20</f>
        <v>0</v>
      </c>
      <c r="F20" s="20" t="n">
        <f aca="false">січень!F20</f>
        <v>0</v>
      </c>
      <c r="G20" s="21" t="n">
        <f aca="false">січень!G20</f>
        <v>28.23</v>
      </c>
      <c r="H20" s="21" t="n">
        <f aca="false">січень!H20</f>
        <v>0</v>
      </c>
      <c r="I20" s="22" t="n">
        <f aca="false">січень!I20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2368.35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січень!B21</f>
        <v>Романовський В.М</v>
      </c>
      <c r="C21" s="18" t="str">
        <f aca="false">січень!C21</f>
        <v>1013-а</v>
      </c>
      <c r="D21" s="19" t="n">
        <f aca="false">січень!P21</f>
        <v>3413.04</v>
      </c>
      <c r="E21" s="19" t="n">
        <f aca="false">січень!Q21</f>
        <v>0</v>
      </c>
      <c r="F21" s="20" t="n">
        <f aca="false">січень!F21</f>
        <v>0</v>
      </c>
      <c r="G21" s="21" t="n">
        <f aca="false">січень!G21</f>
        <v>37.84</v>
      </c>
      <c r="H21" s="21" t="n">
        <f aca="false">січень!H21</f>
        <v>0</v>
      </c>
      <c r="I21" s="22" t="n">
        <f aca="false">січень!I21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3568.18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січень!B22</f>
        <v>Ряба Л.І</v>
      </c>
      <c r="C22" s="18" t="str">
        <f aca="false">січень!C22</f>
        <v>1014</v>
      </c>
      <c r="D22" s="19" t="n">
        <f aca="false">січень!P22</f>
        <v>913.16</v>
      </c>
      <c r="E22" s="19" t="n">
        <f aca="false">січень!Q22</f>
        <v>0</v>
      </c>
      <c r="F22" s="20" t="n">
        <f aca="false">січень!F22</f>
        <v>0</v>
      </c>
      <c r="G22" s="21" t="n">
        <f aca="false">січень!G22</f>
        <v>49.24</v>
      </c>
      <c r="H22" s="21" t="n">
        <f aca="false">січень!H22</f>
        <v>0</v>
      </c>
      <c r="I22" s="22" t="n">
        <f aca="false">січень!I22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1115.04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січень!B23</f>
        <v>Кас'янова О.А.</v>
      </c>
      <c r="C23" s="18" t="str">
        <f aca="false">січень!C23</f>
        <v>1015</v>
      </c>
      <c r="D23" s="19" t="n">
        <f aca="false">січень!P23</f>
        <v>1052.95</v>
      </c>
      <c r="E23" s="19" t="n">
        <f aca="false">січень!Q23</f>
        <v>0</v>
      </c>
      <c r="F23" s="20" t="n">
        <f aca="false">січень!F23</f>
        <v>0</v>
      </c>
      <c r="G23" s="21" t="n">
        <f aca="false">січень!G23</f>
        <v>35.1</v>
      </c>
      <c r="H23" s="21" t="n">
        <f aca="false">січень!H23</f>
        <v>0</v>
      </c>
      <c r="I23" s="22" t="n">
        <f aca="false">січень!I23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1196.86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січень!B24</f>
        <v>Корякіна М.В.</v>
      </c>
      <c r="C24" s="18" t="str">
        <f aca="false">січень!C24</f>
        <v>1016</v>
      </c>
      <c r="D24" s="19" t="n">
        <f aca="false">січень!P24</f>
        <v>1606.2</v>
      </c>
      <c r="E24" s="19" t="n">
        <f aca="false">січень!Q24</f>
        <v>0</v>
      </c>
      <c r="F24" s="20" t="n">
        <f aca="false">січень!F24</f>
        <v>0</v>
      </c>
      <c r="G24" s="21" t="n">
        <f aca="false">січень!G24</f>
        <v>61.9</v>
      </c>
      <c r="H24" s="21" t="n">
        <f aca="false">січень!H24</f>
        <v>0</v>
      </c>
      <c r="I24" s="22" t="n">
        <f aca="false">січень!I24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1859.99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січень!B25</f>
        <v>Сокерчак А.В.</v>
      </c>
      <c r="C25" s="18" t="str">
        <f aca="false">січень!C25</f>
        <v>1017</v>
      </c>
      <c r="D25" s="19" t="n">
        <f aca="false">січень!P25</f>
        <v>271.829999999999</v>
      </c>
      <c r="E25" s="19" t="n">
        <f aca="false">січень!Q25</f>
        <v>0</v>
      </c>
      <c r="F25" s="20" t="n">
        <f aca="false">січень!F25</f>
        <v>0</v>
      </c>
      <c r="G25" s="21" t="n">
        <f aca="false">січень!G25</f>
        <v>66.3</v>
      </c>
      <c r="H25" s="21" t="n">
        <f aca="false">січень!H25</f>
        <v>0</v>
      </c>
      <c r="I25" s="22" t="n">
        <f aca="false">січень!I25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 t="n">
        <v>815.49</v>
      </c>
      <c r="P25" s="25" t="n">
        <f aca="false">IF(D25=0,IF((N25-E25-O25)&gt;0,(N25-E25-O25),0),IF((D25+N25-O25)&gt;0,(D25+N25-O25),0))</f>
        <v>0</v>
      </c>
      <c r="Q25" s="25" t="n">
        <f aca="false">IF(E25=0,IF((D25+N25-O25)&lt;0,ABS(D25+N25-O25),0),IF((N25-E25-O25)&lt;0,ABS(N25-E25-O25),0))</f>
        <v>271.830000000001</v>
      </c>
    </row>
    <row r="26" customFormat="false" ht="15" hidden="false" customHeight="false" outlineLevel="0" collapsed="false">
      <c r="A26" s="17" t="s">
        <v>74</v>
      </c>
      <c r="B26" s="18" t="str">
        <f aca="false">січень!B26</f>
        <v>Кравченко В.А</v>
      </c>
      <c r="C26" s="18" t="str">
        <f aca="false">січень!C26</f>
        <v>1018</v>
      </c>
      <c r="D26" s="19" t="n">
        <f aca="false">січень!P26</f>
        <v>0</v>
      </c>
      <c r="E26" s="19" t="n">
        <f aca="false">січень!Q26</f>
        <v>1406.07</v>
      </c>
      <c r="F26" s="20" t="n">
        <f aca="false">січень!F26</f>
        <v>0</v>
      </c>
      <c r="G26" s="21" t="n">
        <f aca="false">січень!G26</f>
        <v>51.48</v>
      </c>
      <c r="H26" s="21" t="n">
        <f aca="false">січень!H26</f>
        <v>0</v>
      </c>
      <c r="I26" s="22" t="n">
        <f aca="false">січень!I26</f>
        <v>4.1</v>
      </c>
      <c r="J26" s="23" t="n">
        <f aca="false">ROUND(G26*I26,2)</f>
        <v>211.07</v>
      </c>
      <c r="K26" s="19"/>
      <c r="L26" s="19" t="n">
        <v>211.07</v>
      </c>
      <c r="M26" s="19"/>
      <c r="N26" s="19" t="n">
        <f aca="false">ROUND((G26*I26)-K26-L26-M26,2)</f>
        <v>-0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1406.07</v>
      </c>
    </row>
    <row r="27" customFormat="false" ht="15" hidden="false" customHeight="false" outlineLevel="0" collapsed="false">
      <c r="A27" s="17" t="s">
        <v>77</v>
      </c>
      <c r="B27" s="18" t="str">
        <f aca="false">січень!B27</f>
        <v>Чичикало А.С</v>
      </c>
      <c r="C27" s="18" t="str">
        <f aca="false">січень!C27</f>
        <v>1019</v>
      </c>
      <c r="D27" s="19" t="n">
        <f aca="false">січень!P27</f>
        <v>142.29</v>
      </c>
      <c r="E27" s="19" t="n">
        <f aca="false">січень!Q27</f>
        <v>0</v>
      </c>
      <c r="F27" s="20" t="n">
        <f aca="false">січень!F27</f>
        <v>0</v>
      </c>
      <c r="G27" s="21" t="n">
        <f aca="false">січень!G27</f>
        <v>35.1</v>
      </c>
      <c r="H27" s="21" t="n">
        <f aca="false">січень!H27</f>
        <v>0</v>
      </c>
      <c r="I27" s="22" t="n">
        <f aca="false">січень!I27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286.2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січень!B28</f>
        <v>Сільващук А.А</v>
      </c>
      <c r="C28" s="18" t="str">
        <f aca="false">січень!C28</f>
        <v>1020</v>
      </c>
      <c r="D28" s="19" t="n">
        <f aca="false">січень!P28</f>
        <v>257.069999999999</v>
      </c>
      <c r="E28" s="19" t="n">
        <f aca="false">січень!Q28</f>
        <v>0</v>
      </c>
      <c r="F28" s="20" t="n">
        <f aca="false">січень!F28</f>
        <v>0</v>
      </c>
      <c r="G28" s="21" t="n">
        <f aca="false">січень!G28</f>
        <v>62.7</v>
      </c>
      <c r="H28" s="21" t="n">
        <f aca="false">січень!H28</f>
        <v>0</v>
      </c>
      <c r="I28" s="22" t="n">
        <f aca="false">січень!I28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 t="n">
        <v>1285.35</v>
      </c>
      <c r="P28" s="25" t="n">
        <f aca="false">IF(D28=0,IF((N28-E28-O28)&gt;0,(N28-E28-O28),0),IF((D28+N28-O28)&gt;0,(D28+N28-O28),0))</f>
        <v>0</v>
      </c>
      <c r="Q28" s="25" t="n">
        <f aca="false">IF(E28=0,IF((D28+N28-O28)&lt;0,ABS(D28+N28-O28),0),IF((N28-E28-O28)&lt;0,ABS(N28-E28-O28),0))</f>
        <v>771.210000000001</v>
      </c>
    </row>
    <row r="29" customFormat="false" ht="15" hidden="false" customHeight="false" outlineLevel="0" collapsed="false">
      <c r="A29" s="17" t="s">
        <v>83</v>
      </c>
      <c r="B29" s="18" t="str">
        <f aca="false">січень!B29</f>
        <v>Стеценко Г.М</v>
      </c>
      <c r="C29" s="18" t="str">
        <f aca="false">січень!C29</f>
        <v>1021</v>
      </c>
      <c r="D29" s="19" t="n">
        <f aca="false">січень!P29</f>
        <v>1971.54</v>
      </c>
      <c r="E29" s="19" t="n">
        <f aca="false">січень!Q29</f>
        <v>0</v>
      </c>
      <c r="F29" s="20" t="n">
        <f aca="false">січень!F29</f>
        <v>0</v>
      </c>
      <c r="G29" s="21" t="n">
        <f aca="false">січень!G29</f>
        <v>65.32</v>
      </c>
      <c r="H29" s="21" t="n">
        <f aca="false">січень!H29</f>
        <v>0</v>
      </c>
      <c r="I29" s="22" t="n">
        <f aca="false">січень!I29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 t="n">
        <v>500</v>
      </c>
      <c r="P29" s="25" t="n">
        <f aca="false">IF(D29=0,IF((N29-E29-O29)&gt;0,(N29-E29-O29),0),IF((D29+N29-O29)&gt;0,(D29+N29-O29),0))</f>
        <v>1739.35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січень!B30</f>
        <v>Кирдячкіна П.А</v>
      </c>
      <c r="C30" s="18" t="str">
        <f aca="false">січень!C30</f>
        <v>1022</v>
      </c>
      <c r="D30" s="19" t="n">
        <f aca="false">січень!P30</f>
        <v>1203.93</v>
      </c>
      <c r="E30" s="19" t="n">
        <f aca="false">січень!Q30</f>
        <v>0</v>
      </c>
      <c r="F30" s="20" t="n">
        <f aca="false">січень!F30</f>
        <v>0</v>
      </c>
      <c r="G30" s="21" t="n">
        <f aca="false">січень!G30</f>
        <v>49.7</v>
      </c>
      <c r="H30" s="21" t="n">
        <f aca="false">січень!H30</f>
        <v>0</v>
      </c>
      <c r="I30" s="22" t="n">
        <f aca="false">січень!I30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1407.7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січень!B31</f>
        <v>Фоміченко Л.А</v>
      </c>
      <c r="C31" s="18" t="str">
        <f aca="false">січень!C31</f>
        <v>1023</v>
      </c>
      <c r="D31" s="19" t="n">
        <f aca="false">січень!P31</f>
        <v>143.91</v>
      </c>
      <c r="E31" s="19" t="n">
        <f aca="false">січень!Q31</f>
        <v>0</v>
      </c>
      <c r="F31" s="20" t="n">
        <f aca="false">січень!F31</f>
        <v>0</v>
      </c>
      <c r="G31" s="21" t="n">
        <f aca="false">січень!G31</f>
        <v>35.1</v>
      </c>
      <c r="H31" s="21" t="n">
        <f aca="false">січень!H31</f>
        <v>0</v>
      </c>
      <c r="I31" s="22" t="n">
        <f aca="false">січень!I31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287.82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січень!B32</f>
        <v>Сердюк А.Г</v>
      </c>
      <c r="C32" s="18" t="str">
        <f aca="false">січень!C32</f>
        <v>1024</v>
      </c>
      <c r="D32" s="19" t="n">
        <f aca="false">січень!P32</f>
        <v>1884.08</v>
      </c>
      <c r="E32" s="19" t="n">
        <f aca="false">січень!Q32</f>
        <v>0</v>
      </c>
      <c r="F32" s="20" t="n">
        <f aca="false">січень!F32</f>
        <v>0</v>
      </c>
      <c r="G32" s="21" t="n">
        <f aca="false">січень!G32</f>
        <v>62.31</v>
      </c>
      <c r="H32" s="21" t="n">
        <f aca="false">січень!H32</f>
        <v>0</v>
      </c>
      <c r="I32" s="22" t="n">
        <f aca="false">січень!I32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 t="n">
        <v>500</v>
      </c>
      <c r="P32" s="25" t="n">
        <f aca="false">IF(D32=0,IF((N32-E32-O32)&gt;0,(N32-E32-O32),0),IF((D32+N32-O32)&gt;0,(D32+N32-O32),0))</f>
        <v>1639.55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січень!B33</f>
        <v>Михальченко Г.М</v>
      </c>
      <c r="C33" s="18" t="str">
        <f aca="false">січень!C33</f>
        <v>1025</v>
      </c>
      <c r="D33" s="19" t="n">
        <f aca="false">січень!P33</f>
        <v>3054.14</v>
      </c>
      <c r="E33" s="19" t="n">
        <f aca="false">січень!Q33</f>
        <v>0</v>
      </c>
      <c r="F33" s="20" t="n">
        <f aca="false">січень!F33</f>
        <v>0</v>
      </c>
      <c r="G33" s="21" t="n">
        <f aca="false">січень!G33</f>
        <v>65.04</v>
      </c>
      <c r="H33" s="21" t="n">
        <f aca="false">січень!H33</f>
        <v>0</v>
      </c>
      <c r="I33" s="22" t="n">
        <f aca="false">січень!I33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3320.8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січень!B34</f>
        <v>Замуховська Я.С</v>
      </c>
      <c r="C34" s="18" t="str">
        <f aca="false">січень!C34</f>
        <v>1026</v>
      </c>
      <c r="D34" s="19" t="n">
        <f aca="false">січень!P34</f>
        <v>1241.15</v>
      </c>
      <c r="E34" s="19" t="n">
        <f aca="false">січень!Q34</f>
        <v>0</v>
      </c>
      <c r="F34" s="20" t="n">
        <f aca="false">січень!F34</f>
        <v>0</v>
      </c>
      <c r="G34" s="21" t="n">
        <f aca="false">січень!G34</f>
        <v>49.8</v>
      </c>
      <c r="H34" s="21" t="n">
        <f aca="false">січень!H34</f>
        <v>0</v>
      </c>
      <c r="I34" s="22" t="n">
        <f aca="false">січень!I34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1445.33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січень!B35</f>
        <v>Мержиєвська Г.К</v>
      </c>
      <c r="C35" s="18" t="str">
        <f aca="false">січень!C35</f>
        <v>1027</v>
      </c>
      <c r="D35" s="19" t="n">
        <f aca="false">січень!P35</f>
        <v>1063.1</v>
      </c>
      <c r="E35" s="19" t="n">
        <f aca="false">січень!Q35</f>
        <v>0</v>
      </c>
      <c r="F35" s="20" t="n">
        <f aca="false">січень!F35</f>
        <v>0</v>
      </c>
      <c r="G35" s="21" t="n">
        <f aca="false">січень!G35</f>
        <v>35.17</v>
      </c>
      <c r="H35" s="21" t="n">
        <f aca="false">січень!H35</f>
        <v>0</v>
      </c>
      <c r="I35" s="22" t="n">
        <f aca="false">січень!I35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 t="n">
        <v>500</v>
      </c>
      <c r="P35" s="25" t="n">
        <f aca="false">IF(D35=0,IF((N35-E35-O35)&gt;0,(N35-E35-O35),0),IF((D35+N35-O35)&gt;0,(D35+N35-O35),0))</f>
        <v>707.3</v>
      </c>
      <c r="Q35" s="25" t="n">
        <f aca="false">IF(E35=0,IF((D35+N35-O35)&lt;0,ABS(D35+N35-O35),0),IF((N35-E35-O35)&lt;0,ABS(N35-E35-O35),0))</f>
        <v>0</v>
      </c>
    </row>
    <row r="36" customFormat="false" ht="15" hidden="false" customHeight="false" outlineLevel="0" collapsed="false">
      <c r="A36" s="17" t="s">
        <v>104</v>
      </c>
      <c r="B36" s="18" t="str">
        <f aca="false">січень!B36</f>
        <v>Кулакова Л.В.</v>
      </c>
      <c r="C36" s="18" t="str">
        <f aca="false">січень!C36</f>
        <v>1028</v>
      </c>
      <c r="D36" s="19" t="n">
        <f aca="false">січень!P36</f>
        <v>229.44</v>
      </c>
      <c r="E36" s="19" t="n">
        <f aca="false">січень!Q36</f>
        <v>0</v>
      </c>
      <c r="F36" s="20" t="n">
        <f aca="false">січень!F36</f>
        <v>0</v>
      </c>
      <c r="G36" s="21" t="n">
        <f aca="false">січень!G36</f>
        <v>62.47</v>
      </c>
      <c r="H36" s="21" t="n">
        <f aca="false">січень!H36</f>
        <v>0</v>
      </c>
      <c r="I36" s="22" t="n">
        <f aca="false">січень!I36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485.57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січень!B37</f>
        <v>Бочаров В.Л.</v>
      </c>
      <c r="C37" s="18" t="str">
        <f aca="false">січень!C37</f>
        <v>1029</v>
      </c>
      <c r="D37" s="19" t="n">
        <f aca="false">січень!P37</f>
        <v>1748.22</v>
      </c>
      <c r="E37" s="19" t="n">
        <f aca="false">січень!Q37</f>
        <v>0</v>
      </c>
      <c r="F37" s="20" t="n">
        <f aca="false">січень!F37</f>
        <v>0</v>
      </c>
      <c r="G37" s="21" t="n">
        <f aca="false">січень!G37</f>
        <v>65.75</v>
      </c>
      <c r="H37" s="21" t="n">
        <f aca="false">січень!H37</f>
        <v>0</v>
      </c>
      <c r="I37" s="22" t="n">
        <f aca="false">січень!I37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2017.8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січень!B38</f>
        <v>Лучков В.Л.</v>
      </c>
      <c r="C38" s="18" t="str">
        <f aca="false">січень!C38</f>
        <v>1030</v>
      </c>
      <c r="D38" s="19" t="n">
        <f aca="false">січень!P38</f>
        <v>2436.6</v>
      </c>
      <c r="E38" s="19" t="n">
        <f aca="false">січень!Q38</f>
        <v>0</v>
      </c>
      <c r="F38" s="20" t="n">
        <f aca="false">січень!F38</f>
        <v>0</v>
      </c>
      <c r="G38" s="21" t="n">
        <f aca="false">січень!G38</f>
        <v>49.7</v>
      </c>
      <c r="H38" s="21" t="n">
        <f aca="false">січень!H38</f>
        <v>0</v>
      </c>
      <c r="I38" s="22" t="n">
        <f aca="false">січень!I38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2640.37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січень!B39</f>
        <v>Кашкар Т.М.</v>
      </c>
      <c r="C39" s="18" t="str">
        <f aca="false">січень!C39</f>
        <v>1031</v>
      </c>
      <c r="D39" s="19" t="n">
        <f aca="false">січень!P39</f>
        <v>0</v>
      </c>
      <c r="E39" s="19" t="n">
        <f aca="false">січень!Q39</f>
        <v>5.6843418860808E-014</v>
      </c>
      <c r="F39" s="20" t="n">
        <f aca="false">січень!F39</f>
        <v>0</v>
      </c>
      <c r="G39" s="21" t="n">
        <f aca="false">січень!G39</f>
        <v>35.1</v>
      </c>
      <c r="H39" s="21" t="n">
        <f aca="false">січень!H39</f>
        <v>0</v>
      </c>
      <c r="I39" s="22" t="n">
        <f aca="false">січень!I39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 t="n">
        <v>143.91</v>
      </c>
      <c r="P39" s="25" t="n">
        <f aca="false">IF(D39=0,IF((N39-E39-O39)&gt;0,(N39-E39-O39),0),IF((D39+N39-O39)&gt;0,(D39+N39-O39),0))</f>
        <v>0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січень!B40</f>
        <v>Стецюк Н.П.</v>
      </c>
      <c r="C40" s="18" t="str">
        <f aca="false">січень!C40</f>
        <v>1032</v>
      </c>
      <c r="D40" s="19" t="n">
        <f aca="false">січень!P40</f>
        <v>2013.46</v>
      </c>
      <c r="E40" s="19" t="n">
        <f aca="false">січень!Q40</f>
        <v>0</v>
      </c>
      <c r="F40" s="20" t="n">
        <f aca="false">січень!F40</f>
        <v>0</v>
      </c>
      <c r="G40" s="21" t="n">
        <f aca="false">січень!G40</f>
        <v>61.9</v>
      </c>
      <c r="H40" s="21" t="n">
        <f aca="false">січень!H40</f>
        <v>0</v>
      </c>
      <c r="I40" s="22" t="n">
        <f aca="false">січень!I40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2267.25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січень!B41</f>
        <v>Маханько В.О.</v>
      </c>
      <c r="C41" s="18" t="str">
        <f aca="false">січень!C41</f>
        <v>1033</v>
      </c>
      <c r="D41" s="19" t="n">
        <f aca="false">січень!P41</f>
        <v>1232.64</v>
      </c>
      <c r="E41" s="19" t="n">
        <f aca="false">січень!Q41</f>
        <v>0</v>
      </c>
      <c r="F41" s="20" t="n">
        <f aca="false">січень!F41</f>
        <v>0</v>
      </c>
      <c r="G41" s="21" t="n">
        <f aca="false">січень!G41</f>
        <v>65.53</v>
      </c>
      <c r="H41" s="21" t="n">
        <f aca="false">січень!H41</f>
        <v>0</v>
      </c>
      <c r="I41" s="22" t="n">
        <f aca="false">січень!I41</f>
        <v>4.1</v>
      </c>
      <c r="J41" s="23" t="n">
        <f aca="false">ROUND(G41*I41,2)</f>
        <v>268.67</v>
      </c>
      <c r="K41" s="19"/>
      <c r="L41" s="19" t="n">
        <v>268.67</v>
      </c>
      <c r="M41" s="19"/>
      <c r="N41" s="19" t="n">
        <f aca="false">ROUND((G41*I41)-K41-L41-M41,2)</f>
        <v>0</v>
      </c>
      <c r="O41" s="19"/>
      <c r="P41" s="25" t="n">
        <f aca="false">IF(D41=0,IF((N41-E41-O41)&gt;0,(N41-E41-O41),0),IF((D41+N41-O41)&gt;0,(D41+N41-O41),0))</f>
        <v>1232.64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січень!B42</f>
        <v>Реуцька Р.С.</v>
      </c>
      <c r="C42" s="18" t="str">
        <f aca="false">січень!C42</f>
        <v>1034</v>
      </c>
      <c r="D42" s="19" t="n">
        <f aca="false">січень!P42</f>
        <v>1129.51</v>
      </c>
      <c r="E42" s="19" t="n">
        <f aca="false">січень!Q42</f>
        <v>0</v>
      </c>
      <c r="F42" s="20" t="n">
        <f aca="false">січень!F42</f>
        <v>0</v>
      </c>
      <c r="G42" s="21" t="n">
        <f aca="false">січень!G42</f>
        <v>49.7</v>
      </c>
      <c r="H42" s="21" t="n">
        <f aca="false">січень!H42</f>
        <v>0</v>
      </c>
      <c r="I42" s="22" t="n">
        <f aca="false">січень!I42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1333.28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січень!B43</f>
        <v>Колесникова Р.Г.</v>
      </c>
      <c r="C43" s="18" t="str">
        <f aca="false">січень!C43</f>
        <v>1035</v>
      </c>
      <c r="D43" s="19" t="n">
        <f aca="false">січень!P43</f>
        <v>740.21</v>
      </c>
      <c r="E43" s="19" t="n">
        <f aca="false">січень!Q43</f>
        <v>0</v>
      </c>
      <c r="F43" s="20" t="n">
        <f aca="false">січень!F43</f>
        <v>0</v>
      </c>
      <c r="G43" s="21" t="n">
        <f aca="false">січень!G43</f>
        <v>35.1</v>
      </c>
      <c r="H43" s="21" t="n">
        <f aca="false">січень!H43</f>
        <v>0</v>
      </c>
      <c r="I43" s="22" t="n">
        <f aca="false">січень!I43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884.12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січень!B44</f>
        <v>Кучеренко М.М.</v>
      </c>
      <c r="C44" s="18" t="str">
        <f aca="false">січень!C44</f>
        <v>1036</v>
      </c>
      <c r="D44" s="19" t="n">
        <f aca="false">січень!P44</f>
        <v>3141.54</v>
      </c>
      <c r="E44" s="19" t="n">
        <f aca="false">січень!Q44</f>
        <v>0</v>
      </c>
      <c r="F44" s="20" t="n">
        <f aca="false">січень!F44</f>
        <v>0</v>
      </c>
      <c r="G44" s="21" t="n">
        <f aca="false">січень!G44</f>
        <v>61.88</v>
      </c>
      <c r="H44" s="21" t="n">
        <f aca="false">січень!H44</f>
        <v>0</v>
      </c>
      <c r="I44" s="22" t="n">
        <f aca="false">січень!I44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3395.25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січень!B45</f>
        <v>Гурова О.М.</v>
      </c>
      <c r="C45" s="18" t="str">
        <f aca="false">січень!C45</f>
        <v>2037</v>
      </c>
      <c r="D45" s="19" t="n">
        <f aca="false">січень!P45</f>
        <v>1213.69</v>
      </c>
      <c r="E45" s="19" t="n">
        <f aca="false">січень!Q45</f>
        <v>0</v>
      </c>
      <c r="F45" s="20" t="n">
        <f aca="false">січень!F45</f>
        <v>0</v>
      </c>
      <c r="G45" s="21" t="n">
        <f aca="false">січень!G45</f>
        <v>62.2</v>
      </c>
      <c r="H45" s="21" t="n">
        <f aca="false">січень!H45</f>
        <v>0</v>
      </c>
      <c r="I45" s="22" t="n">
        <f aca="false">січень!I45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 t="n">
        <v>1530.12</v>
      </c>
      <c r="P45" s="25" t="n">
        <f aca="false">IF(D45=0,IF((N45-E45-O45)&gt;0,(N45-E45-O45),0),IF((D45+N45-O45)&gt;0,(D45+N45-O45),0))</f>
        <v>0</v>
      </c>
      <c r="Q45" s="25" t="n">
        <f aca="false">IF(E45=0,IF((D45+N45-O45)&lt;0,ABS(D45+N45-O45),0),IF((N45-E45-O45)&lt;0,ABS(N45-E45-O45),0))</f>
        <v>61.4099999999996</v>
      </c>
    </row>
    <row r="46" customFormat="false" ht="15" hidden="false" customHeight="false" outlineLevel="0" collapsed="false">
      <c r="A46" s="17" t="s">
        <v>134</v>
      </c>
      <c r="B46" s="18" t="str">
        <f aca="false">січень!B46</f>
        <v>Федорова В.І.</v>
      </c>
      <c r="C46" s="18" t="str">
        <f aca="false">січень!C46</f>
        <v>2038</v>
      </c>
      <c r="D46" s="19" t="n">
        <f aca="false">січень!P46</f>
        <v>549.09</v>
      </c>
      <c r="E46" s="19" t="n">
        <f aca="false">січень!Q46</f>
        <v>0</v>
      </c>
      <c r="F46" s="20" t="n">
        <f aca="false">січень!F46</f>
        <v>0</v>
      </c>
      <c r="G46" s="21" t="n">
        <f aca="false">січень!G46</f>
        <v>34.9</v>
      </c>
      <c r="H46" s="21" t="n">
        <f aca="false">січень!H46</f>
        <v>0</v>
      </c>
      <c r="I46" s="22" t="n">
        <f aca="false">січень!I46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692.18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січень!B47</f>
        <v>Лаптєв В.І.</v>
      </c>
      <c r="C47" s="18" t="str">
        <f aca="false">січень!C47</f>
        <v>2039</v>
      </c>
      <c r="D47" s="19" t="n">
        <f aca="false">січень!P47</f>
        <v>200.12</v>
      </c>
      <c r="E47" s="19" t="n">
        <f aca="false">січень!Q47</f>
        <v>0</v>
      </c>
      <c r="F47" s="20" t="n">
        <f aca="false">січень!F47</f>
        <v>0</v>
      </c>
      <c r="G47" s="21" t="n">
        <f aca="false">січень!G47</f>
        <v>48.8</v>
      </c>
      <c r="H47" s="21" t="n">
        <f aca="false">січень!H47</f>
        <v>0</v>
      </c>
      <c r="I47" s="22" t="n">
        <f aca="false">січень!I47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200.1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січень!B48</f>
        <v>Тимощук О.Є.</v>
      </c>
      <c r="C48" s="18" t="str">
        <f aca="false">січень!C48</f>
        <v>2040</v>
      </c>
      <c r="D48" s="19" t="n">
        <f aca="false">січень!P48</f>
        <v>964.200000000001</v>
      </c>
      <c r="E48" s="19" t="n">
        <f aca="false">січень!Q48</f>
        <v>0</v>
      </c>
      <c r="F48" s="20" t="n">
        <f aca="false">січень!F48</f>
        <v>0</v>
      </c>
      <c r="G48" s="21" t="n">
        <f aca="false">січень!G48</f>
        <v>57.3</v>
      </c>
      <c r="H48" s="21" t="n">
        <f aca="false">січень!H48</f>
        <v>0</v>
      </c>
      <c r="I48" s="22" t="n">
        <f aca="false">січень!I48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f aca="false">205+300</f>
        <v>505</v>
      </c>
      <c r="P48" s="25" t="n">
        <f aca="false">IF(D48=0,IF((N48-E48-O48)&gt;0,(N48-E48-O48),0),IF((D48+N48-O48)&gt;0,(D48+N48-O48),0))</f>
        <v>694.130000000001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січень!B49</f>
        <v>Котяш О.В.</v>
      </c>
      <c r="C49" s="18" t="str">
        <f aca="false">січень!C49</f>
        <v>2041</v>
      </c>
      <c r="D49" s="19" t="n">
        <f aca="false">січень!P49</f>
        <v>2074.1</v>
      </c>
      <c r="E49" s="19" t="n">
        <f aca="false">січень!Q49</f>
        <v>0</v>
      </c>
      <c r="F49" s="20" t="n">
        <f aca="false">січень!F49</f>
        <v>0</v>
      </c>
      <c r="G49" s="21" t="n">
        <f aca="false">січень!G49</f>
        <v>63.3</v>
      </c>
      <c r="H49" s="21" t="n">
        <f aca="false">січень!H49</f>
        <v>0</v>
      </c>
      <c r="I49" s="22" t="n">
        <f aca="false">січень!I49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2333.63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січень!B50</f>
        <v>Токовило-Паращенко Л.П.</v>
      </c>
      <c r="C50" s="18" t="str">
        <f aca="false">січень!C50</f>
        <v>2042</v>
      </c>
      <c r="D50" s="19" t="n">
        <f aca="false">січень!P50</f>
        <v>1177.66</v>
      </c>
      <c r="E50" s="19" t="n">
        <f aca="false">січень!Q50</f>
        <v>0</v>
      </c>
      <c r="F50" s="20" t="n">
        <f aca="false">січень!F50</f>
        <v>0</v>
      </c>
      <c r="G50" s="21" t="n">
        <f aca="false">січень!G50</f>
        <v>35.68</v>
      </c>
      <c r="H50" s="21" t="n">
        <f aca="false">січень!H50</f>
        <v>0</v>
      </c>
      <c r="I50" s="22" t="n">
        <f aca="false">січень!I50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1323.95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січень!B51</f>
        <v>Бєлая К.В.</v>
      </c>
      <c r="C51" s="18" t="str">
        <f aca="false">січень!C51</f>
        <v>2043</v>
      </c>
      <c r="D51" s="19" t="n">
        <f aca="false">січень!P51</f>
        <v>1020.9</v>
      </c>
      <c r="E51" s="19" t="n">
        <f aca="false">січень!Q51</f>
        <v>0</v>
      </c>
      <c r="F51" s="20" t="n">
        <f aca="false">січень!F51</f>
        <v>0</v>
      </c>
      <c r="G51" s="21" t="n">
        <f aca="false">січень!G51</f>
        <v>49.8</v>
      </c>
      <c r="H51" s="21" t="n">
        <f aca="false">січень!H51</f>
        <v>0</v>
      </c>
      <c r="I51" s="22" t="n">
        <f aca="false">січень!I51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1225.08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січень!B52</f>
        <v>Стадник О.Ф.</v>
      </c>
      <c r="C52" s="18" t="str">
        <f aca="false">січень!C52</f>
        <v>2044</v>
      </c>
      <c r="D52" s="19" t="n">
        <f aca="false">січень!P52</f>
        <v>4914.9</v>
      </c>
      <c r="E52" s="19" t="n">
        <f aca="false">січень!Q52</f>
        <v>0</v>
      </c>
      <c r="F52" s="20" t="n">
        <f aca="false">січень!F52</f>
        <v>0</v>
      </c>
      <c r="G52" s="21" t="n">
        <f aca="false">січень!G52</f>
        <v>65.9</v>
      </c>
      <c r="H52" s="21" t="n">
        <f aca="false">січень!H52</f>
        <v>0</v>
      </c>
      <c r="I52" s="22" t="n">
        <f aca="false">січень!I52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 t="n">
        <v>1080.76</v>
      </c>
      <c r="P52" s="25" t="n">
        <f aca="false">IF(D52=0,IF((N52-E52-O52)&gt;0,(N52-E52-O52),0),IF((D52+N52-O52)&gt;0,(D52+N52-O52),0))</f>
        <v>4104.33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січень!B53</f>
        <v>Ляшенко В.М.</v>
      </c>
      <c r="C53" s="18" t="str">
        <f aca="false">січень!C53</f>
        <v>2045</v>
      </c>
      <c r="D53" s="19" t="n">
        <f aca="false">січень!P53</f>
        <v>254.2</v>
      </c>
      <c r="E53" s="19" t="n">
        <f aca="false">січень!Q53</f>
        <v>0</v>
      </c>
      <c r="F53" s="20" t="n">
        <f aca="false">січень!F53</f>
        <v>0</v>
      </c>
      <c r="G53" s="21" t="n">
        <f aca="false">січень!G53</f>
        <v>62</v>
      </c>
      <c r="H53" s="21" t="n">
        <f aca="false">січень!H53</f>
        <v>0</v>
      </c>
      <c r="I53" s="22" t="n">
        <f aca="false">січень!I53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508.4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січень!B54</f>
        <v>Смоленська Т.О.</v>
      </c>
      <c r="C54" s="18" t="str">
        <f aca="false">січень!C54</f>
        <v>2046</v>
      </c>
      <c r="D54" s="19" t="n">
        <f aca="false">січень!P54</f>
        <v>1143.91</v>
      </c>
      <c r="E54" s="19" t="n">
        <f aca="false">січень!Q54</f>
        <v>0</v>
      </c>
      <c r="F54" s="20" t="n">
        <f aca="false">січень!F54</f>
        <v>0</v>
      </c>
      <c r="G54" s="21" t="n">
        <f aca="false">січень!G54</f>
        <v>35.1</v>
      </c>
      <c r="H54" s="21" t="n">
        <f aca="false">січень!H54</f>
        <v>0</v>
      </c>
      <c r="I54" s="22" t="n">
        <f aca="false">січень!I54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1287.82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січень!B55</f>
        <v>Дудка І.В.</v>
      </c>
      <c r="C55" s="18" t="str">
        <f aca="false">січень!C55</f>
        <v>2047</v>
      </c>
      <c r="D55" s="19" t="n">
        <f aca="false">січень!P55</f>
        <v>1219.24</v>
      </c>
      <c r="E55" s="19" t="n">
        <f aca="false">січень!Q55</f>
        <v>0</v>
      </c>
      <c r="F55" s="20" t="n">
        <f aca="false">січень!F55</f>
        <v>0</v>
      </c>
      <c r="G55" s="21" t="n">
        <f aca="false">січень!G55</f>
        <v>49.6</v>
      </c>
      <c r="H55" s="21" t="n">
        <f aca="false">січень!H55</f>
        <v>0</v>
      </c>
      <c r="I55" s="22" t="n">
        <f aca="false">січень!I55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1422.6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січень!B56</f>
        <v>Буланова Л.І.</v>
      </c>
      <c r="C56" s="18" t="str">
        <f aca="false">січень!C56</f>
        <v>2048</v>
      </c>
      <c r="D56" s="19" t="n">
        <f aca="false">січень!P56</f>
        <v>272.19</v>
      </c>
      <c r="E56" s="19" t="n">
        <f aca="false">січень!Q56</f>
        <v>0</v>
      </c>
      <c r="F56" s="20" t="n">
        <f aca="false">січень!F56</f>
        <v>0</v>
      </c>
      <c r="G56" s="21" t="n">
        <f aca="false">січень!G56</f>
        <v>66.44</v>
      </c>
      <c r="H56" s="21" t="n">
        <f aca="false">січень!H56</f>
        <v>0</v>
      </c>
      <c r="I56" s="22" t="n">
        <f aca="false">січень!I56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544.59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січень!B57</f>
        <v>Шалімова О.О.</v>
      </c>
      <c r="C57" s="18" t="str">
        <f aca="false">січень!C57</f>
        <v>2049</v>
      </c>
      <c r="D57" s="19" t="n">
        <f aca="false">січень!P57</f>
        <v>2014.88</v>
      </c>
      <c r="E57" s="19" t="n">
        <f aca="false">січень!Q57</f>
        <v>0</v>
      </c>
      <c r="F57" s="20" t="n">
        <f aca="false">січень!F57</f>
        <v>0</v>
      </c>
      <c r="G57" s="21" t="n">
        <f aca="false">січень!G57</f>
        <v>62.1</v>
      </c>
      <c r="H57" s="21" t="n">
        <f aca="false">січень!H57</f>
        <v>0</v>
      </c>
      <c r="I57" s="22" t="n">
        <f aca="false">січень!I57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2269.49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січень!B58</f>
        <v>Андросик О.О.</v>
      </c>
      <c r="C58" s="18" t="str">
        <f aca="false">січень!C58</f>
        <v>2050</v>
      </c>
      <c r="D58" s="19" t="n">
        <f aca="false">січень!P58</f>
        <v>143.09</v>
      </c>
      <c r="E58" s="19" t="n">
        <f aca="false">січень!Q58</f>
        <v>0</v>
      </c>
      <c r="F58" s="20" t="n">
        <f aca="false">січень!F58</f>
        <v>0</v>
      </c>
      <c r="G58" s="21" t="n">
        <f aca="false">січень!G58</f>
        <v>34.9</v>
      </c>
      <c r="H58" s="21" t="n">
        <f aca="false">січень!H58</f>
        <v>0</v>
      </c>
      <c r="I58" s="22" t="n">
        <f aca="false">січень!I58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286.18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січень!B59</f>
        <v>Токар Є.А.</v>
      </c>
      <c r="C59" s="18" t="str">
        <f aca="false">січень!C59</f>
        <v>2051</v>
      </c>
      <c r="D59" s="19" t="n">
        <f aca="false">січень!P59</f>
        <v>1759.95</v>
      </c>
      <c r="E59" s="19" t="n">
        <f aca="false">січень!Q59</f>
        <v>0</v>
      </c>
      <c r="F59" s="20" t="n">
        <f aca="false">січень!F59</f>
        <v>0</v>
      </c>
      <c r="G59" s="21" t="n">
        <f aca="false">січень!G59</f>
        <v>49.22</v>
      </c>
      <c r="H59" s="21" t="n">
        <f aca="false">січень!H59</f>
        <v>0</v>
      </c>
      <c r="I59" s="22" t="n">
        <f aca="false">січень!I59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1961.75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січень!B60</f>
        <v>Констанчук І.В.</v>
      </c>
      <c r="C60" s="18" t="str">
        <f aca="false">січень!C60</f>
        <v>2052</v>
      </c>
      <c r="D60" s="19" t="n">
        <f aca="false">січень!P60</f>
        <v>2112.96</v>
      </c>
      <c r="E60" s="19" t="n">
        <f aca="false">січень!Q60</f>
        <v>0</v>
      </c>
      <c r="F60" s="20" t="n">
        <f aca="false">січень!F60</f>
        <v>0</v>
      </c>
      <c r="G60" s="21" t="n">
        <f aca="false">січень!G60</f>
        <v>65.5</v>
      </c>
      <c r="H60" s="21" t="n">
        <f aca="false">січень!H60</f>
        <v>0</v>
      </c>
      <c r="I60" s="22" t="n">
        <f aca="false">січень!I60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2381.51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січень!B61</f>
        <v>Гончаров В.В.</v>
      </c>
      <c r="C61" s="18" t="str">
        <f aca="false">січень!C61</f>
        <v>2053</v>
      </c>
      <c r="D61" s="19" t="n">
        <f aca="false">січень!P61</f>
        <v>159.340000000002</v>
      </c>
      <c r="E61" s="19" t="n">
        <f aca="false">січень!Q61</f>
        <v>0</v>
      </c>
      <c r="F61" s="20" t="n">
        <f aca="false">січень!F61</f>
        <v>0</v>
      </c>
      <c r="G61" s="21" t="n">
        <f aca="false">січень!G61</f>
        <v>62.64</v>
      </c>
      <c r="H61" s="21" t="n">
        <f aca="false">січень!H61</f>
        <v>0</v>
      </c>
      <c r="I61" s="22" t="n">
        <f aca="false">січень!I61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416.160000000002</v>
      </c>
      <c r="Q61" s="25" t="n">
        <f aca="false">IF(E61=0,IF((D61+N61-O61)&lt;0,ABS(D61+N61-O61),0),IF((N61-E61-O61)&lt;0,ABS(N61-E61-O61),0))</f>
        <v>0</v>
      </c>
    </row>
    <row r="62" customFormat="false" ht="15" hidden="false" customHeight="false" outlineLevel="0" collapsed="false">
      <c r="A62" s="17" t="s">
        <v>182</v>
      </c>
      <c r="B62" s="18" t="str">
        <f aca="false">січень!B62</f>
        <v>Ляхомський В.О.</v>
      </c>
      <c r="C62" s="18" t="str">
        <f aca="false">січень!C62</f>
        <v>2054</v>
      </c>
      <c r="D62" s="19" t="n">
        <f aca="false">січень!P62</f>
        <v>4.47999999999979</v>
      </c>
      <c r="E62" s="19" t="n">
        <f aca="false">січень!Q62</f>
        <v>0</v>
      </c>
      <c r="F62" s="20" t="n">
        <f aca="false">січень!F62</f>
        <v>0</v>
      </c>
      <c r="G62" s="21" t="n">
        <f aca="false">січень!G62</f>
        <v>34.9</v>
      </c>
      <c r="H62" s="21" t="n">
        <f aca="false">січень!H62</f>
        <v>0</v>
      </c>
      <c r="I62" s="22" t="n">
        <f aca="false">січень!I62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147.57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січень!B63</f>
        <v>Крамаренко В.П.</v>
      </c>
      <c r="C63" s="18" t="str">
        <f aca="false">січень!C63</f>
        <v>2055</v>
      </c>
      <c r="D63" s="19" t="n">
        <f aca="false">січень!P63</f>
        <v>1640.08</v>
      </c>
      <c r="E63" s="19" t="n">
        <f aca="false">січень!Q63</f>
        <v>0</v>
      </c>
      <c r="F63" s="20" t="n">
        <f aca="false">січень!F63</f>
        <v>0</v>
      </c>
      <c r="G63" s="21" t="n">
        <f aca="false">січень!G63</f>
        <v>49.79</v>
      </c>
      <c r="H63" s="21" t="n">
        <f aca="false">січень!H63</f>
        <v>0</v>
      </c>
      <c r="I63" s="22" t="n">
        <f aca="false">січень!I63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1844.22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січень!B64</f>
        <v>Родзик С.Г.</v>
      </c>
      <c r="C64" s="18" t="str">
        <f aca="false">січень!C64</f>
        <v>2056</v>
      </c>
      <c r="D64" s="19" t="n">
        <f aca="false">січень!P64</f>
        <v>1018.97</v>
      </c>
      <c r="E64" s="19" t="n">
        <f aca="false">січень!Q64</f>
        <v>0</v>
      </c>
      <c r="F64" s="20" t="n">
        <f aca="false">січень!F64</f>
        <v>0</v>
      </c>
      <c r="G64" s="21" t="n">
        <f aca="false">січень!G64</f>
        <v>65.2</v>
      </c>
      <c r="H64" s="21" t="n">
        <f aca="false">січень!H64</f>
        <v>0</v>
      </c>
      <c r="I64" s="22" t="n">
        <f aca="false">січень!I64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1286.29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січень!B65</f>
        <v>Никоненко Н.С.</v>
      </c>
      <c r="C65" s="18" t="str">
        <f aca="false">січень!C65</f>
        <v>2057</v>
      </c>
      <c r="D65" s="19" t="n">
        <f aca="false">січень!P65</f>
        <v>1163.17</v>
      </c>
      <c r="E65" s="19" t="n">
        <f aca="false">січень!Q65</f>
        <v>0</v>
      </c>
      <c r="F65" s="20" t="n">
        <f aca="false">січень!F65</f>
        <v>0</v>
      </c>
      <c r="G65" s="21" t="n">
        <f aca="false">січень!G65</f>
        <v>61.88</v>
      </c>
      <c r="H65" s="21" t="n">
        <f aca="false">січень!H65</f>
        <v>0</v>
      </c>
      <c r="I65" s="22" t="n">
        <f aca="false">січень!I65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1416.88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січень!B66</f>
        <v>Чепок О.В.</v>
      </c>
      <c r="C66" s="18" t="str">
        <f aca="false">січень!C66</f>
        <v>2058</v>
      </c>
      <c r="D66" s="19" t="n">
        <f aca="false">січень!P66</f>
        <v>2761.41</v>
      </c>
      <c r="E66" s="19" t="n">
        <f aca="false">січень!Q66</f>
        <v>0</v>
      </c>
      <c r="F66" s="20" t="n">
        <f aca="false">січень!F66</f>
        <v>0</v>
      </c>
      <c r="G66" s="21" t="n">
        <f aca="false">січень!G66</f>
        <v>35</v>
      </c>
      <c r="H66" s="21" t="n">
        <f aca="false">січень!H66</f>
        <v>0</v>
      </c>
      <c r="I66" s="22" t="n">
        <f aca="false">січень!I66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2904.91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січень!B67</f>
        <v>Горошенко Л.С.</v>
      </c>
      <c r="C67" s="18" t="str">
        <f aca="false">січень!C67</f>
        <v>2059</v>
      </c>
      <c r="D67" s="19" t="n">
        <f aca="false">січень!P67</f>
        <v>0</v>
      </c>
      <c r="E67" s="19" t="n">
        <f aca="false">січень!Q67</f>
        <v>576.5</v>
      </c>
      <c r="F67" s="20" t="n">
        <f aca="false">січень!F67</f>
        <v>0</v>
      </c>
      <c r="G67" s="21" t="n">
        <f aca="false">січень!G67</f>
        <v>49.3</v>
      </c>
      <c r="H67" s="21" t="n">
        <f aca="false">січень!H67</f>
        <v>0</v>
      </c>
      <c r="I67" s="22" t="n">
        <f aca="false">січень!I67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300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674.37</v>
      </c>
    </row>
    <row r="68" customFormat="false" ht="15" hidden="false" customHeight="false" outlineLevel="0" collapsed="false">
      <c r="A68" s="17" t="s">
        <v>200</v>
      </c>
      <c r="B68" s="18" t="str">
        <f aca="false">січень!B68</f>
        <v>Неграчева Л.Г.</v>
      </c>
      <c r="C68" s="18" t="str">
        <f aca="false">січень!C68</f>
        <v>2060</v>
      </c>
      <c r="D68" s="19" t="n">
        <f aca="false">січень!P68</f>
        <v>1963.84</v>
      </c>
      <c r="E68" s="19" t="n">
        <f aca="false">січень!Q68</f>
        <v>0</v>
      </c>
      <c r="F68" s="20" t="n">
        <f aca="false">січень!F68</f>
        <v>0</v>
      </c>
      <c r="G68" s="21" t="n">
        <f aca="false">січень!G68</f>
        <v>66.6</v>
      </c>
      <c r="H68" s="21" t="n">
        <f aca="false">січень!H68</f>
        <v>0</v>
      </c>
      <c r="I68" s="22" t="n">
        <f aca="false">січень!I68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 t="n">
        <v>500</v>
      </c>
      <c r="P68" s="25" t="n">
        <f aca="false">IF(D68=0,IF((N68-E68-O68)&gt;0,(N68-E68-O68),0),IF((D68+N68-O68)&gt;0,(D68+N68-O68),0))</f>
        <v>1736.9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січень!B69</f>
        <v>Брежнєв О.В.</v>
      </c>
      <c r="C69" s="18" t="str">
        <f aca="false">січень!C69</f>
        <v>2061</v>
      </c>
      <c r="D69" s="19" t="n">
        <f aca="false">січень!P69</f>
        <v>3524.39</v>
      </c>
      <c r="E69" s="19" t="n">
        <f aca="false">січень!Q69</f>
        <v>0</v>
      </c>
      <c r="F69" s="20" t="n">
        <f aca="false">січень!F69</f>
        <v>0</v>
      </c>
      <c r="G69" s="21" t="n">
        <f aca="false">січень!G69</f>
        <v>61.88</v>
      </c>
      <c r="H69" s="21" t="n">
        <f aca="false">січень!H69</f>
        <v>0</v>
      </c>
      <c r="I69" s="22" t="n">
        <f aca="false">січень!I69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3778.1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січень!B70</f>
        <v>Горбатюк К.О.</v>
      </c>
      <c r="C70" s="18" t="str">
        <f aca="false">січень!C70</f>
        <v>2062</v>
      </c>
      <c r="D70" s="19" t="n">
        <f aca="false">січень!P70</f>
        <v>990.42</v>
      </c>
      <c r="E70" s="19" t="n">
        <f aca="false">січень!Q70</f>
        <v>0</v>
      </c>
      <c r="F70" s="20" t="n">
        <f aca="false">січень!F70</f>
        <v>0</v>
      </c>
      <c r="G70" s="21" t="n">
        <f aca="false">січень!G70</f>
        <v>34.96</v>
      </c>
      <c r="H70" s="21" t="n">
        <f aca="false">січень!H70</f>
        <v>0</v>
      </c>
      <c r="I70" s="22" t="n">
        <f aca="false">січень!I70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1133.76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січень!B71</f>
        <v>Божик М.О.</v>
      </c>
      <c r="C71" s="18" t="str">
        <f aca="false">січень!C71</f>
        <v>2063</v>
      </c>
      <c r="D71" s="19" t="n">
        <f aca="false">січень!P71</f>
        <v>1193.12</v>
      </c>
      <c r="E71" s="19" t="n">
        <f aca="false">січень!Q71</f>
        <v>0</v>
      </c>
      <c r="F71" s="20" t="n">
        <f aca="false">січень!F71</f>
        <v>0</v>
      </c>
      <c r="G71" s="21" t="n">
        <f aca="false">січень!G71</f>
        <v>50.03</v>
      </c>
      <c r="H71" s="21" t="n">
        <f aca="false">січень!H71</f>
        <v>0</v>
      </c>
      <c r="I71" s="22" t="n">
        <f aca="false">січень!I71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1398.24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січень!B72</f>
        <v>Зайченко С.Л</v>
      </c>
      <c r="C72" s="18" t="str">
        <f aca="false">січень!C72</f>
        <v>2064</v>
      </c>
      <c r="D72" s="19" t="n">
        <f aca="false">січень!P72</f>
        <v>3175.77</v>
      </c>
      <c r="E72" s="19" t="n">
        <f aca="false">січень!Q72</f>
        <v>0</v>
      </c>
      <c r="F72" s="20" t="n">
        <f aca="false">січень!F72</f>
        <v>0</v>
      </c>
      <c r="G72" s="21" t="n">
        <f aca="false">січень!G72</f>
        <v>65.15</v>
      </c>
      <c r="H72" s="21" t="n">
        <f aca="false">січень!H72</f>
        <v>0</v>
      </c>
      <c r="I72" s="22" t="n">
        <f aca="false">січень!I72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3442.89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січень!B73</f>
        <v>Бессараб Н.Г.</v>
      </c>
      <c r="C73" s="18" t="str">
        <f aca="false">січень!C73</f>
        <v>2065</v>
      </c>
      <c r="D73" s="19" t="n">
        <f aca="false">січень!P73</f>
        <v>248.67</v>
      </c>
      <c r="E73" s="19" t="n">
        <f aca="false">січень!Q73</f>
        <v>0</v>
      </c>
      <c r="F73" s="20" t="n">
        <f aca="false">січень!F73</f>
        <v>0</v>
      </c>
      <c r="G73" s="21" t="n">
        <f aca="false">січень!G73</f>
        <v>63.41</v>
      </c>
      <c r="H73" s="21" t="n">
        <f aca="false">січень!H73</f>
        <v>0</v>
      </c>
      <c r="I73" s="22" t="n">
        <f aca="false">січень!I73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 t="n">
        <v>600</v>
      </c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91.3500000000001</v>
      </c>
    </row>
    <row r="74" customFormat="false" ht="15" hidden="false" customHeight="false" outlineLevel="0" collapsed="false">
      <c r="A74" s="17" t="s">
        <v>218</v>
      </c>
      <c r="B74" s="18" t="str">
        <f aca="false">січень!B74</f>
        <v>Прохорова С.І.</v>
      </c>
      <c r="C74" s="18" t="str">
        <f aca="false">січень!C74</f>
        <v>2066</v>
      </c>
      <c r="D74" s="19" t="n">
        <f aca="false">січень!P74</f>
        <v>1518.27</v>
      </c>
      <c r="E74" s="19" t="n">
        <f aca="false">січень!Q74</f>
        <v>0</v>
      </c>
      <c r="F74" s="20" t="n">
        <f aca="false">січень!F74</f>
        <v>0</v>
      </c>
      <c r="G74" s="21" t="n">
        <f aca="false">січень!G74</f>
        <v>35.19</v>
      </c>
      <c r="H74" s="21" t="n">
        <f aca="false">січень!H74</f>
        <v>0</v>
      </c>
      <c r="I74" s="22" t="n">
        <f aca="false">січень!I74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1662.55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січень!B75</f>
        <v>Браташ А.Ф.</v>
      </c>
      <c r="C75" s="18" t="str">
        <f aca="false">січень!C75</f>
        <v>2067</v>
      </c>
      <c r="D75" s="19" t="n">
        <f aca="false">січень!P75</f>
        <v>2721.82</v>
      </c>
      <c r="E75" s="19" t="n">
        <f aca="false">січень!Q75</f>
        <v>0</v>
      </c>
      <c r="F75" s="20" t="n">
        <f aca="false">січень!F75</f>
        <v>0</v>
      </c>
      <c r="G75" s="21" t="n">
        <f aca="false">січень!G75</f>
        <v>49.89</v>
      </c>
      <c r="H75" s="21" t="n">
        <f aca="false">січень!H75</f>
        <v>0</v>
      </c>
      <c r="I75" s="22" t="n">
        <f aca="false">січень!I75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2926.37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січень!B76</f>
        <v>Кудас Д.О.</v>
      </c>
      <c r="C76" s="18" t="str">
        <f aca="false">січень!C76</f>
        <v>2068</v>
      </c>
      <c r="D76" s="19" t="n">
        <f aca="false">січень!P76</f>
        <v>240.02</v>
      </c>
      <c r="E76" s="19" t="n">
        <f aca="false">січень!Q76</f>
        <v>0</v>
      </c>
      <c r="F76" s="20" t="n">
        <f aca="false">січень!F76</f>
        <v>0</v>
      </c>
      <c r="G76" s="21" t="n">
        <f aca="false">січень!G76</f>
        <v>65.03</v>
      </c>
      <c r="H76" s="21" t="n">
        <f aca="false">січень!H76</f>
        <v>0</v>
      </c>
      <c r="I76" s="22" t="n">
        <f aca="false">січень!I76</f>
        <v>4.1</v>
      </c>
      <c r="J76" s="23" t="n">
        <f aca="false">ROUND(G76*I76,2)</f>
        <v>266.62</v>
      </c>
      <c r="K76" s="19"/>
      <c r="L76" s="19" t="n">
        <v>266.62</v>
      </c>
      <c r="M76" s="19"/>
      <c r="N76" s="19" t="n">
        <f aca="false">ROUND((G76*I76)-K76-L76-M76,2)</f>
        <v>0</v>
      </c>
      <c r="O76" s="19"/>
      <c r="P76" s="25" t="n">
        <f aca="false">IF(D76=0,IF((N76-E76-O76)&gt;0,(N76-E76-O76),0),IF((D76+N76-O76)&gt;0,(D76+N76-O76),0))</f>
        <v>240.02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січень!B77</f>
        <v>Шушлєбін Б.В.</v>
      </c>
      <c r="C77" s="18" t="str">
        <f aca="false">січень!C77</f>
        <v>2069</v>
      </c>
      <c r="D77" s="19" t="n">
        <f aca="false">січень!P77</f>
        <v>211.26</v>
      </c>
      <c r="E77" s="19" t="n">
        <f aca="false">січень!Q77</f>
        <v>0</v>
      </c>
      <c r="F77" s="20" t="n">
        <f aca="false">січень!F77</f>
        <v>0</v>
      </c>
      <c r="G77" s="21" t="n">
        <f aca="false">січень!G77</f>
        <v>62.11</v>
      </c>
      <c r="H77" s="21" t="n">
        <f aca="false">січень!H77</f>
        <v>0</v>
      </c>
      <c r="I77" s="22" t="n">
        <f aca="false">січень!I77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465.91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січень!B78</f>
        <v>Бородіна І.О.</v>
      </c>
      <c r="C78" s="18" t="str">
        <f aca="false">січень!C78</f>
        <v>2070</v>
      </c>
      <c r="D78" s="19" t="n">
        <f aca="false">січень!P78</f>
        <v>1757.84</v>
      </c>
      <c r="E78" s="19" t="n">
        <f aca="false">січень!Q78</f>
        <v>0</v>
      </c>
      <c r="F78" s="20" t="n">
        <f aca="false">січень!F78</f>
        <v>0</v>
      </c>
      <c r="G78" s="21" t="n">
        <f aca="false">січень!G78</f>
        <v>34.9</v>
      </c>
      <c r="H78" s="21" t="n">
        <f aca="false">січень!H78</f>
        <v>0</v>
      </c>
      <c r="I78" s="22" t="n">
        <f aca="false">січень!I78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1900.93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січень!B79</f>
        <v>Котурга Л.Й.</v>
      </c>
      <c r="C79" s="18" t="str">
        <f aca="false">січень!C79</f>
        <v>2071</v>
      </c>
      <c r="D79" s="19" t="n">
        <f aca="false">січень!P79</f>
        <v>641.9</v>
      </c>
      <c r="E79" s="19" t="n">
        <f aca="false">січень!Q79</f>
        <v>0</v>
      </c>
      <c r="F79" s="20" t="n">
        <f aca="false">січень!F79</f>
        <v>0</v>
      </c>
      <c r="G79" s="21" t="n">
        <f aca="false">січень!G79</f>
        <v>49.2</v>
      </c>
      <c r="H79" s="21" t="n">
        <f aca="false">січень!H79</f>
        <v>0</v>
      </c>
      <c r="I79" s="22" t="n">
        <f aca="false">січень!I79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843.62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січень!B80</f>
        <v>Горова О.І.</v>
      </c>
      <c r="C80" s="18" t="str">
        <f aca="false">січень!C80</f>
        <v>2072</v>
      </c>
      <c r="D80" s="19" t="n">
        <f aca="false">січень!P80</f>
        <v>1944.73</v>
      </c>
      <c r="E80" s="19" t="n">
        <f aca="false">січень!Q80</f>
        <v>0</v>
      </c>
      <c r="F80" s="20" t="n">
        <f aca="false">січень!F80</f>
        <v>0</v>
      </c>
      <c r="G80" s="21" t="n">
        <f aca="false">січень!G80</f>
        <v>65.43</v>
      </c>
      <c r="H80" s="21" t="n">
        <f aca="false">січень!H80</f>
        <v>0</v>
      </c>
      <c r="I80" s="22" t="n">
        <f aca="false">січень!I80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2212.99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січень!B81</f>
        <v>Рибакевич М.П.</v>
      </c>
      <c r="C81" s="18" t="str">
        <f aca="false">січень!C81</f>
        <v>3073</v>
      </c>
      <c r="D81" s="19" t="n">
        <f aca="false">січень!P81</f>
        <v>2916.55</v>
      </c>
      <c r="E81" s="19" t="n">
        <f aca="false">січень!Q81</f>
        <v>0</v>
      </c>
      <c r="F81" s="20" t="n">
        <f aca="false">січень!F81</f>
        <v>0</v>
      </c>
      <c r="G81" s="21" t="n">
        <f aca="false">січень!G81</f>
        <v>64.5</v>
      </c>
      <c r="H81" s="21" t="n">
        <f aca="false">січень!H81</f>
        <v>0</v>
      </c>
      <c r="I81" s="22" t="n">
        <f aca="false">січень!I81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3181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січень!B82</f>
        <v>Башкалов В.В.</v>
      </c>
      <c r="C82" s="18" t="str">
        <f aca="false">січень!C82</f>
        <v>3074</v>
      </c>
      <c r="D82" s="19" t="n">
        <f aca="false">січень!P82</f>
        <v>1068.11</v>
      </c>
      <c r="E82" s="19" t="n">
        <f aca="false">січень!Q82</f>
        <v>0</v>
      </c>
      <c r="F82" s="20" t="n">
        <f aca="false">січень!F82</f>
        <v>0</v>
      </c>
      <c r="G82" s="21" t="n">
        <f aca="false">січень!G82</f>
        <v>50.8</v>
      </c>
      <c r="H82" s="21" t="n">
        <f aca="false">січень!H82</f>
        <v>0</v>
      </c>
      <c r="I82" s="22" t="n">
        <f aca="false">січень!I82</f>
        <v>4.1</v>
      </c>
      <c r="J82" s="23" t="n">
        <f aca="false">ROUND(G82*I82,2)</f>
        <v>208.28</v>
      </c>
      <c r="K82" s="19"/>
      <c r="L82" s="19" t="n">
        <v>208.28</v>
      </c>
      <c r="M82" s="19"/>
      <c r="N82" s="19" t="n">
        <f aca="false">ROUND((G82*I82)-K82-L82-M82,2)</f>
        <v>0</v>
      </c>
      <c r="O82" s="19"/>
      <c r="P82" s="25" t="n">
        <f aca="false">IF(D82=0,IF((N82-E82-O82)&gt;0,(N82-E82-O82),0),IF((D82+N82-O82)&gt;0,(D82+N82-O82),0))</f>
        <v>1068.11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січень!B83</f>
        <v>Тіхенко Г.Д.</v>
      </c>
      <c r="C83" s="18" t="str">
        <f aca="false">січень!C83</f>
        <v>3075</v>
      </c>
      <c r="D83" s="19" t="n">
        <f aca="false">січень!P83</f>
        <v>1609.36</v>
      </c>
      <c r="E83" s="19" t="n">
        <f aca="false">січень!Q83</f>
        <v>0</v>
      </c>
      <c r="F83" s="20" t="n">
        <f aca="false">січень!F83</f>
        <v>0</v>
      </c>
      <c r="G83" s="21" t="n">
        <f aca="false">січень!G83</f>
        <v>34.9</v>
      </c>
      <c r="H83" s="21" t="n">
        <f aca="false">січень!H83</f>
        <v>0</v>
      </c>
      <c r="I83" s="22" t="n">
        <f aca="false">січень!I83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1752.45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січень!B84</f>
        <v>Головченко В.Г.</v>
      </c>
      <c r="C84" s="18" t="str">
        <f aca="false">січень!C84</f>
        <v>3076</v>
      </c>
      <c r="D84" s="19" t="n">
        <f aca="false">січень!P84</f>
        <v>1947.68</v>
      </c>
      <c r="E84" s="19" t="n">
        <f aca="false">січень!Q84</f>
        <v>0</v>
      </c>
      <c r="F84" s="20" t="n">
        <f aca="false">січень!F84</f>
        <v>0</v>
      </c>
      <c r="G84" s="21" t="n">
        <f aca="false">січень!G84</f>
        <v>61</v>
      </c>
      <c r="H84" s="21" t="n">
        <f aca="false">січень!H84</f>
        <v>0</v>
      </c>
      <c r="I84" s="22" t="n">
        <f aca="false">січень!I84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 t="n">
        <v>1000</v>
      </c>
      <c r="P84" s="25" t="n">
        <f aca="false">IF(D84=0,IF((N84-E84-O84)&gt;0,(N84-E84-O84),0),IF((D84+N84-O84)&gt;0,(D84+N84-O84),0))</f>
        <v>1197.78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січень!B85</f>
        <v>Семанішина Є.С.</v>
      </c>
      <c r="C85" s="18" t="str">
        <f aca="false">січень!C85</f>
        <v>3077</v>
      </c>
      <c r="D85" s="19" t="n">
        <f aca="false">січень!P85</f>
        <v>1843.9</v>
      </c>
      <c r="E85" s="19" t="n">
        <f aca="false">січень!Q85</f>
        <v>0</v>
      </c>
      <c r="F85" s="20" t="n">
        <f aca="false">січень!F85</f>
        <v>0</v>
      </c>
      <c r="G85" s="21" t="n">
        <f aca="false">січень!G85</f>
        <v>64.5</v>
      </c>
      <c r="H85" s="21" t="n">
        <f aca="false">січень!H85</f>
        <v>0</v>
      </c>
      <c r="I85" s="22" t="n">
        <f aca="false">січень!I85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2108.35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січень!B86</f>
        <v>Зінченко Ю.В.</v>
      </c>
      <c r="C86" s="18" t="str">
        <f aca="false">січень!C86</f>
        <v>3078</v>
      </c>
      <c r="D86" s="19" t="n">
        <f aca="false">січень!P86</f>
        <v>375.96</v>
      </c>
      <c r="E86" s="19" t="n">
        <f aca="false">січень!Q86</f>
        <v>0</v>
      </c>
      <c r="F86" s="20" t="n">
        <f aca="false">січень!F86</f>
        <v>0</v>
      </c>
      <c r="G86" s="21" t="n">
        <f aca="false">січень!G86</f>
        <v>49.3</v>
      </c>
      <c r="H86" s="21" t="n">
        <f aca="false">січень!H86</f>
        <v>0</v>
      </c>
      <c r="I86" s="22" t="n">
        <f aca="false">січень!I86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578.09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січень!B87</f>
        <v>Рилова Г.П.</v>
      </c>
      <c r="C87" s="18" t="str">
        <f aca="false">січень!C87</f>
        <v>3079</v>
      </c>
      <c r="D87" s="19" t="n">
        <f aca="false">січень!P87</f>
        <v>702.9</v>
      </c>
      <c r="E87" s="19" t="n">
        <f aca="false">січень!Q87</f>
        <v>0</v>
      </c>
      <c r="F87" s="20" t="n">
        <f aca="false">січень!F87</f>
        <v>0</v>
      </c>
      <c r="G87" s="21" t="n">
        <f aca="false">січень!G87</f>
        <v>35</v>
      </c>
      <c r="H87" s="21" t="n">
        <f aca="false">січень!H87</f>
        <v>0</v>
      </c>
      <c r="I87" s="22" t="n">
        <f aca="false">січень!I87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 t="n">
        <v>847</v>
      </c>
      <c r="P87" s="25" t="n">
        <f aca="false">IF(D87=0,IF((N87-E87-O87)&gt;0,(N87-E87-O87),0),IF((D87+N87-O87)&gt;0,(D87+N87-O87),0))</f>
        <v>0</v>
      </c>
      <c r="Q87" s="25" t="n">
        <f aca="false">IF(E87=0,IF((D87+N87-O87)&lt;0,ABS(D87+N87-O87),0),IF((N87-E87-O87)&lt;0,ABS(N87-E87-O87),0))</f>
        <v>0.60000000000025</v>
      </c>
    </row>
    <row r="88" customFormat="false" ht="15" hidden="false" customHeight="false" outlineLevel="0" collapsed="false">
      <c r="A88" s="17" t="s">
        <v>260</v>
      </c>
      <c r="B88" s="18" t="str">
        <f aca="false">січень!B88</f>
        <v>Ленський І.О.</v>
      </c>
      <c r="C88" s="18" t="str">
        <f aca="false">січень!C88</f>
        <v>3080</v>
      </c>
      <c r="D88" s="19" t="n">
        <f aca="false">січень!P88</f>
        <v>249.83</v>
      </c>
      <c r="E88" s="19" t="n">
        <f aca="false">січень!Q88</f>
        <v>0</v>
      </c>
      <c r="F88" s="20" t="n">
        <f aca="false">січень!F88</f>
        <v>0</v>
      </c>
      <c r="G88" s="21" t="n">
        <f aca="false">січень!G88</f>
        <v>61.8</v>
      </c>
      <c r="H88" s="21" t="n">
        <f aca="false">січень!H88</f>
        <v>0</v>
      </c>
      <c r="I88" s="22" t="n">
        <f aca="false">січень!I88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 t="n">
        <v>260</v>
      </c>
      <c r="P88" s="25" t="n">
        <f aca="false">IF(D88=0,IF((N88-E88-O88)&gt;0,(N88-E88-O88),0),IF((D88+N88-O88)&gt;0,(D88+N88-O88),0))</f>
        <v>243.21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січень!B89</f>
        <v>Слюсар О.О.</v>
      </c>
      <c r="C89" s="18" t="str">
        <f aca="false">січень!C89</f>
        <v>3081</v>
      </c>
      <c r="D89" s="19" t="n">
        <f aca="false">січень!P89</f>
        <v>3103.37</v>
      </c>
      <c r="E89" s="19" t="n">
        <f aca="false">січень!Q89</f>
        <v>0</v>
      </c>
      <c r="F89" s="20" t="n">
        <f aca="false">січень!F89</f>
        <v>0</v>
      </c>
      <c r="G89" s="21" t="n">
        <f aca="false">січень!G89</f>
        <v>65.81</v>
      </c>
      <c r="H89" s="21" t="n">
        <f aca="false">січень!H89</f>
        <v>0</v>
      </c>
      <c r="I89" s="22" t="n">
        <f aca="false">січень!I89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3373.19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січень!B90</f>
        <v>Кісельов Г.О.</v>
      </c>
      <c r="C90" s="18" t="str">
        <f aca="false">січень!C90</f>
        <v>3082</v>
      </c>
      <c r="D90" s="19" t="n">
        <f aca="false">січень!P90</f>
        <v>1012.84</v>
      </c>
      <c r="E90" s="19" t="n">
        <f aca="false">січень!Q90</f>
        <v>0</v>
      </c>
      <c r="F90" s="20" t="n">
        <f aca="false">січень!F90</f>
        <v>0</v>
      </c>
      <c r="G90" s="21" t="n">
        <f aca="false">січень!G90</f>
        <v>49.7</v>
      </c>
      <c r="H90" s="21" t="n">
        <f aca="false">січень!H90</f>
        <v>0</v>
      </c>
      <c r="I90" s="22" t="n">
        <f aca="false">січень!I90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1216.61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січень!B91</f>
        <v>Губанова Н.С.</v>
      </c>
      <c r="C91" s="18" t="str">
        <f aca="false">січень!C91</f>
        <v>3083</v>
      </c>
      <c r="D91" s="19" t="n">
        <f aca="false">січень!P91</f>
        <v>848.7</v>
      </c>
      <c r="E91" s="19" t="n">
        <f aca="false">січень!Q91</f>
        <v>0</v>
      </c>
      <c r="F91" s="20" t="n">
        <f aca="false">січень!F91</f>
        <v>0</v>
      </c>
      <c r="G91" s="21" t="n">
        <f aca="false">січень!G91</f>
        <v>34.5</v>
      </c>
      <c r="H91" s="21" t="n">
        <f aca="false">січень!H91</f>
        <v>0</v>
      </c>
      <c r="I91" s="22" t="n">
        <f aca="false">січень!I91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990.15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січень!B92</f>
        <v>Попова А.В.</v>
      </c>
      <c r="C92" s="18" t="str">
        <f aca="false">січень!C92</f>
        <v>3084</v>
      </c>
      <c r="D92" s="19" t="n">
        <f aca="false">січень!P92</f>
        <v>255.029999999997</v>
      </c>
      <c r="E92" s="19" t="n">
        <f aca="false">січень!Q92</f>
        <v>0</v>
      </c>
      <c r="F92" s="20" t="n">
        <f aca="false">січень!F92</f>
        <v>0</v>
      </c>
      <c r="G92" s="21" t="n">
        <f aca="false">січень!G92</f>
        <v>62.4</v>
      </c>
      <c r="H92" s="21" t="n">
        <f aca="false">січень!H92</f>
        <v>0</v>
      </c>
      <c r="I92" s="22" t="n">
        <f aca="false">січень!I92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510.869999999997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січень!B93</f>
        <v>Стародубець О.К.</v>
      </c>
      <c r="C93" s="18" t="str">
        <f aca="false">січень!C93</f>
        <v>3085</v>
      </c>
      <c r="D93" s="19" t="n">
        <f aca="false">січень!P93</f>
        <v>3220.14</v>
      </c>
      <c r="E93" s="19" t="n">
        <f aca="false">січень!Q93</f>
        <v>0</v>
      </c>
      <c r="F93" s="20" t="n">
        <f aca="false">січень!F93</f>
        <v>0</v>
      </c>
      <c r="G93" s="21" t="n">
        <f aca="false">січень!G93</f>
        <v>66.46</v>
      </c>
      <c r="H93" s="21" t="n">
        <f aca="false">січень!H93</f>
        <v>0</v>
      </c>
      <c r="I93" s="22" t="n">
        <f aca="false">січень!I93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3492.63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січень!B94</f>
        <v>Сакун Т.А.</v>
      </c>
      <c r="C94" s="18" t="str">
        <f aca="false">січень!C94</f>
        <v>3086</v>
      </c>
      <c r="D94" s="19" t="n">
        <f aca="false">січень!P94</f>
        <v>2650.47</v>
      </c>
      <c r="E94" s="19" t="n">
        <f aca="false">січень!Q94</f>
        <v>0</v>
      </c>
      <c r="F94" s="20" t="n">
        <f aca="false">січень!F94</f>
        <v>0</v>
      </c>
      <c r="G94" s="21" t="n">
        <f aca="false">січень!G94</f>
        <v>49.73</v>
      </c>
      <c r="H94" s="21" t="n">
        <f aca="false">січень!H94</f>
        <v>0</v>
      </c>
      <c r="I94" s="22" t="n">
        <f aca="false">січень!I94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2854.36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січень!B95</f>
        <v>Фатєєв Ю.О.</v>
      </c>
      <c r="C95" s="18" t="str">
        <f aca="false">січень!C95</f>
        <v>3087</v>
      </c>
      <c r="D95" s="19" t="n">
        <f aca="false">січень!P95</f>
        <v>3935.54</v>
      </c>
      <c r="E95" s="19" t="n">
        <f aca="false">січень!Q95</f>
        <v>0</v>
      </c>
      <c r="F95" s="20" t="n">
        <f aca="false">січень!F95</f>
        <v>0</v>
      </c>
      <c r="G95" s="21" t="n">
        <f aca="false">січень!G95</f>
        <v>34.9</v>
      </c>
      <c r="H95" s="21" t="n">
        <f aca="false">січень!H95</f>
        <v>0</v>
      </c>
      <c r="I95" s="22" t="n">
        <f aca="false">січень!I95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4078.63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січень!B96</f>
        <v>Лукашов Є.В.</v>
      </c>
      <c r="C96" s="18" t="str">
        <f aca="false">січень!C96</f>
        <v>3088</v>
      </c>
      <c r="D96" s="19" t="n">
        <f aca="false">січень!P96</f>
        <v>11694.74</v>
      </c>
      <c r="E96" s="19" t="n">
        <f aca="false">січень!Q96</f>
        <v>0</v>
      </c>
      <c r="F96" s="20" t="n">
        <f aca="false">січень!F96</f>
        <v>0</v>
      </c>
      <c r="G96" s="21" t="n">
        <f aca="false">січень!G96</f>
        <v>61.9</v>
      </c>
      <c r="H96" s="21" t="n">
        <f aca="false">січень!H96</f>
        <v>0</v>
      </c>
      <c r="I96" s="22" t="n">
        <f aca="false">січень!I96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11948.53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січень!B97</f>
        <v>Довбета В.М.</v>
      </c>
      <c r="C97" s="18" t="str">
        <f aca="false">січень!C97</f>
        <v>3089</v>
      </c>
      <c r="D97" s="19" t="n">
        <f aca="false">січень!P97</f>
        <v>0</v>
      </c>
      <c r="E97" s="19" t="n">
        <f aca="false">січень!Q97</f>
        <v>7.59999999999957</v>
      </c>
      <c r="F97" s="20" t="n">
        <f aca="false">січень!F97</f>
        <v>0</v>
      </c>
      <c r="G97" s="21" t="n">
        <f aca="false">січень!G97</f>
        <v>65.3</v>
      </c>
      <c r="H97" s="21" t="n">
        <f aca="false">січень!H97</f>
        <v>0</v>
      </c>
      <c r="I97" s="22" t="n">
        <f aca="false">січень!I97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270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9.86999999999955</v>
      </c>
    </row>
    <row r="98" customFormat="false" ht="15" hidden="false" customHeight="false" outlineLevel="0" collapsed="false">
      <c r="A98" s="17" t="s">
        <v>290</v>
      </c>
      <c r="B98" s="18" t="str">
        <f aca="false">січень!B98</f>
        <v>Черняк К.В.</v>
      </c>
      <c r="C98" s="18" t="str">
        <f aca="false">січень!C98</f>
        <v>3090</v>
      </c>
      <c r="D98" s="19" t="n">
        <f aca="false">січень!P98</f>
        <v>0</v>
      </c>
      <c r="E98" s="19" t="n">
        <f aca="false">січень!Q98</f>
        <v>1422.76</v>
      </c>
      <c r="F98" s="20" t="n">
        <f aca="false">січень!F98</f>
        <v>0</v>
      </c>
      <c r="G98" s="21" t="n">
        <f aca="false">січень!G98</f>
        <v>49.48</v>
      </c>
      <c r="H98" s="21" t="n">
        <f aca="false">січень!H98</f>
        <v>0</v>
      </c>
      <c r="I98" s="22" t="n">
        <f aca="false">січень!I98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1219.89</v>
      </c>
    </row>
    <row r="99" customFormat="false" ht="15" hidden="false" customHeight="false" outlineLevel="0" collapsed="false">
      <c r="A99" s="17" t="s">
        <v>293</v>
      </c>
      <c r="B99" s="18" t="str">
        <f aca="false">січень!B99</f>
        <v>Удінцева Г.А.</v>
      </c>
      <c r="C99" s="18" t="str">
        <f aca="false">січень!C99</f>
        <v>3091</v>
      </c>
      <c r="D99" s="19" t="n">
        <f aca="false">січень!P99</f>
        <v>141.19</v>
      </c>
      <c r="E99" s="19" t="n">
        <f aca="false">січень!Q99</f>
        <v>0</v>
      </c>
      <c r="F99" s="20" t="n">
        <f aca="false">січень!F99</f>
        <v>0</v>
      </c>
      <c r="G99" s="21" t="n">
        <f aca="false">січень!G99</f>
        <v>35.1</v>
      </c>
      <c r="H99" s="21" t="n">
        <f aca="false">січень!H99</f>
        <v>0</v>
      </c>
      <c r="I99" s="22" t="n">
        <f aca="false">січень!I99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285.1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січень!B100</f>
        <v>Липка Г.Ю.</v>
      </c>
      <c r="C100" s="18" t="str">
        <f aca="false">січень!C100</f>
        <v>3092</v>
      </c>
      <c r="D100" s="19" t="n">
        <f aca="false">січень!P100</f>
        <v>3886.8</v>
      </c>
      <c r="E100" s="19" t="n">
        <f aca="false">січень!Q100</f>
        <v>0</v>
      </c>
      <c r="F100" s="20" t="n">
        <f aca="false">січень!F100</f>
        <v>0</v>
      </c>
      <c r="G100" s="21" t="n">
        <f aca="false">січень!G100</f>
        <v>63.2</v>
      </c>
      <c r="H100" s="21" t="n">
        <f aca="false">січень!H100</f>
        <v>0</v>
      </c>
      <c r="I100" s="22" t="n">
        <f aca="false">січень!I100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4145.92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січень!B101</f>
        <v>Утьосов Д.М.</v>
      </c>
      <c r="C101" s="18" t="str">
        <f aca="false">січень!C101</f>
        <v>3093</v>
      </c>
      <c r="D101" s="19" t="n">
        <f aca="false">січень!P101</f>
        <v>2909.49</v>
      </c>
      <c r="E101" s="19" t="n">
        <f aca="false">січень!Q101</f>
        <v>0</v>
      </c>
      <c r="F101" s="20" t="n">
        <f aca="false">січень!F101</f>
        <v>0</v>
      </c>
      <c r="G101" s="21" t="n">
        <f aca="false">січень!G101</f>
        <v>66.1</v>
      </c>
      <c r="H101" s="21" t="n">
        <f aca="false">січень!H101</f>
        <v>0</v>
      </c>
      <c r="I101" s="22" t="n">
        <f aca="false">січень!I101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3180.5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січень!B102</f>
        <v>Стеценко Д.М.</v>
      </c>
      <c r="C102" s="18" t="str">
        <f aca="false">січень!C102</f>
        <v>3094</v>
      </c>
      <c r="D102" s="19" t="n">
        <f aca="false">січень!P102</f>
        <v>204.250000000001</v>
      </c>
      <c r="E102" s="19" t="n">
        <f aca="false">січень!Q102</f>
        <v>0</v>
      </c>
      <c r="F102" s="20" t="n">
        <f aca="false">січень!F102</f>
        <v>0</v>
      </c>
      <c r="G102" s="21" t="n">
        <f aca="false">січень!G102</f>
        <v>49.8</v>
      </c>
      <c r="H102" s="21" t="n">
        <f aca="false">січень!H102</f>
        <v>0</v>
      </c>
      <c r="I102" s="22" t="n">
        <f aca="false">січень!I102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408.430000000001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січень!B103</f>
        <v>Задніпряна О.М.</v>
      </c>
      <c r="C103" s="18" t="str">
        <f aca="false">січень!C103</f>
        <v>3095</v>
      </c>
      <c r="D103" s="19" t="n">
        <f aca="false">січень!P103</f>
        <v>1278.34</v>
      </c>
      <c r="E103" s="19" t="n">
        <f aca="false">січень!Q103</f>
        <v>0</v>
      </c>
      <c r="F103" s="20" t="n">
        <f aca="false">січень!F103</f>
        <v>0</v>
      </c>
      <c r="G103" s="21" t="n">
        <f aca="false">січень!G103</f>
        <v>34.6</v>
      </c>
      <c r="H103" s="21" t="n">
        <f aca="false">січень!H103</f>
        <v>0</v>
      </c>
      <c r="I103" s="22" t="n">
        <f aca="false">січень!I103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1420.2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січень!B104</f>
        <v>Геращенко М.Д.</v>
      </c>
      <c r="C104" s="18" t="str">
        <f aca="false">січень!C104</f>
        <v>3096</v>
      </c>
      <c r="D104" s="19" t="n">
        <f aca="false">січень!P104</f>
        <v>255.96</v>
      </c>
      <c r="E104" s="19" t="n">
        <f aca="false">січень!Q104</f>
        <v>0</v>
      </c>
      <c r="F104" s="20" t="n">
        <f aca="false">січень!F104</f>
        <v>0</v>
      </c>
      <c r="G104" s="21" t="n">
        <f aca="false">січень!G104</f>
        <v>62.6</v>
      </c>
      <c r="H104" s="21" t="n">
        <f aca="false">січень!H104</f>
        <v>0</v>
      </c>
      <c r="I104" s="22" t="n">
        <f aca="false">січень!I104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512.620000000001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січень!B105</f>
        <v>Горб В.М.</v>
      </c>
      <c r="C105" s="18" t="str">
        <f aca="false">січень!C105</f>
        <v>3097</v>
      </c>
      <c r="D105" s="19" t="n">
        <f aca="false">січень!P105</f>
        <v>1879.19</v>
      </c>
      <c r="E105" s="19" t="n">
        <f aca="false">січень!Q105</f>
        <v>0</v>
      </c>
      <c r="F105" s="20" t="n">
        <f aca="false">січень!F105</f>
        <v>0</v>
      </c>
      <c r="G105" s="21" t="n">
        <f aca="false">січень!G105</f>
        <v>65.57</v>
      </c>
      <c r="H105" s="21" t="n">
        <f aca="false">січень!H105</f>
        <v>0</v>
      </c>
      <c r="I105" s="22" t="n">
        <f aca="false">січень!I105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2148.03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січень!B106</f>
        <v>Нойок Г.К.</v>
      </c>
      <c r="C106" s="18" t="str">
        <f aca="false">січень!C106</f>
        <v>3098</v>
      </c>
      <c r="D106" s="19" t="n">
        <f aca="false">січень!P106</f>
        <v>217.85</v>
      </c>
      <c r="E106" s="19" t="n">
        <f aca="false">січень!Q106</f>
        <v>0</v>
      </c>
      <c r="F106" s="20" t="n">
        <f aca="false">січень!F106</f>
        <v>0</v>
      </c>
      <c r="G106" s="21" t="n">
        <f aca="false">січень!G106</f>
        <v>49.8</v>
      </c>
      <c r="H106" s="21" t="n">
        <f aca="false">січень!H106</f>
        <v>0</v>
      </c>
      <c r="I106" s="22" t="n">
        <f aca="false">січень!I106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422.03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січень!B107</f>
        <v>Сафонова О.В.</v>
      </c>
      <c r="C107" s="18" t="str">
        <f aca="false">січень!C107</f>
        <v>3099</v>
      </c>
      <c r="D107" s="19" t="n">
        <f aca="false">січень!P107</f>
        <v>1255.81</v>
      </c>
      <c r="E107" s="19" t="n">
        <f aca="false">січень!Q107</f>
        <v>0</v>
      </c>
      <c r="F107" s="20" t="n">
        <f aca="false">січень!F107</f>
        <v>0</v>
      </c>
      <c r="G107" s="21" t="n">
        <f aca="false">січень!G107</f>
        <v>34.9</v>
      </c>
      <c r="H107" s="21" t="n">
        <f aca="false">січень!H107</f>
        <v>0</v>
      </c>
      <c r="I107" s="22" t="n">
        <f aca="false">січень!I107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1398.9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січень!B108</f>
        <v>Вінарська Н.П.</v>
      </c>
      <c r="C108" s="18" t="str">
        <f aca="false">січень!C108</f>
        <v>30100</v>
      </c>
      <c r="D108" s="19" t="n">
        <f aca="false">січень!P108</f>
        <v>3088.04</v>
      </c>
      <c r="E108" s="19" t="n">
        <f aca="false">січень!Q108</f>
        <v>0</v>
      </c>
      <c r="F108" s="20" t="n">
        <f aca="false">січень!F108</f>
        <v>0</v>
      </c>
      <c r="G108" s="21" t="n">
        <f aca="false">січень!G108</f>
        <v>62.78</v>
      </c>
      <c r="H108" s="21" t="n">
        <f aca="false">січень!H108</f>
        <v>0</v>
      </c>
      <c r="I108" s="22" t="n">
        <f aca="false">січень!I108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3345.44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січень!B109</f>
        <v>Чернова Н.І.</v>
      </c>
      <c r="C109" s="18" t="str">
        <f aca="false">січень!C109</f>
        <v>30101</v>
      </c>
      <c r="D109" s="19" t="n">
        <f aca="false">січень!P109</f>
        <v>3180.55</v>
      </c>
      <c r="E109" s="19" t="n">
        <f aca="false">січень!Q109</f>
        <v>0</v>
      </c>
      <c r="F109" s="20" t="n">
        <f aca="false">січень!F109</f>
        <v>0</v>
      </c>
      <c r="G109" s="21" t="n">
        <f aca="false">січень!G109</f>
        <v>66.29</v>
      </c>
      <c r="H109" s="21" t="n">
        <f aca="false">січень!H109</f>
        <v>0</v>
      </c>
      <c r="I109" s="22" t="n">
        <f aca="false">січень!I109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3452.34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січень!B110</f>
        <v>Кошева Н.П</v>
      </c>
      <c r="C110" s="18" t="str">
        <f aca="false">січень!C110</f>
        <v>30102</v>
      </c>
      <c r="D110" s="19" t="n">
        <f aca="false">січень!P110</f>
        <v>2074</v>
      </c>
      <c r="E110" s="19" t="n">
        <f aca="false">січень!Q110</f>
        <v>0</v>
      </c>
      <c r="F110" s="20" t="n">
        <f aca="false">січень!F110</f>
        <v>0</v>
      </c>
      <c r="G110" s="21" t="n">
        <f aca="false">січень!G110</f>
        <v>50</v>
      </c>
      <c r="H110" s="21" t="n">
        <f aca="false">січень!H110</f>
        <v>0</v>
      </c>
      <c r="I110" s="22" t="n">
        <f aca="false">січень!I110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2279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січень!B111</f>
        <v>Уривський Д.Б.</v>
      </c>
      <c r="C111" s="18" t="str">
        <f aca="false">січень!C111</f>
        <v>30103</v>
      </c>
      <c r="D111" s="19" t="n">
        <f aca="false">січень!P111</f>
        <v>1798.59</v>
      </c>
      <c r="E111" s="19" t="n">
        <f aca="false">січень!Q111</f>
        <v>0</v>
      </c>
      <c r="F111" s="20" t="n">
        <f aca="false">січень!F111</f>
        <v>0</v>
      </c>
      <c r="G111" s="21" t="n">
        <f aca="false">січень!G111</f>
        <v>35</v>
      </c>
      <c r="H111" s="21" t="n">
        <f aca="false">січень!H111</f>
        <v>0</v>
      </c>
      <c r="I111" s="22" t="n">
        <f aca="false">січень!I111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1942.09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січень!B112</f>
        <v>АДПСУ (Чорноморець В.М.)</v>
      </c>
      <c r="C112" s="18" t="str">
        <f aca="false">січень!C112</f>
        <v>30104</v>
      </c>
      <c r="D112" s="19" t="n">
        <f aca="false">січень!P112</f>
        <v>1527.83</v>
      </c>
      <c r="E112" s="19" t="n">
        <f aca="false">січень!Q112</f>
        <v>0</v>
      </c>
      <c r="F112" s="20" t="n">
        <f aca="false">січень!F112</f>
        <v>0</v>
      </c>
      <c r="G112" s="21" t="n">
        <f aca="false">січень!G112</f>
        <v>61.1</v>
      </c>
      <c r="H112" s="21" t="n">
        <f aca="false">січень!H112</f>
        <v>0</v>
      </c>
      <c r="I112" s="22" t="n">
        <f aca="false">січень!I112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1778.34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січень!B113</f>
        <v>Дмитренко Г.В.</v>
      </c>
      <c r="C113" s="18" t="str">
        <f aca="false">січень!C113</f>
        <v>30105</v>
      </c>
      <c r="D113" s="19" t="n">
        <f aca="false">січень!P113</f>
        <v>2174.02</v>
      </c>
      <c r="E113" s="19" t="n">
        <f aca="false">січень!Q113</f>
        <v>0</v>
      </c>
      <c r="F113" s="20" t="n">
        <f aca="false">січень!F113</f>
        <v>0</v>
      </c>
      <c r="G113" s="21" t="n">
        <f aca="false">січень!G113</f>
        <v>64.89</v>
      </c>
      <c r="H113" s="21" t="n">
        <f aca="false">січень!H113</f>
        <v>0</v>
      </c>
      <c r="I113" s="22" t="n">
        <f aca="false">січень!I113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2440.07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січень!B114</f>
        <v>Номерова Т.В.</v>
      </c>
      <c r="C114" s="18" t="str">
        <f aca="false">січень!C114</f>
        <v>30106</v>
      </c>
      <c r="D114" s="19" t="n">
        <f aca="false">січень!P114</f>
        <v>355.64</v>
      </c>
      <c r="E114" s="19" t="n">
        <f aca="false">січень!Q114</f>
        <v>0</v>
      </c>
      <c r="F114" s="20" t="n">
        <f aca="false">січень!F114</f>
        <v>0</v>
      </c>
      <c r="G114" s="21" t="n">
        <f aca="false">січень!G114</f>
        <v>49.96</v>
      </c>
      <c r="H114" s="21" t="n">
        <f aca="false">січень!H114</f>
        <v>0</v>
      </c>
      <c r="I114" s="22" t="n">
        <f aca="false">січень!I114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 t="n">
        <v>500</v>
      </c>
      <c r="P114" s="25" t="n">
        <f aca="false">IF(D114=0,IF((N114-E114-O114)&gt;0,(N114-E114-O114),0),IF((D114+N114-O114)&gt;0,(D114+N114-O114),0))</f>
        <v>60.4800000000002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січень!B115</f>
        <v>Самойлова О.В.</v>
      </c>
      <c r="C115" s="18" t="str">
        <f aca="false">січень!C115</f>
        <v>30107</v>
      </c>
      <c r="D115" s="19" t="n">
        <f aca="false">січень!P115</f>
        <v>141.45</v>
      </c>
      <c r="E115" s="19" t="n">
        <f aca="false">січень!Q115</f>
        <v>0</v>
      </c>
      <c r="F115" s="20" t="n">
        <f aca="false">січень!F115</f>
        <v>0</v>
      </c>
      <c r="G115" s="21" t="n">
        <f aca="false">січень!G115</f>
        <v>34.5</v>
      </c>
      <c r="H115" s="21" t="n">
        <f aca="false">січень!H115</f>
        <v>0</v>
      </c>
      <c r="I115" s="22" t="n">
        <f aca="false">січень!I115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 t="n">
        <v>141.45</v>
      </c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січень!B116</f>
        <v>Випенко О.І.</v>
      </c>
      <c r="C116" s="18" t="str">
        <f aca="false">січень!C116</f>
        <v>30108</v>
      </c>
      <c r="D116" s="19" t="n">
        <f aca="false">січень!P116</f>
        <v>6414.89</v>
      </c>
      <c r="E116" s="19" t="n">
        <f aca="false">січень!Q116</f>
        <v>0</v>
      </c>
      <c r="F116" s="20" t="n">
        <f aca="false">січень!F116</f>
        <v>0</v>
      </c>
      <c r="G116" s="21" t="n">
        <f aca="false">січень!G116</f>
        <v>62.9</v>
      </c>
      <c r="H116" s="21" t="n">
        <f aca="false">січень!H116</f>
        <v>0</v>
      </c>
      <c r="I116" s="22" t="n">
        <f aca="false">січень!I116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6672.78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січень!B117</f>
        <v>Саприкін Ю.О.</v>
      </c>
      <c r="C117" s="18" t="str">
        <f aca="false">січень!C117</f>
        <v>40109</v>
      </c>
      <c r="D117" s="19" t="n">
        <f aca="false">січень!P117</f>
        <v>2797.88</v>
      </c>
      <c r="E117" s="19" t="n">
        <f aca="false">січень!Q117</f>
        <v>0</v>
      </c>
      <c r="F117" s="20" t="n">
        <f aca="false">січень!F117</f>
        <v>0</v>
      </c>
      <c r="G117" s="21" t="n">
        <f aca="false">січень!G117</f>
        <v>97.2</v>
      </c>
      <c r="H117" s="21" t="n">
        <f aca="false">січень!H117</f>
        <v>0</v>
      </c>
      <c r="I117" s="22" t="n">
        <f aca="false">січень!I117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3196.4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січень!B118</f>
        <v>Мовчан В.М.</v>
      </c>
      <c r="C118" s="18" t="str">
        <f aca="false">січень!C118</f>
        <v>40110</v>
      </c>
      <c r="D118" s="19" t="n">
        <f aca="false">січень!P118</f>
        <v>398.73</v>
      </c>
      <c r="E118" s="19" t="n">
        <f aca="false">січень!Q118</f>
        <v>0</v>
      </c>
      <c r="F118" s="20" t="n">
        <f aca="false">січень!F118</f>
        <v>0</v>
      </c>
      <c r="G118" s="21" t="n">
        <f aca="false">січень!G118</f>
        <v>48.75</v>
      </c>
      <c r="H118" s="21" t="n">
        <f aca="false">січень!H118</f>
        <v>0</v>
      </c>
      <c r="I118" s="22" t="n">
        <f aca="false">січень!I118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 t="n">
        <v>199.88</v>
      </c>
      <c r="P118" s="25" t="n">
        <f aca="false">IF(D118=0,IF((N118-E118-O118)&gt;0,(N118-E118-O118),0),IF((D118+N118-O118)&gt;0,(D118+N118-O118),0))</f>
        <v>398.73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січень!B119</f>
        <v>Величко Н.М.</v>
      </c>
      <c r="C119" s="18" t="str">
        <f aca="false">січень!C119</f>
        <v>40111</v>
      </c>
      <c r="D119" s="19" t="n">
        <f aca="false">січень!P119</f>
        <v>2351</v>
      </c>
      <c r="E119" s="19" t="n">
        <f aca="false">січень!Q119</f>
        <v>0</v>
      </c>
      <c r="F119" s="20" t="n">
        <f aca="false">січень!F119</f>
        <v>0</v>
      </c>
      <c r="G119" s="21" t="n">
        <f aca="false">січень!G119</f>
        <v>63.8</v>
      </c>
      <c r="H119" s="21" t="n">
        <f aca="false">січень!H119</f>
        <v>0</v>
      </c>
      <c r="I119" s="22" t="n">
        <f aca="false">січень!I119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2612.58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січень!B120</f>
        <v>Бухлов С.В.</v>
      </c>
      <c r="C120" s="18" t="str">
        <f aca="false">січень!C120</f>
        <v>40112</v>
      </c>
      <c r="D120" s="19" t="n">
        <f aca="false">січень!P120</f>
        <v>8251.15</v>
      </c>
      <c r="E120" s="19" t="n">
        <f aca="false">січень!Q120</f>
        <v>0</v>
      </c>
      <c r="F120" s="20" t="n">
        <f aca="false">січень!F120</f>
        <v>0</v>
      </c>
      <c r="G120" s="21" t="n">
        <f aca="false">січень!G120</f>
        <v>62.6</v>
      </c>
      <c r="H120" s="21" t="n">
        <f aca="false">січень!H120</f>
        <v>0</v>
      </c>
      <c r="I120" s="22" t="n">
        <f aca="false">січень!I120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8507.81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січень!B121</f>
        <v>Перепеліцина Т.Ю.</v>
      </c>
      <c r="C121" s="18" t="str">
        <f aca="false">січень!C121</f>
        <v>40113</v>
      </c>
      <c r="D121" s="19" t="n">
        <f aca="false">січень!P121</f>
        <v>0</v>
      </c>
      <c r="E121" s="19" t="n">
        <f aca="false">січень!Q121</f>
        <v>26.2599999999999</v>
      </c>
      <c r="F121" s="20" t="n">
        <f aca="false">січень!F121</f>
        <v>0</v>
      </c>
      <c r="G121" s="21" t="n">
        <f aca="false">січень!G121</f>
        <v>34.7</v>
      </c>
      <c r="H121" s="21" t="n">
        <f aca="false">січень!H121</f>
        <v>0</v>
      </c>
      <c r="I121" s="22" t="n">
        <f aca="false">січень!I121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 t="n">
        <v>450</v>
      </c>
      <c r="P121" s="25" t="n">
        <f aca="false">IF(D121=0,IF((N121-E121-O121)&gt;0,(N121-E121-O121),0),IF((D121+N121-O121)&gt;0,(D121+N121-O121),0))</f>
        <v>0</v>
      </c>
      <c r="Q121" s="25" t="n">
        <f aca="false">IF(E121=0,IF((D121+N121-O121)&lt;0,ABS(D121+N121-O121),0),IF((N121-E121-O121)&lt;0,ABS(N121-E121-O121),0))</f>
        <v>333.99</v>
      </c>
    </row>
    <row r="122" customFormat="false" ht="15" hidden="false" customHeight="false" outlineLevel="0" collapsed="false">
      <c r="A122" s="17" t="s">
        <v>362</v>
      </c>
      <c r="B122" s="18" t="str">
        <f aca="false">січень!B122</f>
        <v>Свєтлова Т.Ю.</v>
      </c>
      <c r="C122" s="18" t="str">
        <f aca="false">січень!C122</f>
        <v>40114</v>
      </c>
      <c r="D122" s="19" t="n">
        <f aca="false">січень!P122</f>
        <v>1213.45</v>
      </c>
      <c r="E122" s="19" t="n">
        <f aca="false">січень!Q122</f>
        <v>0</v>
      </c>
      <c r="F122" s="20" t="n">
        <f aca="false">січень!F122</f>
        <v>0</v>
      </c>
      <c r="G122" s="21" t="n">
        <f aca="false">січень!G122</f>
        <v>49.72</v>
      </c>
      <c r="H122" s="21" t="n">
        <f aca="false">січень!H122</f>
        <v>0</v>
      </c>
      <c r="I122" s="22" t="n">
        <f aca="false">січень!I122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1417.3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січень!B123</f>
        <v>Маркова О.М.</v>
      </c>
      <c r="C123" s="18" t="str">
        <f aca="false">січень!C123</f>
        <v>40115</v>
      </c>
      <c r="D123" s="19" t="n">
        <f aca="false">січень!P123</f>
        <v>3222.92</v>
      </c>
      <c r="E123" s="19" t="n">
        <f aca="false">січень!Q123</f>
        <v>0</v>
      </c>
      <c r="F123" s="20" t="n">
        <f aca="false">січень!F123</f>
        <v>0</v>
      </c>
      <c r="G123" s="21" t="n">
        <f aca="false">січень!G123</f>
        <v>65.1</v>
      </c>
      <c r="H123" s="21" t="n">
        <f aca="false">січень!H123</f>
        <v>0</v>
      </c>
      <c r="I123" s="22" t="n">
        <f aca="false">січень!I123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3489.83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січень!B124</f>
        <v>Ракитська А.М.</v>
      </c>
      <c r="C124" s="18" t="str">
        <f aca="false">січень!C124</f>
        <v>40116</v>
      </c>
      <c r="D124" s="19" t="n">
        <f aca="false">січень!P124</f>
        <v>1709.78</v>
      </c>
      <c r="E124" s="19" t="n">
        <f aca="false">січень!Q124</f>
        <v>0</v>
      </c>
      <c r="F124" s="20" t="n">
        <f aca="false">січень!F124</f>
        <v>0</v>
      </c>
      <c r="G124" s="21" t="n">
        <f aca="false">січень!G124</f>
        <v>62.18</v>
      </c>
      <c r="H124" s="21" t="n">
        <f aca="false">січень!H124</f>
        <v>0</v>
      </c>
      <c r="I124" s="22" t="n">
        <f aca="false">січень!I124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1964.72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січень!B125</f>
        <v>Гусак К.С.</v>
      </c>
      <c r="C125" s="18" t="str">
        <f aca="false">січень!C125</f>
        <v>40117</v>
      </c>
      <c r="D125" s="19" t="n">
        <f aca="false">січень!P125</f>
        <v>1644.15</v>
      </c>
      <c r="E125" s="19" t="n">
        <f aca="false">січень!Q125</f>
        <v>0</v>
      </c>
      <c r="F125" s="20" t="n">
        <f aca="false">січень!F125</f>
        <v>0</v>
      </c>
      <c r="G125" s="21" t="n">
        <f aca="false">січень!G125</f>
        <v>35.1</v>
      </c>
      <c r="H125" s="21" t="n">
        <f aca="false">січень!H125</f>
        <v>0</v>
      </c>
      <c r="I125" s="22" t="n">
        <f aca="false">січень!I125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1788.06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січень!B126</f>
        <v>Пісоченко М.Г.</v>
      </c>
      <c r="C126" s="18" t="str">
        <f aca="false">січень!C126</f>
        <v>40118</v>
      </c>
      <c r="D126" s="19" t="n">
        <f aca="false">січень!P126</f>
        <v>1760.4</v>
      </c>
      <c r="E126" s="19" t="n">
        <f aca="false">січень!Q126</f>
        <v>0</v>
      </c>
      <c r="F126" s="20" t="n">
        <f aca="false">січень!F126</f>
        <v>0</v>
      </c>
      <c r="G126" s="21" t="n">
        <f aca="false">січень!G126</f>
        <v>49.8</v>
      </c>
      <c r="H126" s="21" t="n">
        <f aca="false">січень!H126</f>
        <v>0</v>
      </c>
      <c r="I126" s="22" t="n">
        <f aca="false">січень!I126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1964.58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січень!B127</f>
        <v>Столяр О.М.</v>
      </c>
      <c r="C127" s="18" t="str">
        <f aca="false">січень!C127</f>
        <v>40119</v>
      </c>
      <c r="D127" s="19" t="n">
        <f aca="false">січень!P127</f>
        <v>6767.19</v>
      </c>
      <c r="E127" s="19" t="n">
        <f aca="false">січень!Q127</f>
        <v>0</v>
      </c>
      <c r="F127" s="20" t="n">
        <f aca="false">січень!F127</f>
        <v>0</v>
      </c>
      <c r="G127" s="21" t="n">
        <f aca="false">січень!G127</f>
        <v>65.3</v>
      </c>
      <c r="H127" s="21" t="n">
        <f aca="false">січень!H127</f>
        <v>0</v>
      </c>
      <c r="I127" s="22" t="n">
        <f aca="false">січень!I127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7034.92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січень!B128</f>
        <v>Рєзніков В.П.</v>
      </c>
      <c r="C128" s="18" t="str">
        <f aca="false">січень!C128</f>
        <v>40120</v>
      </c>
      <c r="D128" s="19" t="n">
        <f aca="false">січень!P128</f>
        <v>256.690000000001</v>
      </c>
      <c r="E128" s="19" t="n">
        <f aca="false">січень!Q128</f>
        <v>0</v>
      </c>
      <c r="F128" s="20" t="n">
        <f aca="false">січень!F128</f>
        <v>0</v>
      </c>
      <c r="G128" s="21" t="n">
        <f aca="false">січень!G128</f>
        <v>62.44</v>
      </c>
      <c r="H128" s="21" t="n">
        <f aca="false">січень!H128</f>
        <v>0</v>
      </c>
      <c r="I128" s="22" t="n">
        <f aca="false">січень!I128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512.690000000001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січень!B129</f>
        <v>Золотоверха Я.І.</v>
      </c>
      <c r="C129" s="18" t="str">
        <f aca="false">січень!C129</f>
        <v>40121</v>
      </c>
      <c r="D129" s="19" t="n">
        <f aca="false">січень!P129</f>
        <v>8.5265128291212E-014</v>
      </c>
      <c r="E129" s="19" t="n">
        <f aca="false">січень!Q129</f>
        <v>0</v>
      </c>
      <c r="F129" s="20" t="n">
        <f aca="false">січень!F129</f>
        <v>0</v>
      </c>
      <c r="G129" s="21" t="n">
        <f aca="false">січень!G129</f>
        <v>35.6</v>
      </c>
      <c r="H129" s="21" t="n">
        <f aca="false">січень!H129</f>
        <v>0</v>
      </c>
      <c r="I129" s="22" t="n">
        <f aca="false">січень!I129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січень!B130</f>
        <v>Бурлаков А.В.</v>
      </c>
      <c r="C130" s="18" t="str">
        <f aca="false">січень!C130</f>
        <v>40122</v>
      </c>
      <c r="D130" s="19" t="n">
        <f aca="false">січень!P130</f>
        <v>65.1000000000002</v>
      </c>
      <c r="E130" s="19" t="n">
        <f aca="false">січень!Q130</f>
        <v>0</v>
      </c>
      <c r="F130" s="20" t="n">
        <f aca="false">січень!F130</f>
        <v>0</v>
      </c>
      <c r="G130" s="21" t="n">
        <f aca="false">січень!G130</f>
        <v>49.7</v>
      </c>
      <c r="H130" s="21" t="n">
        <f aca="false">січень!H130</f>
        <v>0</v>
      </c>
      <c r="I130" s="22" t="n">
        <f aca="false">січень!I130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203.77</v>
      </c>
      <c r="P130" s="25" t="n">
        <f aca="false">IF(D130=0,IF((N130-E130-O130)&gt;0,(N130-E130-O130),0),IF((D130+N130-O130)&gt;0,(D130+N130-O130),0))</f>
        <v>65.1000000000002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січень!B131</f>
        <v>Сикула О.Ю.</v>
      </c>
      <c r="C131" s="18" t="str">
        <f aca="false">січень!C131</f>
        <v>40123</v>
      </c>
      <c r="D131" s="19" t="n">
        <f aca="false">січень!P131</f>
        <v>2525.3</v>
      </c>
      <c r="E131" s="19" t="n">
        <f aca="false">січень!Q131</f>
        <v>0</v>
      </c>
      <c r="F131" s="20" t="n">
        <f aca="false">січень!F131</f>
        <v>0</v>
      </c>
      <c r="G131" s="21" t="n">
        <f aca="false">січень!G131</f>
        <v>65.15</v>
      </c>
      <c r="H131" s="21" t="n">
        <f aca="false">січень!H131</f>
        <v>0</v>
      </c>
      <c r="I131" s="22" t="n">
        <f aca="false">січень!I131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2792.42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січень!B132</f>
        <v>Арістов О.О.</v>
      </c>
      <c r="C132" s="18" t="str">
        <f aca="false">січень!C132</f>
        <v>40124</v>
      </c>
      <c r="D132" s="19" t="n">
        <f aca="false">січень!P132</f>
        <v>1056.12</v>
      </c>
      <c r="E132" s="19" t="n">
        <f aca="false">січень!Q132</f>
        <v>0</v>
      </c>
      <c r="F132" s="20" t="n">
        <f aca="false">січень!F132</f>
        <v>0</v>
      </c>
      <c r="G132" s="21" t="n">
        <f aca="false">січень!G132</f>
        <v>63</v>
      </c>
      <c r="H132" s="21" t="n">
        <f aca="false">січень!H132</f>
        <v>0</v>
      </c>
      <c r="I132" s="22" t="n">
        <f aca="false">січень!I132</f>
        <v>4.1</v>
      </c>
      <c r="J132" s="23" t="n">
        <f aca="false">ROUND(G132*I132,2)</f>
        <v>258.3</v>
      </c>
      <c r="K132" s="19"/>
      <c r="L132" s="19" t="n">
        <v>195.17</v>
      </c>
      <c r="M132" s="19"/>
      <c r="N132" s="19" t="n">
        <f aca="false">ROUND((G132*I132)-K132-L132-M132,2)</f>
        <v>63.13</v>
      </c>
      <c r="O132" s="19"/>
      <c r="P132" s="25" t="n">
        <f aca="false">IF(D132=0,IF((N132-E132-O132)&gt;0,(N132-E132-O132),0),IF((D132+N132-O132)&gt;0,(D132+N132-O132),0))</f>
        <v>1119.25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січень!B133</f>
        <v>Бондаренко Т.О.</v>
      </c>
      <c r="C133" s="18" t="str">
        <f aca="false">січень!C133</f>
        <v>40125</v>
      </c>
      <c r="D133" s="19" t="n">
        <f aca="false">січень!P133</f>
        <v>1236.59</v>
      </c>
      <c r="E133" s="19" t="n">
        <f aca="false">січень!Q133</f>
        <v>0</v>
      </c>
      <c r="F133" s="20" t="n">
        <f aca="false">січень!F133</f>
        <v>0</v>
      </c>
      <c r="G133" s="21" t="n">
        <f aca="false">січень!G133</f>
        <v>34.7</v>
      </c>
      <c r="H133" s="21" t="n">
        <f aca="false">січень!H133</f>
        <v>0</v>
      </c>
      <c r="I133" s="22" t="n">
        <f aca="false">січень!I133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1378.86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січень!B134</f>
        <v>Гайчев П.В.</v>
      </c>
      <c r="C134" s="18" t="str">
        <f aca="false">січень!C134</f>
        <v>40126</v>
      </c>
      <c r="D134" s="19" t="n">
        <f aca="false">січень!P134</f>
        <v>1601.04</v>
      </c>
      <c r="E134" s="19" t="n">
        <f aca="false">січень!Q134</f>
        <v>0</v>
      </c>
      <c r="F134" s="20" t="n">
        <f aca="false">січень!F134</f>
        <v>0</v>
      </c>
      <c r="G134" s="21" t="n">
        <f aca="false">січень!G134</f>
        <v>49.2</v>
      </c>
      <c r="H134" s="21" t="n">
        <f aca="false">січень!H134</f>
        <v>0</v>
      </c>
      <c r="I134" s="22" t="n">
        <f aca="false">січень!I134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1802.76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січень!B135</f>
        <v>Радченко О.С.</v>
      </c>
      <c r="C135" s="18" t="str">
        <f aca="false">січень!C135</f>
        <v>40127</v>
      </c>
      <c r="D135" s="19" t="n">
        <f aca="false">січень!P135</f>
        <v>261.299999999999</v>
      </c>
      <c r="E135" s="19" t="n">
        <f aca="false">січень!Q135</f>
        <v>0</v>
      </c>
      <c r="F135" s="20" t="n">
        <f aca="false">січень!F135</f>
        <v>0</v>
      </c>
      <c r="G135" s="21" t="n">
        <f aca="false">січень!G135</f>
        <v>65.15</v>
      </c>
      <c r="H135" s="21" t="n">
        <f aca="false">січень!H135</f>
        <v>0</v>
      </c>
      <c r="I135" s="22" t="n">
        <f aca="false">січень!I135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528.419999999999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січень!B136</f>
        <v>Шилін С.М.</v>
      </c>
      <c r="C136" s="18" t="str">
        <f aca="false">січень!C136</f>
        <v>40128</v>
      </c>
      <c r="D136" s="19" t="n">
        <f aca="false">січень!P136</f>
        <v>1532.01</v>
      </c>
      <c r="E136" s="19" t="n">
        <f aca="false">січень!Q136</f>
        <v>0</v>
      </c>
      <c r="F136" s="20" t="n">
        <f aca="false">січень!F136</f>
        <v>0</v>
      </c>
      <c r="G136" s="21" t="n">
        <f aca="false">січень!G136</f>
        <v>62.3</v>
      </c>
      <c r="H136" s="21" t="n">
        <f aca="false">січень!H136</f>
        <v>0</v>
      </c>
      <c r="I136" s="22" t="n">
        <f aca="false">січень!I136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1787.44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січень!B137</f>
        <v>Петрулевич В.М.</v>
      </c>
      <c r="C137" s="18" t="str">
        <f aca="false">січень!C137</f>
        <v>40129</v>
      </c>
      <c r="D137" s="19" t="n">
        <f aca="false">січень!P137</f>
        <v>1257.99</v>
      </c>
      <c r="E137" s="19" t="n">
        <f aca="false">січень!Q137</f>
        <v>0</v>
      </c>
      <c r="F137" s="20" t="n">
        <f aca="false">січень!F137</f>
        <v>0</v>
      </c>
      <c r="G137" s="21" t="n">
        <f aca="false">січень!G137</f>
        <v>35.3</v>
      </c>
      <c r="H137" s="21" t="n">
        <f aca="false">січень!H137</f>
        <v>0</v>
      </c>
      <c r="I137" s="22" t="n">
        <f aca="false">січень!I137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1402.72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січень!B138</f>
        <v>Кривошеєва Л.М.</v>
      </c>
      <c r="C138" s="18" t="str">
        <f aca="false">січень!C138</f>
        <v>40130</v>
      </c>
      <c r="D138" s="19" t="n">
        <f aca="false">січень!P138</f>
        <v>2176.52</v>
      </c>
      <c r="E138" s="19" t="n">
        <f aca="false">січень!Q138</f>
        <v>0</v>
      </c>
      <c r="F138" s="20" t="n">
        <f aca="false">січень!F138</f>
        <v>0</v>
      </c>
      <c r="G138" s="21" t="n">
        <f aca="false">січень!G138</f>
        <v>49.78</v>
      </c>
      <c r="H138" s="21" t="n">
        <f aca="false">січень!H138</f>
        <v>0</v>
      </c>
      <c r="I138" s="22" t="n">
        <f aca="false">січень!I138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2380.62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січень!B139</f>
        <v>Харченко І.С.</v>
      </c>
      <c r="C139" s="18" t="str">
        <f aca="false">січень!C139</f>
        <v>40131</v>
      </c>
      <c r="D139" s="19" t="n">
        <f aca="false">січень!P139</f>
        <v>1335.02</v>
      </c>
      <c r="E139" s="19" t="n">
        <f aca="false">січень!Q139</f>
        <v>0</v>
      </c>
      <c r="F139" s="20" t="n">
        <f aca="false">січень!F139</f>
        <v>0</v>
      </c>
      <c r="G139" s="21" t="n">
        <f aca="false">січень!G139</f>
        <v>65.93</v>
      </c>
      <c r="H139" s="21" t="n">
        <f aca="false">січень!H139</f>
        <v>0</v>
      </c>
      <c r="I139" s="22" t="n">
        <f aca="false">січень!I139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v>300</v>
      </c>
      <c r="P139" s="25" t="n">
        <f aca="false">IF(D139=0,IF((N139-E139-O139)&gt;0,(N139-E139-O139),0),IF((D139+N139-O139)&gt;0,(D139+N139-O139),0))</f>
        <v>1305.33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січень!B140</f>
        <v>Куриленко І.О.</v>
      </c>
      <c r="C140" s="18" t="str">
        <f aca="false">січень!C140</f>
        <v>40132</v>
      </c>
      <c r="D140" s="19" t="n">
        <f aca="false">січень!P140</f>
        <v>3322.13</v>
      </c>
      <c r="E140" s="19" t="n">
        <f aca="false">січень!Q140</f>
        <v>0</v>
      </c>
      <c r="F140" s="20" t="n">
        <f aca="false">січень!F140</f>
        <v>0</v>
      </c>
      <c r="G140" s="21" t="n">
        <f aca="false">січень!G140</f>
        <v>62.36</v>
      </c>
      <c r="H140" s="21" t="n">
        <f aca="false">січень!H140</f>
        <v>0</v>
      </c>
      <c r="I140" s="22" t="n">
        <f aca="false">січень!I140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3577.81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січень!B141</f>
        <v>Єлсукова В.М.</v>
      </c>
      <c r="C141" s="18" t="str">
        <f aca="false">січень!C141</f>
        <v>40133</v>
      </c>
      <c r="D141" s="19" t="n">
        <f aca="false">січень!P141</f>
        <v>1870.83</v>
      </c>
      <c r="E141" s="19" t="n">
        <f aca="false">січень!Q141</f>
        <v>0</v>
      </c>
      <c r="F141" s="20" t="n">
        <f aca="false">січень!F141</f>
        <v>0</v>
      </c>
      <c r="G141" s="21" t="n">
        <f aca="false">січень!G141</f>
        <v>35.1</v>
      </c>
      <c r="H141" s="21" t="n">
        <f aca="false">січень!H141</f>
        <v>0</v>
      </c>
      <c r="I141" s="22" t="n">
        <f aca="false">січень!I141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2014.74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січень!B142</f>
        <v>Пімонова М.В.</v>
      </c>
      <c r="C142" s="18" t="str">
        <f aca="false">січень!C142</f>
        <v>40134</v>
      </c>
      <c r="D142" s="19" t="n">
        <f aca="false">січень!P142</f>
        <v>4175.46</v>
      </c>
      <c r="E142" s="19" t="n">
        <f aca="false">січень!Q142</f>
        <v>0</v>
      </c>
      <c r="F142" s="20" t="n">
        <f aca="false">січень!F142</f>
        <v>0</v>
      </c>
      <c r="G142" s="21" t="n">
        <f aca="false">січень!G142</f>
        <v>49.47</v>
      </c>
      <c r="H142" s="21" t="n">
        <f aca="false">січень!H142</f>
        <v>0</v>
      </c>
      <c r="I142" s="22" t="n">
        <f aca="false">січень!I142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4378.29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січень!B143</f>
        <v>Осипенко В.В.</v>
      </c>
      <c r="C143" s="18" t="str">
        <f aca="false">січень!C143</f>
        <v>40135</v>
      </c>
      <c r="D143" s="19" t="n">
        <f aca="false">січень!P143</f>
        <v>1344.04</v>
      </c>
      <c r="E143" s="19" t="n">
        <f aca="false">січень!Q143</f>
        <v>0</v>
      </c>
      <c r="F143" s="20" t="n">
        <f aca="false">січень!F143</f>
        <v>0</v>
      </c>
      <c r="G143" s="21" t="n">
        <f aca="false">січень!G143</f>
        <v>65.65</v>
      </c>
      <c r="H143" s="21" t="n">
        <f aca="false">січень!H143</f>
        <v>0</v>
      </c>
      <c r="I143" s="22" t="n">
        <f aca="false">січень!I143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1613.21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січень!B144</f>
        <v>Друзь О.О.</v>
      </c>
      <c r="C144" s="18" t="str">
        <f aca="false">січень!C144</f>
        <v>40136</v>
      </c>
      <c r="D144" s="19" t="n">
        <f aca="false">січень!P144</f>
        <v>2036.2</v>
      </c>
      <c r="E144" s="19" t="n">
        <f aca="false">січень!Q144</f>
        <v>0</v>
      </c>
      <c r="F144" s="20" t="n">
        <f aca="false">січень!F144</f>
        <v>0</v>
      </c>
      <c r="G144" s="21" t="n">
        <f aca="false">січень!G144</f>
        <v>62.1</v>
      </c>
      <c r="H144" s="21" t="n">
        <f aca="false">січень!H144</f>
        <v>0</v>
      </c>
      <c r="I144" s="22" t="n">
        <f aca="false">січень!I144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2290.81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січень!B145</f>
        <v>Вовченко Р.І.</v>
      </c>
      <c r="C145" s="18" t="str">
        <f aca="false">січень!C145</f>
        <v>40137</v>
      </c>
      <c r="D145" s="19" t="n">
        <f aca="false">січень!P145</f>
        <v>1187.52</v>
      </c>
      <c r="E145" s="19" t="n">
        <f aca="false">січень!Q145</f>
        <v>0</v>
      </c>
      <c r="F145" s="20" t="n">
        <f aca="false">січень!F145</f>
        <v>0</v>
      </c>
      <c r="G145" s="21" t="n">
        <f aca="false">січень!G145</f>
        <v>35.2</v>
      </c>
      <c r="H145" s="21" t="n">
        <f aca="false">січень!H145</f>
        <v>0</v>
      </c>
      <c r="I145" s="22" t="n">
        <f aca="false">січень!I145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1331.84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січень!B146</f>
        <v>Плакун Д.В.</v>
      </c>
      <c r="C146" s="18" t="str">
        <f aca="false">січень!C146</f>
        <v>40138</v>
      </c>
      <c r="D146" s="19" t="n">
        <f aca="false">січень!P146</f>
        <v>204.27</v>
      </c>
      <c r="E146" s="19" t="n">
        <f aca="false">січень!Q146</f>
        <v>0</v>
      </c>
      <c r="F146" s="20" t="n">
        <f aca="false">січень!F146</f>
        <v>0</v>
      </c>
      <c r="G146" s="21" t="n">
        <f aca="false">січень!G146</f>
        <v>49.9</v>
      </c>
      <c r="H146" s="21" t="n">
        <f aca="false">січень!H146</f>
        <v>0</v>
      </c>
      <c r="I146" s="22" t="n">
        <f aca="false">січень!I146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408.86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січень!B147</f>
        <v>Гаврилова Ю.О.</v>
      </c>
      <c r="C147" s="18" t="str">
        <f aca="false">січень!C147</f>
        <v>40139</v>
      </c>
      <c r="D147" s="19" t="n">
        <f aca="false">січень!P147</f>
        <v>193.44</v>
      </c>
      <c r="E147" s="19" t="n">
        <f aca="false">січень!Q147</f>
        <v>0</v>
      </c>
      <c r="F147" s="20" t="n">
        <f aca="false">січень!F147</f>
        <v>0</v>
      </c>
      <c r="G147" s="21" t="n">
        <f aca="false">січень!G147</f>
        <v>65.8</v>
      </c>
      <c r="H147" s="21" t="n">
        <f aca="false">січень!H147</f>
        <v>0</v>
      </c>
      <c r="I147" s="22" t="n">
        <f aca="false">січень!I147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463.22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січень!B148</f>
        <v>Корзун Г.М.</v>
      </c>
      <c r="C148" s="18" t="str">
        <f aca="false">січень!C148</f>
        <v>40140</v>
      </c>
      <c r="D148" s="19" t="n">
        <f aca="false">січень!P148</f>
        <v>2617.64</v>
      </c>
      <c r="E148" s="19" t="n">
        <f aca="false">січень!Q148</f>
        <v>0</v>
      </c>
      <c r="F148" s="20" t="n">
        <f aca="false">січень!F148</f>
        <v>0</v>
      </c>
      <c r="G148" s="21" t="n">
        <f aca="false">січень!G148</f>
        <v>63.2</v>
      </c>
      <c r="H148" s="21" t="n">
        <f aca="false">січень!H148</f>
        <v>0</v>
      </c>
      <c r="I148" s="22" t="n">
        <f aca="false">січень!I148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2876.76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січень!B149</f>
        <v>Бондаренко Л.Л.</v>
      </c>
      <c r="C149" s="18" t="str">
        <f aca="false">січень!C149</f>
        <v>40141</v>
      </c>
      <c r="D149" s="19" t="n">
        <f aca="false">січень!P149</f>
        <v>949.54</v>
      </c>
      <c r="E149" s="19" t="n">
        <f aca="false">січень!Q149</f>
        <v>0</v>
      </c>
      <c r="F149" s="20" t="n">
        <f aca="false">січень!F149</f>
        <v>0</v>
      </c>
      <c r="G149" s="21" t="n">
        <f aca="false">січень!G149</f>
        <v>34.9</v>
      </c>
      <c r="H149" s="21" t="n">
        <f aca="false">січень!H149</f>
        <v>0</v>
      </c>
      <c r="I149" s="22" t="n">
        <f aca="false">січень!I149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 t="n">
        <v>520</v>
      </c>
      <c r="P149" s="25" t="n">
        <f aca="false">IF(D149=0,IF((N149-E149-O149)&gt;0,(N149-E149-O149),0),IF((D149+N149-O149)&gt;0,(D149+N149-O149),0))</f>
        <v>572.63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січень!B150</f>
        <v>Капелюш Н.А.</v>
      </c>
      <c r="C150" s="18" t="str">
        <f aca="false">січень!C150</f>
        <v>40142</v>
      </c>
      <c r="D150" s="19" t="n">
        <f aca="false">січень!P150</f>
        <v>2273.04</v>
      </c>
      <c r="E150" s="19" t="n">
        <f aca="false">січень!Q150</f>
        <v>0</v>
      </c>
      <c r="F150" s="20" t="n">
        <f aca="false">січень!F150</f>
        <v>0</v>
      </c>
      <c r="G150" s="21" t="n">
        <f aca="false">січень!G150</f>
        <v>50.4</v>
      </c>
      <c r="H150" s="21" t="n">
        <f aca="false">січень!H150</f>
        <v>0</v>
      </c>
      <c r="I150" s="22" t="n">
        <f aca="false">січень!I150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2479.68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січень!B151</f>
        <v>Кістрінь Л.П.</v>
      </c>
      <c r="C151" s="18" t="str">
        <f aca="false">січень!C151</f>
        <v>40143</v>
      </c>
      <c r="D151" s="19" t="n">
        <f aca="false">січень!P151</f>
        <v>4262.57</v>
      </c>
      <c r="E151" s="19" t="n">
        <f aca="false">січень!Q151</f>
        <v>0</v>
      </c>
      <c r="F151" s="20" t="n">
        <f aca="false">січень!F151</f>
        <v>0</v>
      </c>
      <c r="G151" s="21" t="n">
        <f aca="false">січень!G151</f>
        <v>65.2</v>
      </c>
      <c r="H151" s="21" t="n">
        <f aca="false">січень!H151</f>
        <v>0</v>
      </c>
      <c r="I151" s="22" t="n">
        <f aca="false">січень!I151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4529.89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січень!B152</f>
        <v>Козьміна І.В.</v>
      </c>
      <c r="C152" s="18" t="str">
        <f aca="false">січень!C152</f>
        <v>50144</v>
      </c>
      <c r="D152" s="19" t="n">
        <f aca="false">січень!P152</f>
        <v>264.74</v>
      </c>
      <c r="E152" s="19" t="n">
        <f aca="false">січень!Q152</f>
        <v>0</v>
      </c>
      <c r="F152" s="20" t="n">
        <f aca="false">січень!F152</f>
        <v>0</v>
      </c>
      <c r="G152" s="21" t="n">
        <f aca="false">січень!G152</f>
        <v>64.57</v>
      </c>
      <c r="H152" s="21" t="n">
        <f aca="false">січень!H152</f>
        <v>0</v>
      </c>
      <c r="I152" s="22" t="n">
        <f aca="false">січень!I152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529.48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січень!B153</f>
        <v>Чала С.С.</v>
      </c>
      <c r="C153" s="18" t="str">
        <f aca="false">січень!C153</f>
        <v>50145</v>
      </c>
      <c r="D153" s="19" t="n">
        <f aca="false">січень!P153</f>
        <v>4051.76</v>
      </c>
      <c r="E153" s="19" t="n">
        <f aca="false">січень!Q153</f>
        <v>0</v>
      </c>
      <c r="F153" s="20" t="n">
        <f aca="false">січень!F153</f>
        <v>0</v>
      </c>
      <c r="G153" s="21" t="n">
        <f aca="false">січень!G153</f>
        <v>48.7</v>
      </c>
      <c r="H153" s="21" t="n">
        <f aca="false">січень!H153</f>
        <v>0</v>
      </c>
      <c r="I153" s="22" t="n">
        <f aca="false">січень!I153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4251.43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січень!B154</f>
        <v>Свєтайлова І.М.</v>
      </c>
      <c r="C154" s="18" t="str">
        <f aca="false">січень!C154</f>
        <v>50146</v>
      </c>
      <c r="D154" s="19" t="n">
        <f aca="false">січень!P154</f>
        <v>1726.92</v>
      </c>
      <c r="E154" s="19" t="n">
        <f aca="false">січень!Q154</f>
        <v>0</v>
      </c>
      <c r="F154" s="20" t="n">
        <f aca="false">січень!F154</f>
        <v>0</v>
      </c>
      <c r="G154" s="21" t="n">
        <f aca="false">січень!G154</f>
        <v>35.1</v>
      </c>
      <c r="H154" s="21" t="n">
        <f aca="false">січень!H154</f>
        <v>0</v>
      </c>
      <c r="I154" s="22" t="n">
        <f aca="false">січень!I154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1870.83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січень!B155</f>
        <v>Неделько Д.І.</v>
      </c>
      <c r="C155" s="18" t="str">
        <f aca="false">січень!C155</f>
        <v>50147</v>
      </c>
      <c r="D155" s="19" t="n">
        <f aca="false">січень!P155</f>
        <v>0</v>
      </c>
      <c r="E155" s="19" t="n">
        <f aca="false">січень!Q155</f>
        <v>219.64</v>
      </c>
      <c r="F155" s="20" t="n">
        <f aca="false">січень!F155</f>
        <v>0</v>
      </c>
      <c r="G155" s="21" t="n">
        <f aca="false">січень!G155</f>
        <v>53.57</v>
      </c>
      <c r="H155" s="21" t="n">
        <f aca="false">січень!H155</f>
        <v>0</v>
      </c>
      <c r="I155" s="22" t="n">
        <f aca="false">січень!I155</f>
        <v>4.1</v>
      </c>
      <c r="J155" s="23" t="n">
        <f aca="false">ROUND(G155*I155,2)</f>
        <v>219.64</v>
      </c>
      <c r="K155" s="19"/>
      <c r="L155" s="19" t="n">
        <v>219.64</v>
      </c>
      <c r="M155" s="19"/>
      <c r="N155" s="19" t="n">
        <f aca="false">ROUND((G155*I155)-K155-L155-M155,2)</f>
        <v>-0</v>
      </c>
      <c r="O155" s="19"/>
      <c r="P155" s="25" t="n">
        <f aca="false">IF(D155=0,IF((N155-E155-O155)&gt;0,(N155-E155-O155),0),IF((D155+N155-O155)&gt;0,(D155+N155-O155),0))</f>
        <v>0</v>
      </c>
      <c r="Q155" s="25" t="n">
        <f aca="false">IF(E155=0,IF((D155+N155-O155)&lt;0,ABS(D155+N155-O155),0),IF((N155-E155-O155)&lt;0,ABS(N155-E155-O155),0))</f>
        <v>219.64</v>
      </c>
    </row>
    <row r="156" customFormat="false" ht="15" hidden="false" customHeight="false" outlineLevel="0" collapsed="false">
      <c r="A156" s="17" t="s">
        <v>464</v>
      </c>
      <c r="B156" s="18" t="str">
        <f aca="false">січень!B156</f>
        <v>Самойленко Л.К.</v>
      </c>
      <c r="C156" s="18" t="str">
        <f aca="false">січень!C156</f>
        <v>50148</v>
      </c>
      <c r="D156" s="19" t="n">
        <f aca="false">січень!P156</f>
        <v>0</v>
      </c>
      <c r="E156" s="19" t="n">
        <f aca="false">січень!Q156</f>
        <v>769.61</v>
      </c>
      <c r="F156" s="20" t="n">
        <f aca="false">січень!F156</f>
        <v>0</v>
      </c>
      <c r="G156" s="21" t="n">
        <f aca="false">січень!G156</f>
        <v>65.7</v>
      </c>
      <c r="H156" s="21" t="n">
        <f aca="false">січень!H156</f>
        <v>0</v>
      </c>
      <c r="I156" s="22" t="n">
        <f aca="false">січень!I156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806.26</v>
      </c>
    </row>
    <row r="157" customFormat="false" ht="15" hidden="false" customHeight="false" outlineLevel="0" collapsed="false">
      <c r="A157" s="17" t="s">
        <v>467</v>
      </c>
      <c r="B157" s="18" t="str">
        <f aca="false">січень!B157</f>
        <v>Павлов Ю.В.</v>
      </c>
      <c r="C157" s="18" t="str">
        <f aca="false">січень!C157</f>
        <v>50149</v>
      </c>
      <c r="D157" s="19" t="n">
        <f aca="false">січень!P157</f>
        <v>1753.88</v>
      </c>
      <c r="E157" s="19" t="n">
        <f aca="false">січень!Q157</f>
        <v>0</v>
      </c>
      <c r="F157" s="20" t="n">
        <f aca="false">січень!F157</f>
        <v>0</v>
      </c>
      <c r="G157" s="21" t="n">
        <f aca="false">січень!G157</f>
        <v>49.78</v>
      </c>
      <c r="H157" s="21" t="n">
        <f aca="false">січень!H157</f>
        <v>0</v>
      </c>
      <c r="I157" s="22" t="n">
        <f aca="false">січень!I157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1957.98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січень!B158</f>
        <v>Коваленко Т.М.</v>
      </c>
      <c r="C158" s="18" t="str">
        <f aca="false">січень!C158</f>
        <v>50150</v>
      </c>
      <c r="D158" s="19" t="n">
        <f aca="false">січень!P158</f>
        <v>1865.5</v>
      </c>
      <c r="E158" s="19" t="n">
        <f aca="false">січень!Q158</f>
        <v>0</v>
      </c>
      <c r="F158" s="20" t="n">
        <f aca="false">січень!F158</f>
        <v>0</v>
      </c>
      <c r="G158" s="21" t="n">
        <f aca="false">січень!G158</f>
        <v>35</v>
      </c>
      <c r="H158" s="21" t="n">
        <f aca="false">січень!H158</f>
        <v>0</v>
      </c>
      <c r="I158" s="22" t="n">
        <f aca="false">січень!I158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2009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січень!B159</f>
        <v>Рощенко Л.Б.</v>
      </c>
      <c r="C159" s="18" t="str">
        <f aca="false">січень!C159</f>
        <v>50151</v>
      </c>
      <c r="D159" s="19" t="n">
        <f aca="false">січень!P159</f>
        <v>2286.42</v>
      </c>
      <c r="E159" s="19" t="n">
        <f aca="false">січень!Q159</f>
        <v>0</v>
      </c>
      <c r="F159" s="20" t="n">
        <f aca="false">січень!F159</f>
        <v>0</v>
      </c>
      <c r="G159" s="21" t="n">
        <f aca="false">січень!G159</f>
        <v>62.08</v>
      </c>
      <c r="H159" s="21" t="n">
        <f aca="false">січень!H159</f>
        <v>0</v>
      </c>
      <c r="I159" s="22" t="n">
        <f aca="false">січень!I159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2540.95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січень!B160</f>
        <v>Галушко С.Т.</v>
      </c>
      <c r="C160" s="18" t="str">
        <f aca="false">січень!C160</f>
        <v>50152</v>
      </c>
      <c r="D160" s="19" t="n">
        <f aca="false">січень!P160</f>
        <v>270.03</v>
      </c>
      <c r="E160" s="19" t="n">
        <f aca="false">січень!Q160</f>
        <v>0</v>
      </c>
      <c r="F160" s="20" t="n">
        <f aca="false">січень!F160</f>
        <v>0</v>
      </c>
      <c r="G160" s="21" t="n">
        <f aca="false">січень!G160</f>
        <v>65.86</v>
      </c>
      <c r="H160" s="21" t="n">
        <f aca="false">січень!H160</f>
        <v>0</v>
      </c>
      <c r="I160" s="22" t="n">
        <f aca="false">січень!I160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 t="n">
        <v>270.03</v>
      </c>
      <c r="P160" s="25" t="n">
        <f aca="false">IF(D160=0,IF((N160-E160-O160)&gt;0,(N160-E160-O160),0),IF((D160+N160-O160)&gt;0,(D160+N160-O160),0))</f>
        <v>270.03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січень!B161</f>
        <v>Наумова Л.Я.</v>
      </c>
      <c r="C161" s="18" t="str">
        <f aca="false">січень!C161</f>
        <v>50153</v>
      </c>
      <c r="D161" s="19" t="n">
        <f aca="false">січень!P161</f>
        <v>2206.4</v>
      </c>
      <c r="E161" s="19" t="n">
        <f aca="false">січень!Q161</f>
        <v>0</v>
      </c>
      <c r="F161" s="20" t="n">
        <f aca="false">січень!F161</f>
        <v>0</v>
      </c>
      <c r="G161" s="21" t="n">
        <f aca="false">січень!G161</f>
        <v>49.95</v>
      </c>
      <c r="H161" s="21" t="n">
        <f aca="false">січень!H161</f>
        <v>0</v>
      </c>
      <c r="I161" s="22" t="n">
        <f aca="false">січень!I161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2411.2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січень!B162</f>
        <v>Грєк В.С.</v>
      </c>
      <c r="C162" s="18" t="str">
        <f aca="false">січень!C162</f>
        <v>50154</v>
      </c>
      <c r="D162" s="19" t="n">
        <f aca="false">січень!P162</f>
        <v>0</v>
      </c>
      <c r="E162" s="19" t="n">
        <f aca="false">січень!Q162</f>
        <v>5.54999999999995</v>
      </c>
      <c r="F162" s="20" t="n">
        <f aca="false">січень!F162</f>
        <v>0</v>
      </c>
      <c r="G162" s="21" t="n">
        <f aca="false">січень!G162</f>
        <v>33.9</v>
      </c>
      <c r="H162" s="21" t="n">
        <f aca="false">січень!H162</f>
        <v>0</v>
      </c>
      <c r="I162" s="22" t="n">
        <f aca="false">січень!I162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133.44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січень!B163</f>
        <v>Пермінов О.А.</v>
      </c>
      <c r="C163" s="18" t="str">
        <f aca="false">січень!C163</f>
        <v>50155</v>
      </c>
      <c r="D163" s="19" t="n">
        <f aca="false">січень!P163</f>
        <v>461</v>
      </c>
      <c r="E163" s="19" t="n">
        <f aca="false">січень!Q163</f>
        <v>0</v>
      </c>
      <c r="F163" s="20" t="n">
        <f aca="false">січень!F163</f>
        <v>0</v>
      </c>
      <c r="G163" s="21" t="n">
        <f aca="false">січень!G163</f>
        <v>62.43</v>
      </c>
      <c r="H163" s="21" t="n">
        <f aca="false">січень!H163</f>
        <v>0</v>
      </c>
      <c r="I163" s="22" t="n">
        <f aca="false">січень!I163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 t="n">
        <v>1000</v>
      </c>
      <c r="P163" s="25" t="n">
        <f aca="false">IF(D163=0,IF((N163-E163-O163)&gt;0,(N163-E163-O163),0),IF((D163+N163-O163)&gt;0,(D163+N163-O163),0))</f>
        <v>0</v>
      </c>
      <c r="Q163" s="25" t="n">
        <f aca="false">IF(E163=0,IF((D163+N163-O163)&lt;0,ABS(D163+N163-O163),0),IF((N163-E163-O163)&lt;0,ABS(N163-E163-O163),0))</f>
        <v>283.04</v>
      </c>
    </row>
    <row r="164" customFormat="false" ht="15" hidden="false" customHeight="false" outlineLevel="0" collapsed="false">
      <c r="A164" s="17" t="s">
        <v>488</v>
      </c>
      <c r="B164" s="18" t="str">
        <f aca="false">січень!B164</f>
        <v>Рябчук Л.П.</v>
      </c>
      <c r="C164" s="18" t="str">
        <f aca="false">січень!C164</f>
        <v>50156</v>
      </c>
      <c r="D164" s="19" t="n">
        <f aca="false">січень!P164</f>
        <v>1691.04</v>
      </c>
      <c r="E164" s="19" t="n">
        <f aca="false">січень!Q164</f>
        <v>0</v>
      </c>
      <c r="F164" s="20" t="n">
        <f aca="false">січень!F164</f>
        <v>0</v>
      </c>
      <c r="G164" s="21" t="n">
        <f aca="false">січень!G164</f>
        <v>64.8</v>
      </c>
      <c r="H164" s="21" t="n">
        <f aca="false">січень!H164</f>
        <v>0</v>
      </c>
      <c r="I164" s="22" t="n">
        <f aca="false">січень!I164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1956.72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січень!B165</f>
        <v>Копасова Л.Б.</v>
      </c>
      <c r="C165" s="18" t="str">
        <f aca="false">січень!C165</f>
        <v>50157</v>
      </c>
      <c r="D165" s="19" t="n">
        <f aca="false">січень!P165</f>
        <v>1614.14</v>
      </c>
      <c r="E165" s="19" t="n">
        <f aca="false">січень!Q165</f>
        <v>0</v>
      </c>
      <c r="F165" s="20" t="n">
        <f aca="false">січень!F165</f>
        <v>0</v>
      </c>
      <c r="G165" s="21" t="n">
        <f aca="false">січень!G165</f>
        <v>49.4</v>
      </c>
      <c r="H165" s="21" t="n">
        <f aca="false">січень!H165</f>
        <v>0</v>
      </c>
      <c r="I165" s="22" t="n">
        <f aca="false">січень!I165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1816.68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січень!B166</f>
        <v>Киричинська Г.Я.</v>
      </c>
      <c r="C166" s="18" t="str">
        <f aca="false">січень!C166</f>
        <v>50158</v>
      </c>
      <c r="D166" s="19" t="n">
        <f aca="false">січень!P166</f>
        <v>588.299999999997</v>
      </c>
      <c r="E166" s="19" t="n">
        <f aca="false">січень!Q166</f>
        <v>0</v>
      </c>
      <c r="F166" s="20" t="n">
        <f aca="false">січень!F166</f>
        <v>0</v>
      </c>
      <c r="G166" s="21" t="n">
        <f aca="false">січень!G166</f>
        <v>35.1</v>
      </c>
      <c r="H166" s="21" t="n">
        <f aca="false">січень!H166</f>
        <v>0</v>
      </c>
      <c r="I166" s="22" t="n">
        <f aca="false">січень!I166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732.209999999997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січень!B167</f>
        <v>Бутрій К.В.</v>
      </c>
      <c r="C167" s="18" t="str">
        <f aca="false">січень!C167</f>
        <v>50159</v>
      </c>
      <c r="D167" s="19" t="n">
        <f aca="false">січень!P167</f>
        <v>1921.41</v>
      </c>
      <c r="E167" s="19" t="n">
        <f aca="false">січень!Q167</f>
        <v>0</v>
      </c>
      <c r="F167" s="20" t="n">
        <f aca="false">січень!F167</f>
        <v>0</v>
      </c>
      <c r="G167" s="21" t="n">
        <f aca="false">січень!G167</f>
        <v>62.4</v>
      </c>
      <c r="H167" s="21" t="n">
        <f aca="false">січень!H167</f>
        <v>0</v>
      </c>
      <c r="I167" s="22" t="n">
        <f aca="false">січень!I167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2177.25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січень!B168</f>
        <v>Кузьома Г.І.</v>
      </c>
      <c r="C168" s="18" t="str">
        <f aca="false">січень!C168</f>
        <v>50160</v>
      </c>
      <c r="D168" s="19" t="n">
        <f aca="false">січень!P168</f>
        <v>0</v>
      </c>
      <c r="E168" s="19" t="n">
        <f aca="false">січень!Q168</f>
        <v>377.52</v>
      </c>
      <c r="F168" s="20" t="n">
        <f aca="false">січень!F168</f>
        <v>0</v>
      </c>
      <c r="G168" s="21" t="n">
        <f aca="false">січень!G168</f>
        <v>65.5</v>
      </c>
      <c r="H168" s="21" t="n">
        <f aca="false">січень!H168</f>
        <v>0</v>
      </c>
      <c r="I168" s="22" t="n">
        <f aca="false">січень!I168</f>
        <v>4.1</v>
      </c>
      <c r="J168" s="23" t="n">
        <f aca="false">ROUND(G168*I168,2)</f>
        <v>268.55</v>
      </c>
      <c r="K168" s="19"/>
      <c r="L168" s="19" t="n">
        <v>268.55</v>
      </c>
      <c r="M168" s="19"/>
      <c r="N168" s="19" t="n">
        <f aca="false">ROUND((G168*I168)-K168-L168-M168,2)</f>
        <v>0</v>
      </c>
      <c r="O168" s="19"/>
      <c r="P168" s="25" t="n">
        <f aca="false">IF(D168=0,IF((N168-E168-O168)&gt;0,(N168-E168-O168),0),IF((D168+N168-O168)&gt;0,(D168+N168-O168),0))</f>
        <v>0</v>
      </c>
      <c r="Q168" s="25" t="n">
        <f aca="false">IF(E168=0,IF((D168+N168-O168)&lt;0,ABS(D168+N168-O168),0),IF((N168-E168-O168)&lt;0,ABS(N168-E168-O168),0))</f>
        <v>377.52</v>
      </c>
    </row>
    <row r="169" customFormat="false" ht="15" hidden="false" customHeight="false" outlineLevel="0" collapsed="false">
      <c r="A169" s="17" t="s">
        <v>503</v>
      </c>
      <c r="B169" s="18" t="str">
        <f aca="false">січень!B169</f>
        <v>Павленко В.М.</v>
      </c>
      <c r="C169" s="18" t="str">
        <f aca="false">січень!C169</f>
        <v>50161</v>
      </c>
      <c r="D169" s="19" t="n">
        <f aca="false">січень!P169</f>
        <v>2661.75</v>
      </c>
      <c r="E169" s="19" t="n">
        <f aca="false">січень!Q169</f>
        <v>0</v>
      </c>
      <c r="F169" s="20" t="n">
        <f aca="false">січень!F169</f>
        <v>0</v>
      </c>
      <c r="G169" s="21" t="n">
        <f aca="false">січень!G169</f>
        <v>49.94</v>
      </c>
      <c r="H169" s="21" t="n">
        <f aca="false">січень!H169</f>
        <v>0</v>
      </c>
      <c r="I169" s="22" t="n">
        <f aca="false">січень!I169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2866.5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січень!B170</f>
        <v>Качуровська С.А.</v>
      </c>
      <c r="C170" s="18" t="str">
        <f aca="false">січень!C170</f>
        <v>50162</v>
      </c>
      <c r="D170" s="19" t="n">
        <f aca="false">січень!P170</f>
        <v>108.16</v>
      </c>
      <c r="E170" s="19" t="n">
        <f aca="false">січень!Q170</f>
        <v>0</v>
      </c>
      <c r="F170" s="20" t="n">
        <f aca="false">січень!F170</f>
        <v>0</v>
      </c>
      <c r="G170" s="21" t="n">
        <f aca="false">січень!G170</f>
        <v>35</v>
      </c>
      <c r="H170" s="21" t="n">
        <f aca="false">січень!H170</f>
        <v>0</v>
      </c>
      <c r="I170" s="22" t="n">
        <f aca="false">січень!I170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 t="n">
        <v>200</v>
      </c>
      <c r="P170" s="25" t="n">
        <f aca="false">IF(D170=0,IF((N170-E170-O170)&gt;0,(N170-E170-O170),0),IF((D170+N170-O170)&gt;0,(D170+N170-O170),0))</f>
        <v>51.66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січень!B171</f>
        <v>Білецький Б.Г.</v>
      </c>
      <c r="C171" s="18" t="str">
        <f aca="false">січень!C171</f>
        <v>50163</v>
      </c>
      <c r="D171" s="19" t="n">
        <f aca="false">січень!P171</f>
        <v>255.68</v>
      </c>
      <c r="E171" s="19" t="n">
        <f aca="false">січень!Q171</f>
        <v>0</v>
      </c>
      <c r="F171" s="20" t="n">
        <f aca="false">січень!F171</f>
        <v>0</v>
      </c>
      <c r="G171" s="21" t="n">
        <f aca="false">січень!G171</f>
        <v>62.36</v>
      </c>
      <c r="H171" s="21" t="n">
        <f aca="false">січень!H171</f>
        <v>0</v>
      </c>
      <c r="I171" s="22" t="n">
        <f aca="false">січень!I171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січень!B172</f>
        <v>Кузнєцова В.В.</v>
      </c>
      <c r="C172" s="18" t="str">
        <f aca="false">січень!C172</f>
        <v>50164</v>
      </c>
      <c r="D172" s="19" t="n">
        <f aca="false">січень!P172</f>
        <v>807.32</v>
      </c>
      <c r="E172" s="19" t="n">
        <f aca="false">січень!Q172</f>
        <v>0</v>
      </c>
      <c r="F172" s="20" t="n">
        <f aca="false">січень!F172</f>
        <v>0</v>
      </c>
      <c r="G172" s="21" t="n">
        <f aca="false">січень!G172</f>
        <v>65.63</v>
      </c>
      <c r="H172" s="21" t="n">
        <f aca="false">січень!H172</f>
        <v>0</v>
      </c>
      <c r="I172" s="22" t="n">
        <f aca="false">січень!I172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1076.4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січень!B173</f>
        <v>Сидоренко Б.Й.</v>
      </c>
      <c r="C173" s="18" t="str">
        <f aca="false">січень!C173</f>
        <v>50165</v>
      </c>
      <c r="D173" s="19" t="n">
        <f aca="false">січень!P173</f>
        <v>9031.85</v>
      </c>
      <c r="E173" s="19" t="n">
        <f aca="false">січень!Q173</f>
        <v>0</v>
      </c>
      <c r="F173" s="20" t="n">
        <f aca="false">січень!F173</f>
        <v>0</v>
      </c>
      <c r="G173" s="21" t="n">
        <f aca="false">січень!G173</f>
        <v>49.8</v>
      </c>
      <c r="H173" s="21" t="n">
        <f aca="false">січень!H173</f>
        <v>0</v>
      </c>
      <c r="I173" s="22" t="n">
        <f aca="false">січень!I173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9236.03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січень!B174</f>
        <v>Кузнєцова О.А.</v>
      </c>
      <c r="C174" s="18" t="str">
        <f aca="false">січень!C174</f>
        <v>50166</v>
      </c>
      <c r="D174" s="19" t="n">
        <f aca="false">січень!P174</f>
        <v>287</v>
      </c>
      <c r="E174" s="19" t="n">
        <f aca="false">січень!Q174</f>
        <v>0</v>
      </c>
      <c r="F174" s="20" t="n">
        <f aca="false">січень!F174</f>
        <v>0</v>
      </c>
      <c r="G174" s="21" t="n">
        <f aca="false">січень!G174</f>
        <v>35</v>
      </c>
      <c r="H174" s="21" t="n">
        <f aca="false">січень!H174</f>
        <v>0</v>
      </c>
      <c r="I174" s="22" t="n">
        <f aca="false">січень!I174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430.5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січень!B175</f>
        <v>Васильєва О.Г.</v>
      </c>
      <c r="C175" s="18" t="str">
        <f aca="false">січень!C175</f>
        <v>50167</v>
      </c>
      <c r="D175" s="19" t="n">
        <f aca="false">січень!P175</f>
        <v>3271.7</v>
      </c>
      <c r="E175" s="19" t="n">
        <f aca="false">січень!Q175</f>
        <v>0</v>
      </c>
      <c r="F175" s="20" t="n">
        <f aca="false">січень!F175</f>
        <v>0</v>
      </c>
      <c r="G175" s="21" t="n">
        <f aca="false">січень!G175</f>
        <v>61.7</v>
      </c>
      <c r="H175" s="21" t="n">
        <f aca="false">січень!H175</f>
        <v>0</v>
      </c>
      <c r="I175" s="22" t="n">
        <f aca="false">січень!I175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3524.67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січень!B176</f>
        <v>Кудінова Л.М.</v>
      </c>
      <c r="C176" s="18" t="str">
        <f aca="false">січень!C176</f>
        <v>50168</v>
      </c>
      <c r="D176" s="19" t="n">
        <f aca="false">січень!P176</f>
        <v>512.03</v>
      </c>
      <c r="E176" s="19" t="n">
        <f aca="false">січень!Q176</f>
        <v>0</v>
      </c>
      <c r="F176" s="20" t="n">
        <f aca="false">січень!F176</f>
        <v>0</v>
      </c>
      <c r="G176" s="21" t="n">
        <f aca="false">січень!G176</f>
        <v>65.58</v>
      </c>
      <c r="H176" s="21" t="n">
        <f aca="false">січень!H176</f>
        <v>0</v>
      </c>
      <c r="I176" s="22" t="n">
        <f aca="false">січень!I176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780.91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січень!B177</f>
        <v>Спільний І.В.</v>
      </c>
      <c r="C177" s="18" t="str">
        <f aca="false">січень!C177</f>
        <v>50169</v>
      </c>
      <c r="D177" s="19" t="n">
        <f aca="false">січень!P177</f>
        <v>2551.22</v>
      </c>
      <c r="E177" s="19" t="n">
        <f aca="false">січень!Q177</f>
        <v>0</v>
      </c>
      <c r="F177" s="20" t="n">
        <f aca="false">січень!F177</f>
        <v>0</v>
      </c>
      <c r="G177" s="21" t="n">
        <f aca="false">січень!G177</f>
        <v>49.5</v>
      </c>
      <c r="H177" s="21" t="n">
        <f aca="false">січень!H177</f>
        <v>0</v>
      </c>
      <c r="I177" s="22" t="n">
        <f aca="false">січень!I177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2754.17</v>
      </c>
      <c r="Q177" s="25" t="n">
        <f aca="false">IF(E177=0,IF((D177+N177-O177)&lt;0,ABS(D177+N177-O177),0),IF((N177-E177-O177)&lt;0,ABS(N177-E177-O177),0))</f>
        <v>0</v>
      </c>
    </row>
    <row r="178" customFormat="false" ht="15" hidden="false" customHeight="false" outlineLevel="0" collapsed="false">
      <c r="A178" s="17" t="s">
        <v>530</v>
      </c>
      <c r="B178" s="18" t="str">
        <f aca="false">січень!B178</f>
        <v>Кружаліна Т.А.</v>
      </c>
      <c r="C178" s="18" t="str">
        <f aca="false">січень!C178</f>
        <v>50170</v>
      </c>
      <c r="D178" s="19" t="n">
        <f aca="false">січень!P178</f>
        <v>870.980000000001</v>
      </c>
      <c r="E178" s="19" t="n">
        <f aca="false">січень!Q178</f>
        <v>0</v>
      </c>
      <c r="F178" s="20" t="n">
        <f aca="false">січень!F178</f>
        <v>0</v>
      </c>
      <c r="G178" s="21" t="n">
        <f aca="false">січень!G178</f>
        <v>35.1</v>
      </c>
      <c r="H178" s="21" t="n">
        <f aca="false">січень!H178</f>
        <v>0</v>
      </c>
      <c r="I178" s="22" t="n">
        <f aca="false">січень!I178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1014.89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січень!B179</f>
        <v>Григоренко Н.Е.</v>
      </c>
      <c r="C179" s="18" t="str">
        <f aca="false">січень!C179</f>
        <v>50171</v>
      </c>
      <c r="D179" s="19" t="n">
        <f aca="false">січень!P179</f>
        <v>2252.16</v>
      </c>
      <c r="E179" s="19" t="n">
        <f aca="false">січень!Q179</f>
        <v>0</v>
      </c>
      <c r="F179" s="20" t="n">
        <f aca="false">січень!F179</f>
        <v>0</v>
      </c>
      <c r="G179" s="21" t="n">
        <f aca="false">січень!G179</f>
        <v>62.91</v>
      </c>
      <c r="H179" s="21" t="n">
        <f aca="false">січень!H179</f>
        <v>0</v>
      </c>
      <c r="I179" s="22" t="n">
        <f aca="false">січень!I179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2510.09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січень!B180</f>
        <v>Бондарчук В.В.</v>
      </c>
      <c r="C180" s="18" t="str">
        <f aca="false">січень!C180</f>
        <v>50172</v>
      </c>
      <c r="D180" s="19" t="n">
        <f aca="false">січень!P180</f>
        <v>0</v>
      </c>
      <c r="E180" s="19" t="n">
        <f aca="false">січень!Q180</f>
        <v>541.439999999999</v>
      </c>
      <c r="F180" s="20" t="n">
        <f aca="false">січень!F180</f>
        <v>0</v>
      </c>
      <c r="G180" s="21" t="n">
        <f aca="false">січень!G180</f>
        <v>66.03</v>
      </c>
      <c r="H180" s="21" t="n">
        <f aca="false">січень!H180</f>
        <v>0</v>
      </c>
      <c r="I180" s="22" t="n">
        <f aca="false">січень!I180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270.719999999999</v>
      </c>
    </row>
    <row r="181" customFormat="false" ht="15" hidden="false" customHeight="false" outlineLevel="0" collapsed="false">
      <c r="A181" s="17" t="s">
        <v>539</v>
      </c>
      <c r="B181" s="18" t="str">
        <f aca="false">січень!B181</f>
        <v>Рябініна Н.І.</v>
      </c>
      <c r="C181" s="18" t="str">
        <f aca="false">січень!C181</f>
        <v>50173</v>
      </c>
      <c r="D181" s="19" t="n">
        <f aca="false">січень!P181</f>
        <v>2455.08</v>
      </c>
      <c r="E181" s="19" t="n">
        <f aca="false">січень!Q181</f>
        <v>0</v>
      </c>
      <c r="F181" s="20" t="n">
        <f aca="false">січень!F181</f>
        <v>0</v>
      </c>
      <c r="G181" s="21" t="n">
        <f aca="false">січень!G181</f>
        <v>49.9</v>
      </c>
      <c r="H181" s="21" t="n">
        <f aca="false">січень!H181</f>
        <v>0</v>
      </c>
      <c r="I181" s="22" t="n">
        <f aca="false">січень!I181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/>
      <c r="P181" s="25" t="n">
        <f aca="false">IF(D181=0,IF((N181-E181-O181)&gt;0,(N181-E181-O181),0),IF((D181+N181-O181)&gt;0,(D181+N181-O181),0))</f>
        <v>2659.67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січень!B182</f>
        <v>Шапіро В.І.</v>
      </c>
      <c r="C182" s="18" t="str">
        <f aca="false">січень!C182</f>
        <v>50174</v>
      </c>
      <c r="D182" s="19" t="n">
        <f aca="false">січень!P182</f>
        <v>143.17</v>
      </c>
      <c r="E182" s="19" t="n">
        <f aca="false">січень!Q182</f>
        <v>0</v>
      </c>
      <c r="F182" s="20" t="n">
        <f aca="false">січень!F182</f>
        <v>0</v>
      </c>
      <c r="G182" s="21" t="n">
        <f aca="false">січень!G182</f>
        <v>34.92</v>
      </c>
      <c r="H182" s="21" t="n">
        <f aca="false">січень!H182</f>
        <v>0</v>
      </c>
      <c r="I182" s="22" t="n">
        <f aca="false">січень!I182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січень!B183</f>
        <v>Крамаренко О.О.</v>
      </c>
      <c r="C183" s="18" t="str">
        <f aca="false">січень!C183</f>
        <v>50175</v>
      </c>
      <c r="D183" s="19" t="n">
        <f aca="false">січень!P183</f>
        <v>1055.39</v>
      </c>
      <c r="E183" s="19" t="n">
        <f aca="false">січень!Q183</f>
        <v>0</v>
      </c>
      <c r="F183" s="20" t="n">
        <f aca="false">січень!F183</f>
        <v>0</v>
      </c>
      <c r="G183" s="21" t="n">
        <f aca="false">січень!G183</f>
        <v>61.91</v>
      </c>
      <c r="H183" s="21" t="n">
        <f aca="false">січень!H183</f>
        <v>0</v>
      </c>
      <c r="I183" s="22" t="n">
        <f aca="false">січень!I183</f>
        <v>4.1</v>
      </c>
      <c r="J183" s="23" t="n">
        <f aca="false">ROUND(G183*I183,2)</f>
        <v>253.83</v>
      </c>
      <c r="K183" s="19"/>
      <c r="L183" s="19" t="n">
        <v>253.83</v>
      </c>
      <c r="M183" s="19"/>
      <c r="N183" s="19" t="n">
        <f aca="false">ROUND((G183*I183)-K183-L183-M183,2)</f>
        <v>0</v>
      </c>
      <c r="O183" s="19"/>
      <c r="P183" s="25" t="n">
        <f aca="false">IF(D183=0,IF((N183-E183-O183)&gt;0,(N183-E183-O183),0),IF((D183+N183-O183)&gt;0,(D183+N183-O183),0))</f>
        <v>1055.39</v>
      </c>
      <c r="Q183" s="25" t="n">
        <f aca="false">IF(E183=0,IF((D183+N183-O183)&lt;0,ABS(D183+N183-O183),0),IF((N183-E183-O183)&lt;0,ABS(N183-E183-O183),0))</f>
        <v>0</v>
      </c>
      <c r="S183" s="44"/>
      <c r="T183" s="44"/>
      <c r="U183" s="44"/>
      <c r="V183" s="44"/>
    </row>
    <row r="184" customFormat="false" ht="15" hidden="false" customHeight="false" outlineLevel="0" collapsed="false">
      <c r="A184" s="17" t="s">
        <v>548</v>
      </c>
      <c r="B184" s="18" t="str">
        <f aca="false">січень!B184</f>
        <v>Свиридов В.Ф.</v>
      </c>
      <c r="C184" s="18" t="str">
        <f aca="false">січень!C184</f>
        <v>50176</v>
      </c>
      <c r="D184" s="19" t="n">
        <f aca="false">січень!P184</f>
        <v>2724.91</v>
      </c>
      <c r="E184" s="19" t="n">
        <f aca="false">січень!Q184</f>
        <v>0</v>
      </c>
      <c r="F184" s="20" t="n">
        <f aca="false">січень!F184</f>
        <v>0</v>
      </c>
      <c r="G184" s="21" t="n">
        <f aca="false">січень!G184</f>
        <v>65.15</v>
      </c>
      <c r="H184" s="21" t="n">
        <f aca="false">січень!H184</f>
        <v>0</v>
      </c>
      <c r="I184" s="22" t="n">
        <f aca="false">січень!I184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2992.03</v>
      </c>
      <c r="Q184" s="25" t="n">
        <f aca="false">IF(E184=0,IF((D184+N184-O184)&lt;0,ABS(D184+N184-O184),0),IF((N184-E184-O184)&lt;0,ABS(N184-E184-O184),0))</f>
        <v>0</v>
      </c>
      <c r="S184" s="44"/>
      <c r="T184" s="44"/>
      <c r="U184" s="44"/>
      <c r="V184" s="44"/>
    </row>
    <row r="185" customFormat="false" ht="15" hidden="false" customHeight="false" outlineLevel="0" collapsed="false">
      <c r="A185" s="17" t="s">
        <v>551</v>
      </c>
      <c r="B185" s="18" t="str">
        <f aca="false">січень!B185</f>
        <v>Домацький В.А.</v>
      </c>
      <c r="C185" s="18" t="str">
        <f aca="false">січень!C185</f>
        <v>50177</v>
      </c>
      <c r="D185" s="19" t="n">
        <f aca="false">січень!P185</f>
        <v>1844.98</v>
      </c>
      <c r="E185" s="19" t="n">
        <f aca="false">січень!Q185</f>
        <v>0</v>
      </c>
      <c r="F185" s="20" t="n">
        <f aca="false">січень!F185</f>
        <v>0</v>
      </c>
      <c r="G185" s="21" t="n">
        <f aca="false">січень!G185</f>
        <v>50</v>
      </c>
      <c r="H185" s="21" t="n">
        <f aca="false">січень!H185</f>
        <v>0</v>
      </c>
      <c r="I185" s="22" t="n">
        <f aca="false">січень!I185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2049.98</v>
      </c>
      <c r="Q185" s="25" t="n">
        <f aca="false">IF(E185=0,IF((D185+N185-O185)&lt;0,ABS(D185+N185-O185),0),IF((N185-E185-O185)&lt;0,ABS(N185-E185-O185),0))</f>
        <v>0</v>
      </c>
      <c r="S185" s="44"/>
      <c r="T185" s="44"/>
      <c r="U185" s="44"/>
      <c r="V185" s="44"/>
    </row>
    <row r="186" customFormat="false" ht="15" hidden="false" customHeight="false" outlineLevel="0" collapsed="false">
      <c r="A186" s="17" t="s">
        <v>554</v>
      </c>
      <c r="B186" s="18" t="str">
        <f aca="false">січень!B186</f>
        <v>Шаповалова І.А.</v>
      </c>
      <c r="C186" s="18" t="str">
        <f aca="false">січень!C186</f>
        <v>50178</v>
      </c>
      <c r="D186" s="19" t="n">
        <f aca="false">січень!P186</f>
        <v>1150.56</v>
      </c>
      <c r="E186" s="19" t="n">
        <f aca="false">січень!Q186</f>
        <v>0</v>
      </c>
      <c r="F186" s="20" t="n">
        <f aca="false">січень!F186</f>
        <v>0</v>
      </c>
      <c r="G186" s="21" t="n">
        <f aca="false">січень!G186</f>
        <v>35.1</v>
      </c>
      <c r="H186" s="21" t="n">
        <f aca="false">січень!H186</f>
        <v>0</v>
      </c>
      <c r="I186" s="22" t="n">
        <f aca="false">січень!I186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1294.47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січень!B187</f>
        <v>Кононенко О.В.</v>
      </c>
      <c r="C187" s="18" t="str">
        <f aca="false">січень!C187</f>
        <v>50179</v>
      </c>
      <c r="D187" s="19" t="n">
        <f aca="false">січень!P187</f>
        <v>3293.33</v>
      </c>
      <c r="E187" s="19" t="n">
        <f aca="false">січень!Q187</f>
        <v>0</v>
      </c>
      <c r="F187" s="20" t="n">
        <f aca="false">січень!F187</f>
        <v>0</v>
      </c>
      <c r="G187" s="21" t="n">
        <f aca="false">січень!G187</f>
        <v>61.8</v>
      </c>
      <c r="H187" s="21" t="n">
        <f aca="false">січень!H187</f>
        <v>0</v>
      </c>
      <c r="I187" s="22" t="n">
        <f aca="false">січень!I187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3546.71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січень!B188</f>
        <v>Овчаренко Т.І.</v>
      </c>
      <c r="C188" s="18" t="str">
        <f aca="false">січень!C188</f>
        <v>60180</v>
      </c>
      <c r="D188" s="19" t="n">
        <f aca="false">січень!P188</f>
        <v>2320.98</v>
      </c>
      <c r="E188" s="19" t="n">
        <f aca="false">січень!Q188</f>
        <v>0</v>
      </c>
      <c r="F188" s="20" t="n">
        <f aca="false">січень!F188</f>
        <v>0</v>
      </c>
      <c r="G188" s="21" t="n">
        <f aca="false">січень!G188</f>
        <v>71.06</v>
      </c>
      <c r="H188" s="21" t="n">
        <f aca="false">січень!H188</f>
        <v>0</v>
      </c>
      <c r="I188" s="22" t="n">
        <f aca="false">січень!I188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 t="n">
        <v>584</v>
      </c>
      <c r="P188" s="25" t="n">
        <f aca="false">IF(D188=0,IF((N188-E188-O188)&gt;0,(N188-E188-O188),0),IF((D188+N188-O188)&gt;0,(D188+N188-O188),0))</f>
        <v>2028.33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січень!B189</f>
        <v>Попукайло О.Г.</v>
      </c>
      <c r="C189" s="18" t="str">
        <f aca="false">січень!C189</f>
        <v>60181</v>
      </c>
      <c r="D189" s="19" t="n">
        <f aca="false">січень!P189</f>
        <v>201.52</v>
      </c>
      <c r="E189" s="19" t="n">
        <f aca="false">січень!Q189</f>
        <v>0</v>
      </c>
      <c r="F189" s="20" t="n">
        <f aca="false">січень!F189</f>
        <v>0</v>
      </c>
      <c r="G189" s="21" t="n">
        <f aca="false">січень!G189</f>
        <v>49.15</v>
      </c>
      <c r="H189" s="21" t="n">
        <f aca="false">січень!H189</f>
        <v>0</v>
      </c>
      <c r="I189" s="22" t="n">
        <f aca="false">січень!I189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403.04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січень!B190</f>
        <v>Онищенко А.В.</v>
      </c>
      <c r="C190" s="18" t="str">
        <f aca="false">січень!C190</f>
        <v>60182</v>
      </c>
      <c r="D190" s="19" t="n">
        <f aca="false">січень!P190</f>
        <v>265.53</v>
      </c>
      <c r="E190" s="19" t="n">
        <f aca="false">січень!Q190</f>
        <v>0</v>
      </c>
      <c r="F190" s="20" t="n">
        <f aca="false">січень!F190</f>
        <v>0</v>
      </c>
      <c r="G190" s="21" t="n">
        <f aca="false">січень!G190</f>
        <v>53.72</v>
      </c>
      <c r="H190" s="21" t="n">
        <f aca="false">січень!H190</f>
        <v>0</v>
      </c>
      <c r="I190" s="22" t="n">
        <f aca="false">січень!I190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485.78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січень!B191</f>
        <v>Соколова О.О.</v>
      </c>
      <c r="C191" s="18" t="str">
        <f aca="false">січень!C191</f>
        <v>60183</v>
      </c>
      <c r="D191" s="19" t="n">
        <f aca="false">січень!P191</f>
        <v>0</v>
      </c>
      <c r="E191" s="19" t="n">
        <f aca="false">січень!Q191</f>
        <v>13.7200000000009</v>
      </c>
      <c r="F191" s="20" t="n">
        <f aca="false">січень!F191</f>
        <v>0</v>
      </c>
      <c r="G191" s="21" t="n">
        <f aca="false">січень!G191</f>
        <v>68.97</v>
      </c>
      <c r="H191" s="21" t="n">
        <f aca="false">січень!H191</f>
        <v>0</v>
      </c>
      <c r="I191" s="22" t="n">
        <f aca="false">січень!I191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 t="n">
        <v>282.78</v>
      </c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13.7200000000009</v>
      </c>
    </row>
    <row r="192" customFormat="false" ht="15" hidden="false" customHeight="false" outlineLevel="0" collapsed="false">
      <c r="A192" s="17" t="s">
        <v>572</v>
      </c>
      <c r="B192" s="18" t="str">
        <f aca="false">січень!B192</f>
        <v>Ільіна В.П.</v>
      </c>
      <c r="C192" s="18" t="str">
        <f aca="false">січень!C192</f>
        <v>60184</v>
      </c>
      <c r="D192" s="19" t="n">
        <f aca="false">січень!P192</f>
        <v>4293.03</v>
      </c>
      <c r="E192" s="19" t="n">
        <f aca="false">січень!Q192</f>
        <v>0</v>
      </c>
      <c r="F192" s="20" t="n">
        <f aca="false">січень!F192</f>
        <v>0</v>
      </c>
      <c r="G192" s="21" t="n">
        <f aca="false">січень!G192</f>
        <v>49.86</v>
      </c>
      <c r="H192" s="21" t="n">
        <f aca="false">січень!H192</f>
        <v>0</v>
      </c>
      <c r="I192" s="22" t="n">
        <f aca="false">січень!I192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4497.46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січень!B193</f>
        <v>Чешок Г.К.</v>
      </c>
      <c r="C193" s="18" t="str">
        <f aca="false">січень!C193</f>
        <v>60185</v>
      </c>
      <c r="D193" s="19" t="n">
        <f aca="false">січень!P193</f>
        <v>3152.9</v>
      </c>
      <c r="E193" s="19" t="n">
        <f aca="false">січень!Q193</f>
        <v>0</v>
      </c>
      <c r="F193" s="20" t="n">
        <f aca="false">січень!F193</f>
        <v>0</v>
      </c>
      <c r="G193" s="21" t="n">
        <f aca="false">січень!G193</f>
        <v>60.86</v>
      </c>
      <c r="H193" s="21" t="n">
        <f aca="false">січень!H193</f>
        <v>0</v>
      </c>
      <c r="I193" s="22" t="n">
        <f aca="false">січень!I193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3402.43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січень!B194</f>
        <v>Бердников В.А.</v>
      </c>
      <c r="C194" s="18" t="str">
        <f aca="false">січень!C194</f>
        <v>60186</v>
      </c>
      <c r="D194" s="19" t="n">
        <f aca="false">січень!P194</f>
        <v>823.31</v>
      </c>
      <c r="E194" s="19" t="n">
        <f aca="false">січень!Q194</f>
        <v>0</v>
      </c>
      <c r="F194" s="20" t="n">
        <f aca="false">січень!F194</f>
        <v>0</v>
      </c>
      <c r="G194" s="21" t="n">
        <f aca="false">січень!G194</f>
        <v>66.75</v>
      </c>
      <c r="H194" s="21" t="n">
        <f aca="false">січень!H194</f>
        <v>0</v>
      </c>
      <c r="I194" s="22" t="n">
        <f aca="false">січень!I194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1096.99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січень!B195</f>
        <v>Щербак Н.В.</v>
      </c>
      <c r="C195" s="18" t="str">
        <f aca="false">січень!C195</f>
        <v>60187</v>
      </c>
      <c r="D195" s="19" t="n">
        <f aca="false">січень!P195</f>
        <v>2674.79</v>
      </c>
      <c r="E195" s="19" t="n">
        <f aca="false">січень!Q195</f>
        <v>0</v>
      </c>
      <c r="F195" s="20" t="n">
        <f aca="false">січень!F195</f>
        <v>0</v>
      </c>
      <c r="G195" s="21" t="n">
        <f aca="false">січень!G195</f>
        <v>72.49</v>
      </c>
      <c r="H195" s="21" t="n">
        <f aca="false">січень!H195</f>
        <v>0</v>
      </c>
      <c r="I195" s="22" t="n">
        <f aca="false">січень!I195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2972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січень!B196</f>
        <v>Рожков Ю.М.</v>
      </c>
      <c r="C196" s="18" t="str">
        <f aca="false">січень!C196</f>
        <v>60188</v>
      </c>
      <c r="D196" s="19" t="n">
        <f aca="false">січень!P196</f>
        <v>175.88</v>
      </c>
      <c r="E196" s="19" t="n">
        <f aca="false">січень!Q196</f>
        <v>0</v>
      </c>
      <c r="F196" s="20" t="n">
        <f aca="false">січень!F196</f>
        <v>0</v>
      </c>
      <c r="G196" s="21" t="n">
        <f aca="false">січень!G196</f>
        <v>49.8</v>
      </c>
      <c r="H196" s="21" t="n">
        <f aca="false">січень!H196</f>
        <v>0</v>
      </c>
      <c r="I196" s="22" t="n">
        <f aca="false">січень!I196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380.06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січень!B197</f>
        <v>Кобець В.В.</v>
      </c>
      <c r="C197" s="18" t="str">
        <f aca="false">січень!C197</f>
        <v>60189</v>
      </c>
      <c r="D197" s="19" t="n">
        <f aca="false">січень!P197</f>
        <v>1290.47</v>
      </c>
      <c r="E197" s="19" t="n">
        <f aca="false">січень!Q197</f>
        <v>0</v>
      </c>
      <c r="F197" s="20" t="n">
        <f aca="false">січень!F197</f>
        <v>0</v>
      </c>
      <c r="G197" s="21" t="n">
        <f aca="false">січень!G197</f>
        <v>62.36</v>
      </c>
      <c r="H197" s="21" t="n">
        <f aca="false">січень!H197</f>
        <v>0</v>
      </c>
      <c r="I197" s="22" t="n">
        <f aca="false">січень!I197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1546.15</v>
      </c>
      <c r="Q197" s="25" t="n">
        <f aca="false">IF(E197=0,IF((D197+N197-O197)&lt;0,ABS(D197+N197-O197),0),IF((N197-E197-O197)&lt;0,ABS(N197-E197-O197),0))</f>
        <v>0</v>
      </c>
      <c r="T197" s="45"/>
      <c r="U197" s="45"/>
      <c r="V197" s="45"/>
      <c r="W197" s="45"/>
      <c r="X197" s="45"/>
    </row>
    <row r="198" customFormat="false" ht="15" hidden="false" customHeight="false" outlineLevel="0" collapsed="false">
      <c r="A198" s="17" t="s">
        <v>590</v>
      </c>
      <c r="B198" s="18" t="str">
        <f aca="false">січень!B198</f>
        <v>Щерба Л.О.</v>
      </c>
      <c r="C198" s="18" t="str">
        <f aca="false">січень!C198</f>
        <v>60190</v>
      </c>
      <c r="D198" s="19" t="n">
        <f aca="false">січень!P198</f>
        <v>2911.25</v>
      </c>
      <c r="E198" s="19" t="n">
        <f aca="false">січень!Q198</f>
        <v>0</v>
      </c>
      <c r="F198" s="20" t="n">
        <f aca="false">січень!F198</f>
        <v>0</v>
      </c>
      <c r="G198" s="21" t="n">
        <f aca="false">січень!G198</f>
        <v>68.5</v>
      </c>
      <c r="H198" s="21" t="n">
        <f aca="false">січень!H198</f>
        <v>0</v>
      </c>
      <c r="I198" s="22" t="n">
        <f aca="false">січень!I198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3192.1</v>
      </c>
      <c r="Q198" s="25" t="n">
        <f aca="false">IF(E198=0,IF((D198+N198-O198)&lt;0,ABS(D198+N198-O198),0),IF((N198-E198-O198)&lt;0,ABS(N198-E198-O198),0))</f>
        <v>0</v>
      </c>
      <c r="T198" s="45"/>
      <c r="U198" s="45"/>
      <c r="V198" s="45"/>
      <c r="W198" s="45"/>
      <c r="X198" s="45"/>
    </row>
    <row r="199" customFormat="false" ht="15" hidden="false" customHeight="false" outlineLevel="0" collapsed="false">
      <c r="A199" s="17" t="s">
        <v>593</v>
      </c>
      <c r="B199" s="18" t="str">
        <f aca="false">січень!B199</f>
        <v>Сапунова І.В.</v>
      </c>
      <c r="C199" s="18" t="str">
        <f aca="false">січень!C199</f>
        <v>60191</v>
      </c>
      <c r="D199" s="19" t="n">
        <f aca="false">січень!P199</f>
        <v>907.120000000001</v>
      </c>
      <c r="E199" s="19" t="n">
        <f aca="false">січень!Q199</f>
        <v>0</v>
      </c>
      <c r="F199" s="20" t="n">
        <f aca="false">січень!F199</f>
        <v>0</v>
      </c>
      <c r="G199" s="21" t="n">
        <f aca="false">січень!G199</f>
        <v>70.42</v>
      </c>
      <c r="H199" s="21" t="n">
        <f aca="false">січень!H199</f>
        <v>0</v>
      </c>
      <c r="I199" s="22" t="n">
        <f aca="false">січень!I199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1195.84</v>
      </c>
      <c r="Q199" s="25" t="n">
        <f aca="false">IF(E199=0,IF((D199+N199-O199)&lt;0,ABS(D199+N199-O199),0),IF((N199-E199-O199)&lt;0,ABS(N199-E199-O199),0))</f>
        <v>0</v>
      </c>
      <c r="T199" s="45"/>
      <c r="U199" s="45"/>
      <c r="V199" s="45"/>
      <c r="W199" s="45"/>
      <c r="X199" s="45"/>
    </row>
    <row r="200" customFormat="false" ht="15" hidden="false" customHeight="false" outlineLevel="0" collapsed="false">
      <c r="A200" s="17" t="s">
        <v>596</v>
      </c>
      <c r="B200" s="18" t="str">
        <f aca="false">січень!B200</f>
        <v>Саввідіс В.О.</v>
      </c>
      <c r="C200" s="18" t="str">
        <f aca="false">січень!C200</f>
        <v>60192</v>
      </c>
      <c r="D200" s="19" t="n">
        <f aca="false">січень!P200</f>
        <v>2946.79</v>
      </c>
      <c r="E200" s="19" t="n">
        <f aca="false">січень!Q200</f>
        <v>0</v>
      </c>
      <c r="F200" s="20" t="n">
        <f aca="false">січень!F200</f>
        <v>0</v>
      </c>
      <c r="G200" s="21" t="n">
        <f aca="false">січень!G200</f>
        <v>49.7</v>
      </c>
      <c r="H200" s="21" t="n">
        <f aca="false">січень!H200</f>
        <v>0</v>
      </c>
      <c r="I200" s="22" t="n">
        <f aca="false">січень!I200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3150.56</v>
      </c>
      <c r="Q200" s="25" t="n">
        <f aca="false">IF(E200=0,IF((D200+N200-O200)&lt;0,ABS(D200+N200-O200),0),IF((N200-E200-O200)&lt;0,ABS(N200-E200-O200),0))</f>
        <v>0</v>
      </c>
      <c r="T200" s="45"/>
      <c r="U200" s="45"/>
      <c r="V200" s="45"/>
      <c r="W200" s="45"/>
      <c r="X200" s="45"/>
    </row>
    <row r="201" customFormat="false" ht="15" hidden="false" customHeight="false" outlineLevel="0" collapsed="false">
      <c r="A201" s="17" t="s">
        <v>599</v>
      </c>
      <c r="B201" s="18" t="str">
        <f aca="false">січень!B201</f>
        <v>Кашина Г.І.</v>
      </c>
      <c r="C201" s="18" t="str">
        <f aca="false">січень!C201</f>
        <v>60193</v>
      </c>
      <c r="D201" s="19" t="n">
        <f aca="false">січень!P201</f>
        <v>3079.92</v>
      </c>
      <c r="E201" s="19" t="n">
        <f aca="false">січень!Q201</f>
        <v>0</v>
      </c>
      <c r="F201" s="20" t="n">
        <f aca="false">січень!F201</f>
        <v>0</v>
      </c>
      <c r="G201" s="21" t="n">
        <f aca="false">січень!G201</f>
        <v>62.6</v>
      </c>
      <c r="H201" s="21" t="n">
        <f aca="false">січень!H201</f>
        <v>0</v>
      </c>
      <c r="I201" s="22" t="n">
        <f aca="false">січень!I201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3336.58</v>
      </c>
      <c r="Q201" s="25" t="n">
        <f aca="false">IF(E201=0,IF((D201+N201-O201)&lt;0,ABS(D201+N201-O201),0),IF((N201-E201-O201)&lt;0,ABS(N201-E201-O201),0))</f>
        <v>0</v>
      </c>
      <c r="T201" s="45"/>
      <c r="U201" s="45"/>
      <c r="V201" s="45"/>
      <c r="W201" s="45"/>
      <c r="X201" s="45"/>
    </row>
    <row r="202" customFormat="false" ht="15" hidden="false" customHeight="false" outlineLevel="0" collapsed="false">
      <c r="A202" s="17" t="s">
        <v>602</v>
      </c>
      <c r="B202" s="18" t="str">
        <f aca="false">січень!B202</f>
        <v>Фадеєва Є.А.</v>
      </c>
      <c r="C202" s="18" t="str">
        <f aca="false">січень!C202</f>
        <v>60194</v>
      </c>
      <c r="D202" s="19" t="n">
        <f aca="false">січень!P202</f>
        <v>2309.12</v>
      </c>
      <c r="E202" s="19" t="n">
        <f aca="false">січень!Q202</f>
        <v>0</v>
      </c>
      <c r="F202" s="20" t="n">
        <f aca="false">січень!F202</f>
        <v>0</v>
      </c>
      <c r="G202" s="21" t="n">
        <f aca="false">січень!G202</f>
        <v>70.4</v>
      </c>
      <c r="H202" s="21" t="n">
        <f aca="false">січень!H202</f>
        <v>0</v>
      </c>
      <c r="I202" s="22" t="n">
        <f aca="false">січень!I202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2597.76</v>
      </c>
      <c r="Q202" s="25" t="n">
        <f aca="false">IF(E202=0,IF((D202+N202-O202)&lt;0,ABS(D202+N202-O202),0),IF((N202-E202-O202)&lt;0,ABS(N202-E202-O202),0))</f>
        <v>0</v>
      </c>
      <c r="T202" s="45"/>
      <c r="U202" s="45"/>
      <c r="V202" s="45"/>
      <c r="W202" s="45"/>
      <c r="X202" s="45"/>
    </row>
    <row r="203" customFormat="false" ht="15" hidden="false" customHeight="false" outlineLevel="0" collapsed="false">
      <c r="A203" s="17" t="s">
        <v>605</v>
      </c>
      <c r="B203" s="18" t="str">
        <f aca="false">січень!B203</f>
        <v>Бойко О.А.</v>
      </c>
      <c r="C203" s="18" t="str">
        <f aca="false">січень!C203</f>
        <v>60195</v>
      </c>
      <c r="D203" s="19" t="n">
        <f aca="false">січень!P203</f>
        <v>2581.23</v>
      </c>
      <c r="E203" s="19" t="n">
        <f aca="false">січень!Q203</f>
        <v>0</v>
      </c>
      <c r="F203" s="20" t="n">
        <f aca="false">січень!F203</f>
        <v>0</v>
      </c>
      <c r="G203" s="21" t="n">
        <f aca="false">січень!G203</f>
        <v>70.2</v>
      </c>
      <c r="H203" s="21" t="n">
        <f aca="false">січень!H203</f>
        <v>0</v>
      </c>
      <c r="I203" s="22" t="n">
        <f aca="false">січень!I203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2869.05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січень!B204</f>
        <v>Дудник І.А.</v>
      </c>
      <c r="C204" s="18" t="str">
        <f aca="false">січень!C204</f>
        <v>60196</v>
      </c>
      <c r="D204" s="19" t="n">
        <f aca="false">січень!P204</f>
        <v>1894.02</v>
      </c>
      <c r="E204" s="19" t="n">
        <f aca="false">січень!Q204</f>
        <v>0</v>
      </c>
      <c r="F204" s="20" t="n">
        <f aca="false">січень!F204</f>
        <v>0</v>
      </c>
      <c r="G204" s="21" t="n">
        <f aca="false">січень!G204</f>
        <v>49.94</v>
      </c>
      <c r="H204" s="21" t="n">
        <f aca="false">січень!H204</f>
        <v>0</v>
      </c>
      <c r="I204" s="22" t="n">
        <f aca="false">січень!I204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2098.77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січень!B205</f>
        <v>Лебедєва Т.В.</v>
      </c>
      <c r="C205" s="18" t="str">
        <f aca="false">січень!C205</f>
        <v>60197</v>
      </c>
      <c r="D205" s="19" t="n">
        <f aca="false">січень!P205</f>
        <v>1017.15</v>
      </c>
      <c r="E205" s="19" t="n">
        <f aca="false">січень!Q205</f>
        <v>0</v>
      </c>
      <c r="F205" s="20" t="n">
        <f aca="false">січень!F205</f>
        <v>0</v>
      </c>
      <c r="G205" s="21" t="n">
        <f aca="false">січень!G205</f>
        <v>62.3</v>
      </c>
      <c r="H205" s="21" t="n">
        <f aca="false">січень!H205</f>
        <v>0</v>
      </c>
      <c r="I205" s="22" t="n">
        <f aca="false">січень!I205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1272.58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січень!B206</f>
        <v>Криницький Л.С.</v>
      </c>
      <c r="C206" s="18" t="str">
        <f aca="false">січень!C206</f>
        <v>60198</v>
      </c>
      <c r="D206" s="19" t="n">
        <f aca="false">січень!P206</f>
        <v>1272.45</v>
      </c>
      <c r="E206" s="19" t="n">
        <f aca="false">січень!Q206</f>
        <v>0</v>
      </c>
      <c r="F206" s="20" t="n">
        <f aca="false">січень!F206</f>
        <v>0</v>
      </c>
      <c r="G206" s="21" t="n">
        <f aca="false">січень!G206</f>
        <v>67.61</v>
      </c>
      <c r="H206" s="21" t="n">
        <f aca="false">січень!H206</f>
        <v>0</v>
      </c>
      <c r="I206" s="22" t="n">
        <f aca="false">січень!I206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1549.65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січень!B207</f>
        <v>Сафонов В.В.</v>
      </c>
      <c r="C207" s="18" t="str">
        <f aca="false">січень!C207</f>
        <v>60199</v>
      </c>
      <c r="D207" s="19" t="n">
        <f aca="false">січень!P207</f>
        <v>2691.81</v>
      </c>
      <c r="E207" s="19" t="n">
        <f aca="false">січень!Q207</f>
        <v>0</v>
      </c>
      <c r="F207" s="20" t="n">
        <f aca="false">січень!F207</f>
        <v>0</v>
      </c>
      <c r="G207" s="21" t="n">
        <f aca="false">січень!G207</f>
        <v>70.38</v>
      </c>
      <c r="H207" s="21" t="n">
        <f aca="false">січень!H207</f>
        <v>0</v>
      </c>
      <c r="I207" s="22" t="n">
        <f aca="false">січень!I207</f>
        <v>4.1</v>
      </c>
      <c r="J207" s="23" t="n">
        <f aca="false">ROUND(G207*I207,2)</f>
        <v>288.56</v>
      </c>
      <c r="K207" s="19"/>
      <c r="L207" s="19" t="n">
        <v>288.56</v>
      </c>
      <c r="M207" s="19"/>
      <c r="N207" s="19" t="n">
        <f aca="false">ROUND((G207*I207)-K207-L207-M207,2)</f>
        <v>-0</v>
      </c>
      <c r="O207" s="19"/>
      <c r="P207" s="25" t="n">
        <f aca="false">IF(D207=0,IF((N207-E207-O207)&gt;0,(N207-E207-O207),0),IF((D207+N207-O207)&gt;0,(D207+N207-O207),0))</f>
        <v>2691.81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січень!B208</f>
        <v>Мільковська Р.Г.</v>
      </c>
      <c r="C208" s="18" t="str">
        <f aca="false">січень!C208</f>
        <v>60200</v>
      </c>
      <c r="D208" s="19" t="n">
        <f aca="false">січень!P208</f>
        <v>1674.05</v>
      </c>
      <c r="E208" s="19" t="n">
        <f aca="false">січень!Q208</f>
        <v>0</v>
      </c>
      <c r="F208" s="20" t="n">
        <f aca="false">січень!F208</f>
        <v>0</v>
      </c>
      <c r="G208" s="21" t="n">
        <f aca="false">січень!G208</f>
        <v>49.88</v>
      </c>
      <c r="H208" s="21" t="n">
        <f aca="false">січень!H208</f>
        <v>0</v>
      </c>
      <c r="I208" s="22" t="n">
        <f aca="false">січень!I208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1878.56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січень!B209</f>
        <v>Заранкін С.М.</v>
      </c>
      <c r="C209" s="18" t="str">
        <f aca="false">січень!C209</f>
        <v>60201</v>
      </c>
      <c r="D209" s="19" t="n">
        <f aca="false">січень!P209</f>
        <v>1223.52</v>
      </c>
      <c r="E209" s="19" t="n">
        <f aca="false">січень!Q209</f>
        <v>0</v>
      </c>
      <c r="F209" s="20" t="n">
        <f aca="false">січень!F209</f>
        <v>0</v>
      </c>
      <c r="G209" s="21" t="n">
        <f aca="false">січень!G209</f>
        <v>62.02</v>
      </c>
      <c r="H209" s="21" t="n">
        <f aca="false">січень!H209</f>
        <v>0</v>
      </c>
      <c r="I209" s="22" t="n">
        <f aca="false">січень!I209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1477.8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січень!B210</f>
        <v>Сіянко О.М.</v>
      </c>
      <c r="C210" s="18" t="str">
        <f aca="false">січень!C210</f>
        <v>60202</v>
      </c>
      <c r="D210" s="19" t="n">
        <f aca="false">січень!P210</f>
        <v>1923.87</v>
      </c>
      <c r="E210" s="19" t="n">
        <f aca="false">січень!Q210</f>
        <v>0</v>
      </c>
      <c r="F210" s="20" t="n">
        <f aca="false">січень!F210</f>
        <v>0</v>
      </c>
      <c r="G210" s="21" t="n">
        <f aca="false">січень!G210</f>
        <v>67.6</v>
      </c>
      <c r="H210" s="21" t="n">
        <f aca="false">січень!H210</f>
        <v>0</v>
      </c>
      <c r="I210" s="22" t="n">
        <f aca="false">січень!I210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2201.03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січень!B211</f>
        <v>Осипов В.В.</v>
      </c>
      <c r="C211" s="18" t="str">
        <f aca="false">січень!C211</f>
        <v>60203</v>
      </c>
      <c r="D211" s="19" t="n">
        <f aca="false">січень!P211</f>
        <v>3753.36</v>
      </c>
      <c r="E211" s="19" t="n">
        <f aca="false">січень!Q211</f>
        <v>0</v>
      </c>
      <c r="F211" s="20" t="n">
        <f aca="false">січень!F211</f>
        <v>0</v>
      </c>
      <c r="G211" s="21" t="n">
        <f aca="false">січень!G211</f>
        <v>70.42</v>
      </c>
      <c r="H211" s="21" t="n">
        <f aca="false">січень!H211</f>
        <v>0</v>
      </c>
      <c r="I211" s="22" t="n">
        <f aca="false">січень!I211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4042.08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січень!B212</f>
        <v>Перепьолкін А.Л.</v>
      </c>
      <c r="C212" s="18" t="str">
        <f aca="false">січень!C212</f>
        <v>60204</v>
      </c>
      <c r="D212" s="19" t="n">
        <f aca="false">січень!P212</f>
        <v>1194.77</v>
      </c>
      <c r="E212" s="19" t="n">
        <f aca="false">січень!Q212</f>
        <v>0</v>
      </c>
      <c r="F212" s="20" t="n">
        <f aca="false">січень!F212</f>
        <v>0</v>
      </c>
      <c r="G212" s="21" t="n">
        <f aca="false">січень!G212</f>
        <v>49.8</v>
      </c>
      <c r="H212" s="21" t="n">
        <f aca="false">січень!H212</f>
        <v>0</v>
      </c>
      <c r="I212" s="22" t="n">
        <f aca="false">січень!I212</f>
        <v>4.1</v>
      </c>
      <c r="J212" s="23" t="n">
        <f aca="false">ROUND(G212*I212,2)</f>
        <v>204.18</v>
      </c>
      <c r="K212" s="19"/>
      <c r="L212" s="19" t="n">
        <v>204.18</v>
      </c>
      <c r="M212" s="19"/>
      <c r="N212" s="19" t="n">
        <f aca="false">ROUND((G212*I212)-K212-L212-M212,2)</f>
        <v>0</v>
      </c>
      <c r="O212" s="19"/>
      <c r="P212" s="25" t="n">
        <f aca="false">IF(D212=0,IF((N212-E212-O212)&gt;0,(N212-E212-O212),0),IF((D212+N212-O212)&gt;0,(D212+N212-O212),0))</f>
        <v>1194.77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січень!B213</f>
        <v>Синегрибова В.В.</v>
      </c>
      <c r="C213" s="18" t="str">
        <f aca="false">січень!C213</f>
        <v>60205</v>
      </c>
      <c r="D213" s="19" t="n">
        <f aca="false">січень!P213</f>
        <v>3558.07</v>
      </c>
      <c r="E213" s="19" t="n">
        <f aca="false">січень!Q213</f>
        <v>0</v>
      </c>
      <c r="F213" s="20" t="n">
        <f aca="false">січень!F213</f>
        <v>0</v>
      </c>
      <c r="G213" s="21" t="n">
        <f aca="false">січень!G213</f>
        <v>62.7</v>
      </c>
      <c r="H213" s="21" t="n">
        <f aca="false">січень!H213</f>
        <v>0</v>
      </c>
      <c r="I213" s="22" t="n">
        <f aca="false">січень!I213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3815.14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січень!B214</f>
        <v>Юдін М.В.</v>
      </c>
      <c r="C214" s="18" t="str">
        <f aca="false">січень!C214</f>
        <v>60206</v>
      </c>
      <c r="D214" s="19" t="n">
        <f aca="false">січень!P214</f>
        <v>204</v>
      </c>
      <c r="E214" s="19" t="n">
        <f aca="false">січень!Q214</f>
        <v>0</v>
      </c>
      <c r="F214" s="20" t="n">
        <f aca="false">січень!F214</f>
        <v>0</v>
      </c>
      <c r="G214" s="21" t="n">
        <f aca="false">січень!G214</f>
        <v>68</v>
      </c>
      <c r="H214" s="21" t="n">
        <f aca="false">січень!H214</f>
        <v>0</v>
      </c>
      <c r="I214" s="22" t="n">
        <f aca="false">січень!I214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січень!B215</f>
        <v>Сергєєва Н.О.</v>
      </c>
      <c r="C215" s="18" t="str">
        <f aca="false">січень!C215</f>
        <v>60207</v>
      </c>
      <c r="D215" s="19" t="n">
        <f aca="false">січень!P215</f>
        <v>219.470000000001</v>
      </c>
      <c r="E215" s="19" t="n">
        <f aca="false">січень!Q215</f>
        <v>0</v>
      </c>
      <c r="F215" s="20" t="n">
        <f aca="false">січень!F215</f>
        <v>0</v>
      </c>
      <c r="G215" s="21" t="n">
        <f aca="false">січень!G215</f>
        <v>72.1</v>
      </c>
      <c r="H215" s="21" t="n">
        <f aca="false">січень!H215</f>
        <v>0</v>
      </c>
      <c r="I215" s="22" t="n">
        <f aca="false">січень!I215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/>
      <c r="P215" s="25" t="n">
        <f aca="false">IF(D215=0,IF((N215-E215-O215)&gt;0,(N215-E215-O215),0),IF((D215+N215-O215)&gt;0,(D215+N215-O215),0))</f>
        <v>515.080000000001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січень!B216</f>
        <v>Рева І.П.</v>
      </c>
      <c r="C216" s="18" t="str">
        <f aca="false">січень!C216</f>
        <v>60208</v>
      </c>
      <c r="D216" s="19" t="n">
        <f aca="false">січень!P216</f>
        <v>1007.75</v>
      </c>
      <c r="E216" s="19" t="n">
        <f aca="false">січень!Q216</f>
        <v>0</v>
      </c>
      <c r="F216" s="20" t="n">
        <f aca="false">січень!F216</f>
        <v>0</v>
      </c>
      <c r="G216" s="21" t="n">
        <f aca="false">січень!G216</f>
        <v>49.72</v>
      </c>
      <c r="H216" s="21" t="n">
        <f aca="false">січень!H216</f>
        <v>0</v>
      </c>
      <c r="I216" s="22" t="n">
        <f aca="false">січень!I216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1211.6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січень!B217</f>
        <v>Почапський Ю.Т.</v>
      </c>
      <c r="C217" s="18" t="str">
        <f aca="false">січень!C217</f>
        <v>60209</v>
      </c>
      <c r="D217" s="19" t="n">
        <f aca="false">січень!P217</f>
        <v>220.29</v>
      </c>
      <c r="E217" s="19" t="n">
        <f aca="false">січень!Q217</f>
        <v>0</v>
      </c>
      <c r="F217" s="20" t="n">
        <f aca="false">січень!F217</f>
        <v>0</v>
      </c>
      <c r="G217" s="21" t="n">
        <f aca="false">січень!G217</f>
        <v>62.39</v>
      </c>
      <c r="H217" s="21" t="n">
        <f aca="false">січень!H217</f>
        <v>0</v>
      </c>
      <c r="I217" s="22" t="n">
        <f aca="false">січень!I217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 t="n">
        <v>220</v>
      </c>
      <c r="P217" s="25" t="n">
        <f aca="false">IF(D217=0,IF((N217-E217-O217)&gt;0,(N217-E217-O217),0),IF((D217+N217-O217)&gt;0,(D217+N217-O217),0))</f>
        <v>256.09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січень!B218</f>
        <v>Васильченко М.П.</v>
      </c>
      <c r="C218" s="18" t="str">
        <f aca="false">січень!C218</f>
        <v>60210</v>
      </c>
      <c r="D218" s="19" t="n">
        <f aca="false">січень!P218</f>
        <v>3034.08</v>
      </c>
      <c r="E218" s="19" t="n">
        <f aca="false">січень!Q218</f>
        <v>0</v>
      </c>
      <c r="F218" s="20" t="n">
        <f aca="false">січень!F218</f>
        <v>0</v>
      </c>
      <c r="G218" s="21" t="n">
        <f aca="false">січень!G218</f>
        <v>67.47</v>
      </c>
      <c r="H218" s="21" t="n">
        <f aca="false">січень!H218</f>
        <v>0</v>
      </c>
      <c r="I218" s="22" t="n">
        <f aca="false">січень!I218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3310.71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січень!B219</f>
        <v>Черненко Т.А.</v>
      </c>
      <c r="C219" s="18" t="str">
        <f aca="false">січень!C219</f>
        <v>60211</v>
      </c>
      <c r="D219" s="19" t="n">
        <f aca="false">січень!P219</f>
        <v>2471.16</v>
      </c>
      <c r="E219" s="19" t="n">
        <f aca="false">січень!Q219</f>
        <v>0</v>
      </c>
      <c r="F219" s="20" t="n">
        <f aca="false">січень!F219</f>
        <v>0</v>
      </c>
      <c r="G219" s="21" t="n">
        <f aca="false">січень!G219</f>
        <v>70.41</v>
      </c>
      <c r="H219" s="21" t="n">
        <f aca="false">січень!H219</f>
        <v>0</v>
      </c>
      <c r="I219" s="22" t="n">
        <f aca="false">січень!I219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2759.84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січень!B220</f>
        <v>Сиротенко Я.О.</v>
      </c>
      <c r="C220" s="18" t="str">
        <f aca="false">січень!C220</f>
        <v>60212</v>
      </c>
      <c r="D220" s="19" t="n">
        <f aca="false">січень!P220</f>
        <v>1362.3</v>
      </c>
      <c r="E220" s="19" t="n">
        <f aca="false">січень!Q220</f>
        <v>0</v>
      </c>
      <c r="F220" s="20" t="n">
        <f aca="false">січень!F220</f>
        <v>0</v>
      </c>
      <c r="G220" s="21" t="n">
        <f aca="false">січень!G220</f>
        <v>49.73</v>
      </c>
      <c r="H220" s="21" t="n">
        <f aca="false">січень!H220</f>
        <v>0</v>
      </c>
      <c r="I220" s="22" t="n">
        <f aca="false">січень!I220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1566.19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січень!B221</f>
        <v>Корнюшенко О.О.</v>
      </c>
      <c r="C221" s="18" t="str">
        <f aca="false">січень!C221</f>
        <v>60213</v>
      </c>
      <c r="D221" s="28" t="n">
        <f aca="false">січень!P221</f>
        <v>4627.8</v>
      </c>
      <c r="E221" s="29" t="n">
        <f aca="false">січень!Q221</f>
        <v>0</v>
      </c>
      <c r="F221" s="20" t="n">
        <f aca="false">січень!F221</f>
        <v>0</v>
      </c>
      <c r="G221" s="21" t="n">
        <f aca="false">січень!G221</f>
        <v>62</v>
      </c>
      <c r="H221" s="21" t="n">
        <f aca="false">січень!H221</f>
        <v>0</v>
      </c>
      <c r="I221" s="22" t="n">
        <f aca="false">січень!I221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4882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354363.24</v>
      </c>
      <c r="E222" s="33" t="n">
        <f aca="false">SUM(E7:E221)</f>
        <v>5367.79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2384.57</v>
      </c>
      <c r="M222" s="37" t="n">
        <f aca="false">SUM(M7:M221)</f>
        <v>0</v>
      </c>
      <c r="N222" s="38" t="n">
        <f aca="false">SUM(N7:N221)</f>
        <v>45390.42</v>
      </c>
      <c r="O222" s="37" t="n">
        <f aca="false">SUM(O7:O221)</f>
        <v>19269.39</v>
      </c>
      <c r="P222" s="39" t="n">
        <f aca="false">SUM(P7:P221)</f>
        <v>382281.84</v>
      </c>
      <c r="Q222" s="33" t="n">
        <f aca="false">SUM(Q7:Q221)</f>
        <v>7165.36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348995.45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375116.48</v>
      </c>
      <c r="Q223" s="41"/>
    </row>
    <row r="225" customFormat="false" ht="15" hidden="false" customHeight="false" outlineLevel="0" collapsed="false">
      <c r="T225" s="42"/>
    </row>
    <row r="226" customFormat="false" ht="15" hidden="false" customHeight="false" outlineLevel="0" collapsed="false">
      <c r="T226" s="42"/>
    </row>
    <row r="227" customFormat="false" ht="15" hidden="false" customHeight="false" outlineLevel="0" collapsed="false">
      <c r="T227" s="42" t="n">
        <f aca="false">[1]лютий!$F$74</f>
        <v>19269.39</v>
      </c>
    </row>
    <row r="230" customFormat="false" ht="15" hidden="false" customHeight="false" outlineLevel="0" collapsed="false">
      <c r="T230" s="26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10">
      <formula>0</formula>
    </cfRule>
  </conditionalFormatting>
  <conditionalFormatting sqref="L2:L5 M4:M89 L7:L221 M90:Q221 N2:Q89 D2:K221">
    <cfRule type="cellIs" priority="3" operator="equal" aboveAverage="0" equalAverage="0" bottom="0" percent="0" rank="0" text="" dxfId="11">
      <formula>0</formula>
    </cfRule>
  </conditionalFormatting>
  <conditionalFormatting sqref="J4:Q5 D4:E5 F4:I4 F9:I9 D9:E10 J9:O10">
    <cfRule type="cellIs" priority="4" operator="equal" aboveAverage="0" equalAverage="0" bottom="0" percent="0" rank="0" text="" dxfId="12">
      <formula>0</formula>
    </cfRule>
  </conditionalFormatting>
  <conditionalFormatting sqref="L2:L5 M4:M221 L7:L221 N2:Q221 D2:K221">
    <cfRule type="cellIs" priority="5" operator="equal" aboveAverage="0" equalAverage="0" bottom="0" percent="0" rank="0" text="" dxfId="13">
      <formula>0</formula>
    </cfRule>
  </conditionalFormatting>
  <printOptions headings="false" gridLines="false" gridLinesSet="true" horizontalCentered="true" verticalCentered="false"/>
  <pageMargins left="0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0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2.29"/>
    <col collapsed="false" customWidth="true" hidden="false" outlineLevel="0" max="3" min="3" style="0" width="7.57"/>
    <col collapsed="false" customWidth="true" hidden="false" outlineLevel="0" max="4" min="4" style="0" width="9.42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7" min="7" style="0" width="7.29"/>
    <col collapsed="false" customWidth="true" hidden="false" outlineLevel="0" max="8" min="8" style="0" width="6"/>
    <col collapsed="false" customWidth="true" hidden="false" outlineLevel="0" max="9" min="9" style="0" width="6.29"/>
    <col collapsed="false" customWidth="true" hidden="false" outlineLevel="0" max="11" min="11" style="0" width="7.86"/>
    <col collapsed="false" customWidth="true" hidden="false" outlineLevel="0" max="12" min="12" style="0" width="9.57"/>
    <col collapsed="false" customWidth="true" hidden="false" outlineLevel="0" max="13" min="13" style="0" width="7.71"/>
    <col collapsed="false" customWidth="true" hidden="false" outlineLevel="0" max="15" min="15" style="0" width="9.29"/>
    <col collapsed="false" customWidth="true" hidden="false" outlineLevel="0" max="21" min="21" style="0" width="10.71"/>
  </cols>
  <sheetData>
    <row r="1" customFormat="false" ht="27" hidden="false" customHeight="tru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664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8.2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2.75" hidden="false" customHeight="true" outlineLevel="0" collapsed="false">
      <c r="I5" s="2"/>
    </row>
    <row r="6" customFormat="false" ht="55.55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12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лютий!B7</f>
        <v>Бережний В.М.</v>
      </c>
      <c r="C7" s="18" t="str">
        <f aca="false">лютий!C7</f>
        <v>1001</v>
      </c>
      <c r="D7" s="19" t="n">
        <f aca="false">лютий!P7</f>
        <v>1578.17</v>
      </c>
      <c r="E7" s="19" t="n">
        <f aca="false">лютий!Q7</f>
        <v>0</v>
      </c>
      <c r="F7" s="20" t="n">
        <f aca="false">лютий!F7</f>
        <v>0</v>
      </c>
      <c r="G7" s="21" t="n">
        <f aca="false">лютий!G7</f>
        <v>64.26</v>
      </c>
      <c r="H7" s="21" t="n">
        <f aca="false">лютий!H7</f>
        <v>0</v>
      </c>
      <c r="I7" s="22" t="n">
        <f aca="false">лютий!I7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1841.64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лютий!B8</f>
        <v>Старикова Т.О.</v>
      </c>
      <c r="C8" s="18" t="str">
        <f aca="false">лютий!C8</f>
        <v>1002</v>
      </c>
      <c r="D8" s="19" t="n">
        <f aca="false">лютий!P8</f>
        <v>2723.48</v>
      </c>
      <c r="E8" s="19" t="n">
        <f aca="false">лютий!Q8</f>
        <v>0</v>
      </c>
      <c r="F8" s="20" t="n">
        <f aca="false">лютий!F8</f>
        <v>0</v>
      </c>
      <c r="G8" s="21" t="n">
        <f aca="false">лютий!G8</f>
        <v>48.71</v>
      </c>
      <c r="H8" s="21" t="n">
        <f aca="false">лютий!H8</f>
        <v>0</v>
      </c>
      <c r="I8" s="22" t="n">
        <f aca="false">лютий!I8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2923.19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лютий!B9</f>
        <v>Мазур Т.В.</v>
      </c>
      <c r="C9" s="18" t="str">
        <f aca="false">лютий!C9</f>
        <v>1003</v>
      </c>
      <c r="D9" s="19" t="n">
        <f aca="false">лютий!P9</f>
        <v>24.5</v>
      </c>
      <c r="E9" s="19" t="n">
        <f aca="false">лютий!Q9</f>
        <v>0</v>
      </c>
      <c r="F9" s="20" t="n">
        <f aca="false">лютий!F9</f>
        <v>0</v>
      </c>
      <c r="G9" s="21" t="n">
        <f aca="false">лютий!G9</f>
        <v>35</v>
      </c>
      <c r="H9" s="21" t="n">
        <f aca="false">лютий!H9</f>
        <v>0</v>
      </c>
      <c r="I9" s="22" t="n">
        <f aca="false">лютий!I9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168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лютий!B10</f>
        <v>Сокол О.В.</v>
      </c>
      <c r="C10" s="18" t="str">
        <f aca="false">лютий!C10</f>
        <v>1004</v>
      </c>
      <c r="D10" s="19" t="n">
        <f aca="false">лютий!P10</f>
        <v>0</v>
      </c>
      <c r="E10" s="19" t="n">
        <f aca="false">лютий!Q10</f>
        <v>252.59</v>
      </c>
      <c r="F10" s="20" t="n">
        <f aca="false">лютий!F10</f>
        <v>0</v>
      </c>
      <c r="G10" s="21" t="n">
        <f aca="false">лютий!G10</f>
        <v>61.6</v>
      </c>
      <c r="H10" s="21" t="n">
        <f aca="false">лютий!H10</f>
        <v>0</v>
      </c>
      <c r="I10" s="22" t="n">
        <f aca="false">лютий!I10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/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0.0300000000002001</v>
      </c>
    </row>
    <row r="11" customFormat="false" ht="15" hidden="false" customHeight="false" outlineLevel="0" collapsed="false">
      <c r="A11" s="17" t="s">
        <v>31</v>
      </c>
      <c r="B11" s="18" t="str">
        <f aca="false">лютий!B11</f>
        <v>Семко Л.І.</v>
      </c>
      <c r="C11" s="18" t="str">
        <f aca="false">лютий!C11</f>
        <v>1005</v>
      </c>
      <c r="D11" s="19" t="n">
        <f aca="false">лютий!P11</f>
        <v>393.410000000001</v>
      </c>
      <c r="E11" s="19" t="n">
        <f aca="false">лютий!Q11</f>
        <v>0</v>
      </c>
      <c r="F11" s="20" t="n">
        <f aca="false">лютий!F11</f>
        <v>0</v>
      </c>
      <c r="G11" s="21" t="n">
        <f aca="false">лютий!G11</f>
        <v>28.34</v>
      </c>
      <c r="H11" s="21" t="n">
        <f aca="false">лютий!H11</f>
        <v>0</v>
      </c>
      <c r="I11" s="22" t="n">
        <f aca="false">лютий!I11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 t="n">
        <v>1000</v>
      </c>
      <c r="P11" s="25" t="n">
        <f aca="false">IF(D11=0,IF((N11-E11-O11)&gt;0,(N11-E11-O11),0),IF((D11+N11-O11)&gt;0,(D11+N11-O11),0))</f>
        <v>0</v>
      </c>
      <c r="Q11" s="25" t="n">
        <f aca="false">IF(E11=0,IF((D11+N11-O11)&lt;0,ABS(D11+N11-O11),0),IF((N11-E11-O11)&lt;0,ABS(N11-E11-O11),0))</f>
        <v>490.399999999999</v>
      </c>
    </row>
    <row r="12" customFormat="false" ht="15" hidden="false" customHeight="false" outlineLevel="0" collapsed="false">
      <c r="A12" s="17" t="s">
        <v>31</v>
      </c>
      <c r="B12" s="18" t="str">
        <f aca="false">лютий!B12</f>
        <v>Гаркуша Н.І.</v>
      </c>
      <c r="C12" s="18" t="str">
        <f aca="false">лютий!C12</f>
        <v>1005-а</v>
      </c>
      <c r="D12" s="19" t="n">
        <f aca="false">лютий!P12</f>
        <v>0</v>
      </c>
      <c r="E12" s="19" t="n">
        <f aca="false">лютий!Q12</f>
        <v>101.279999999999</v>
      </c>
      <c r="F12" s="20" t="n">
        <f aca="false">лютий!F12</f>
        <v>0</v>
      </c>
      <c r="G12" s="21" t="n">
        <f aca="false">лютий!G12</f>
        <v>36.66</v>
      </c>
      <c r="H12" s="21" t="n">
        <f aca="false">лютий!H12</f>
        <v>0</v>
      </c>
      <c r="I12" s="22" t="n">
        <f aca="false">лютий!I12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 t="n">
        <v>300</v>
      </c>
      <c r="P12" s="25" t="n">
        <f aca="false">IF(D12=0,IF((N12-E12-O12)&gt;0,(N12-E12-O12),0),IF((D12+N12-O12)&gt;0,(D12+N12-O12),0))</f>
        <v>0</v>
      </c>
      <c r="Q12" s="25" t="n">
        <f aca="false">IF(E12=0,IF((D12+N12-O12)&lt;0,ABS(D12+N12-O12),0),IF((N12-E12-O12)&lt;0,ABS(N12-E12-O12),0))</f>
        <v>250.969999999999</v>
      </c>
    </row>
    <row r="13" customFormat="false" ht="15" hidden="false" customHeight="false" outlineLevel="0" collapsed="false">
      <c r="A13" s="17" t="s">
        <v>36</v>
      </c>
      <c r="B13" s="18" t="str">
        <f aca="false">лютий!B13</f>
        <v>Андріяшев В.М</v>
      </c>
      <c r="C13" s="18" t="str">
        <f aca="false">лютий!C13</f>
        <v>1006</v>
      </c>
      <c r="D13" s="19" t="n">
        <f aca="false">лютий!P13</f>
        <v>647.44</v>
      </c>
      <c r="E13" s="19" t="n">
        <f aca="false">лютий!Q13</f>
        <v>0</v>
      </c>
      <c r="F13" s="20" t="n">
        <f aca="false">лютий!F13</f>
        <v>0</v>
      </c>
      <c r="G13" s="21" t="n">
        <f aca="false">лютий!G13</f>
        <v>49.8</v>
      </c>
      <c r="H13" s="21" t="n">
        <f aca="false">лютий!H13</f>
        <v>0</v>
      </c>
      <c r="I13" s="22" t="n">
        <f aca="false">лютий!I13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 t="n">
        <v>1025</v>
      </c>
      <c r="P13" s="25" t="n">
        <f aca="false">IF(D13=0,IF((N13-E13-O13)&gt;0,(N13-E13-O13),0),IF((D13+N13-O13)&gt;0,(D13+N13-O13),0))</f>
        <v>0</v>
      </c>
      <c r="Q13" s="25" t="n">
        <f aca="false">IF(E13=0,IF((D13+N13-O13)&lt;0,ABS(D13+N13-O13),0),IF((N13-E13-O13)&lt;0,ABS(N13-E13-O13),0))</f>
        <v>173.38</v>
      </c>
    </row>
    <row r="14" customFormat="false" ht="15" hidden="false" customHeight="false" outlineLevel="0" collapsed="false">
      <c r="A14" s="17" t="s">
        <v>39</v>
      </c>
      <c r="B14" s="18" t="str">
        <f aca="false">лютий!B14</f>
        <v>Старчикова О.М.</v>
      </c>
      <c r="C14" s="18" t="str">
        <f aca="false">лютий!C14</f>
        <v>1007</v>
      </c>
      <c r="D14" s="19" t="n">
        <f aca="false">лютий!P14</f>
        <v>140.98</v>
      </c>
      <c r="E14" s="19" t="n">
        <f aca="false">лютий!Q14</f>
        <v>0</v>
      </c>
      <c r="F14" s="20" t="n">
        <f aca="false">лютий!F14</f>
        <v>0</v>
      </c>
      <c r="G14" s="21" t="n">
        <f aca="false">лютий!G14</f>
        <v>34.65</v>
      </c>
      <c r="H14" s="21" t="n">
        <f aca="false">лютий!H14</f>
        <v>0</v>
      </c>
      <c r="I14" s="22" t="n">
        <f aca="false">лютий!I14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143</v>
      </c>
      <c r="P14" s="25" t="n">
        <f aca="false">IF(D14=0,IF((N14-E14-O14)&gt;0,(N14-E14-O14),0),IF((D14+N14-O14)&gt;0,(D14+N14-O14),0))</f>
        <v>140.05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лютий!B15</f>
        <v>Безер Т.М</v>
      </c>
      <c r="C15" s="18" t="str">
        <f aca="false">лютий!C15</f>
        <v>1008</v>
      </c>
      <c r="D15" s="19" t="n">
        <f aca="false">лютий!P15</f>
        <v>480.79</v>
      </c>
      <c r="E15" s="19" t="n">
        <f aca="false">лютий!Q15</f>
        <v>0</v>
      </c>
      <c r="F15" s="20" t="n">
        <f aca="false">лютий!F15</f>
        <v>0</v>
      </c>
      <c r="G15" s="21" t="n">
        <f aca="false">лютий!G15</f>
        <v>62.14</v>
      </c>
      <c r="H15" s="21" t="n">
        <f aca="false">лютий!H15</f>
        <v>0</v>
      </c>
      <c r="I15" s="22" t="n">
        <f aca="false">лютий!I15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735.56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лютий!B16</f>
        <v>Решетило М.М</v>
      </c>
      <c r="C16" s="18" t="str">
        <f aca="false">лютий!C16</f>
        <v>1009</v>
      </c>
      <c r="D16" s="19" t="n">
        <f aca="false">лютий!P16</f>
        <v>3440.28</v>
      </c>
      <c r="E16" s="19" t="n">
        <f aca="false">лютий!Q16</f>
        <v>0</v>
      </c>
      <c r="F16" s="20" t="n">
        <f aca="false">лютий!F16</f>
        <v>0</v>
      </c>
      <c r="G16" s="21" t="n">
        <f aca="false">лютий!G16</f>
        <v>65.16</v>
      </c>
      <c r="H16" s="21" t="n">
        <f aca="false">лютий!H16</f>
        <v>0</v>
      </c>
      <c r="I16" s="22" t="n">
        <f aca="false">лютий!I16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3707.44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лютий!B17</f>
        <v>Фесенко О.В.</v>
      </c>
      <c r="C17" s="18" t="str">
        <f aca="false">лютий!C17</f>
        <v>1010</v>
      </c>
      <c r="D17" s="19" t="n">
        <f aca="false">лютий!P17</f>
        <v>1992.75</v>
      </c>
      <c r="E17" s="19" t="n">
        <f aca="false">лютий!Q17</f>
        <v>0</v>
      </c>
      <c r="F17" s="20" t="n">
        <f aca="false">лютий!F17</f>
        <v>0</v>
      </c>
      <c r="G17" s="21" t="n">
        <f aca="false">лютий!G17</f>
        <v>50.1</v>
      </c>
      <c r="H17" s="21" t="n">
        <f aca="false">лютий!H17</f>
        <v>0</v>
      </c>
      <c r="I17" s="22" t="n">
        <f aca="false">лютий!I17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2198.16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лютий!B18</f>
        <v>Петренко О.М.</v>
      </c>
      <c r="C18" s="18" t="str">
        <f aca="false">лютий!C18</f>
        <v>1011</v>
      </c>
      <c r="D18" s="19" t="n">
        <f aca="false">лютий!P18</f>
        <v>1641.32</v>
      </c>
      <c r="E18" s="19" t="n">
        <f aca="false">лютий!Q18</f>
        <v>0</v>
      </c>
      <c r="F18" s="20" t="n">
        <f aca="false">лютий!F18</f>
        <v>0</v>
      </c>
      <c r="G18" s="21" t="n">
        <f aca="false">лютий!G18</f>
        <v>35.2</v>
      </c>
      <c r="H18" s="21" t="n">
        <f aca="false">лютий!H18</f>
        <v>0</v>
      </c>
      <c r="I18" s="22" t="n">
        <f aca="false">лютий!I18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1785.64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лютий!B19</f>
        <v>Зеленюк А.Д</v>
      </c>
      <c r="C19" s="18" t="str">
        <f aca="false">лютий!C19</f>
        <v>1012</v>
      </c>
      <c r="D19" s="19" t="n">
        <f aca="false">лютий!P19</f>
        <v>3428.01</v>
      </c>
      <c r="E19" s="19" t="n">
        <f aca="false">лютий!Q19</f>
        <v>0</v>
      </c>
      <c r="F19" s="20" t="n">
        <f aca="false">лютий!F19</f>
        <v>0</v>
      </c>
      <c r="G19" s="21" t="n">
        <f aca="false">лютий!G19</f>
        <v>62.78</v>
      </c>
      <c r="H19" s="21" t="n">
        <f aca="false">лютий!H19</f>
        <v>0</v>
      </c>
      <c r="I19" s="22" t="n">
        <f aca="false">лютий!I19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3685.41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лютий!B20</f>
        <v>Вовк І.В</v>
      </c>
      <c r="C20" s="18" t="str">
        <f aca="false">лютий!C20</f>
        <v>1013</v>
      </c>
      <c r="D20" s="19" t="n">
        <f aca="false">лютий!P20</f>
        <v>2368.35</v>
      </c>
      <c r="E20" s="19" t="n">
        <f aca="false">лютий!Q20</f>
        <v>0</v>
      </c>
      <c r="F20" s="20" t="n">
        <f aca="false">лютий!F20</f>
        <v>0</v>
      </c>
      <c r="G20" s="21" t="n">
        <f aca="false">лютий!G20</f>
        <v>28.23</v>
      </c>
      <c r="H20" s="21" t="n">
        <f aca="false">лютий!H20</f>
        <v>0</v>
      </c>
      <c r="I20" s="22" t="n">
        <f aca="false">лютий!I20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2484.09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лютий!B21</f>
        <v>Романовський В.М</v>
      </c>
      <c r="C21" s="18" t="str">
        <f aca="false">лютий!C21</f>
        <v>1013-а</v>
      </c>
      <c r="D21" s="19" t="n">
        <f aca="false">лютий!P21</f>
        <v>3568.18</v>
      </c>
      <c r="E21" s="19" t="n">
        <f aca="false">лютий!Q21</f>
        <v>0</v>
      </c>
      <c r="F21" s="20" t="n">
        <f aca="false">лютий!F21</f>
        <v>0</v>
      </c>
      <c r="G21" s="21" t="n">
        <f aca="false">лютий!G21</f>
        <v>37.84</v>
      </c>
      <c r="H21" s="21" t="n">
        <f aca="false">лютий!H21</f>
        <v>0</v>
      </c>
      <c r="I21" s="22" t="n">
        <f aca="false">лютий!I21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3723.32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лютий!B22</f>
        <v>Ряба Л.І</v>
      </c>
      <c r="C22" s="18" t="str">
        <f aca="false">лютий!C22</f>
        <v>1014</v>
      </c>
      <c r="D22" s="19" t="n">
        <f aca="false">лютий!P22</f>
        <v>1115.04</v>
      </c>
      <c r="E22" s="19" t="n">
        <f aca="false">лютий!Q22</f>
        <v>0</v>
      </c>
      <c r="F22" s="20" t="n">
        <f aca="false">лютий!F22</f>
        <v>0</v>
      </c>
      <c r="G22" s="21" t="n">
        <f aca="false">лютий!G22</f>
        <v>49.24</v>
      </c>
      <c r="H22" s="21" t="n">
        <f aca="false">лютий!H22</f>
        <v>0</v>
      </c>
      <c r="I22" s="22" t="n">
        <f aca="false">лютий!I22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 t="n">
        <v>700</v>
      </c>
      <c r="P22" s="25" t="n">
        <f aca="false">IF(D22=0,IF((N22-E22-O22)&gt;0,(N22-E22-O22),0),IF((D22+N22-O22)&gt;0,(D22+N22-O22),0))</f>
        <v>616.920000000001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лютий!B23</f>
        <v>Кас'янова О.А.</v>
      </c>
      <c r="C23" s="18" t="str">
        <f aca="false">лютий!C23</f>
        <v>1015</v>
      </c>
      <c r="D23" s="19" t="n">
        <f aca="false">лютий!P23</f>
        <v>1196.86</v>
      </c>
      <c r="E23" s="19" t="n">
        <f aca="false">лютий!Q23</f>
        <v>0</v>
      </c>
      <c r="F23" s="20" t="n">
        <f aca="false">лютий!F23</f>
        <v>0</v>
      </c>
      <c r="G23" s="21" t="n">
        <f aca="false">лютий!G23</f>
        <v>35.1</v>
      </c>
      <c r="H23" s="21" t="n">
        <f aca="false">лютий!H23</f>
        <v>0</v>
      </c>
      <c r="I23" s="22" t="n">
        <f aca="false">лютий!I23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1340.77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лютий!B24</f>
        <v>Корякіна М.В.</v>
      </c>
      <c r="C24" s="18" t="str">
        <f aca="false">лютий!C24</f>
        <v>1016</v>
      </c>
      <c r="D24" s="19" t="n">
        <f aca="false">лютий!P24</f>
        <v>1859.99</v>
      </c>
      <c r="E24" s="19" t="n">
        <f aca="false">лютий!Q24</f>
        <v>0</v>
      </c>
      <c r="F24" s="20" t="n">
        <f aca="false">лютий!F24</f>
        <v>0</v>
      </c>
      <c r="G24" s="21" t="n">
        <f aca="false">лютий!G24</f>
        <v>61.9</v>
      </c>
      <c r="H24" s="21" t="n">
        <f aca="false">лютий!H24</f>
        <v>0</v>
      </c>
      <c r="I24" s="22" t="n">
        <f aca="false">лютий!I24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2113.78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лютий!B25</f>
        <v>Сокерчак А.В.</v>
      </c>
      <c r="C25" s="18" t="str">
        <f aca="false">лютий!C25</f>
        <v>1017</v>
      </c>
      <c r="D25" s="19" t="n">
        <f aca="false">лютий!P25</f>
        <v>0</v>
      </c>
      <c r="E25" s="19" t="n">
        <f aca="false">лютий!Q25</f>
        <v>271.830000000001</v>
      </c>
      <c r="F25" s="20" t="n">
        <f aca="false">лютий!F25</f>
        <v>0</v>
      </c>
      <c r="G25" s="21" t="n">
        <f aca="false">лютий!G25</f>
        <v>66.3</v>
      </c>
      <c r="H25" s="21" t="n">
        <f aca="false">лютий!H25</f>
        <v>0</v>
      </c>
      <c r="I25" s="22" t="n">
        <f aca="false">лютий!I25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0</v>
      </c>
      <c r="Q25" s="25" t="n">
        <f aca="false">IF(E25=0,IF((D25+N25-O25)&lt;0,ABS(D25+N25-O25),0),IF((N25-E25-O25)&lt;0,ABS(N25-E25-O25),0))</f>
        <v>1.08002495835535E-012</v>
      </c>
    </row>
    <row r="26" customFormat="false" ht="15" hidden="false" customHeight="false" outlineLevel="0" collapsed="false">
      <c r="A26" s="17" t="s">
        <v>74</v>
      </c>
      <c r="B26" s="18" t="str">
        <f aca="false">лютий!B26</f>
        <v>Кравченко В.А</v>
      </c>
      <c r="C26" s="18" t="str">
        <f aca="false">лютий!C26</f>
        <v>1018</v>
      </c>
      <c r="D26" s="19" t="n">
        <f aca="false">лютий!P26</f>
        <v>0</v>
      </c>
      <c r="E26" s="19" t="n">
        <f aca="false">лютий!Q26</f>
        <v>1406.07</v>
      </c>
      <c r="F26" s="20" t="n">
        <f aca="false">лютий!F26</f>
        <v>0</v>
      </c>
      <c r="G26" s="21" t="n">
        <f aca="false">лютий!G26</f>
        <v>51.48</v>
      </c>
      <c r="H26" s="21" t="n">
        <f aca="false">лютий!H26</f>
        <v>0</v>
      </c>
      <c r="I26" s="22" t="n">
        <f aca="false">лютий!I26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1195</v>
      </c>
    </row>
    <row r="27" customFormat="false" ht="15" hidden="false" customHeight="false" outlineLevel="0" collapsed="false">
      <c r="A27" s="17" t="s">
        <v>77</v>
      </c>
      <c r="B27" s="18" t="str">
        <f aca="false">лютий!B27</f>
        <v>Чичикало А.С</v>
      </c>
      <c r="C27" s="18" t="str">
        <f aca="false">лютий!C27</f>
        <v>1019</v>
      </c>
      <c r="D27" s="19" t="n">
        <f aca="false">лютий!P27</f>
        <v>286.2</v>
      </c>
      <c r="E27" s="19" t="n">
        <f aca="false">лютий!Q27</f>
        <v>0</v>
      </c>
      <c r="F27" s="20" t="n">
        <f aca="false">лютий!F27</f>
        <v>0</v>
      </c>
      <c r="G27" s="21" t="n">
        <f aca="false">лютий!G27</f>
        <v>35.1</v>
      </c>
      <c r="H27" s="21" t="n">
        <f aca="false">лютий!H27</f>
        <v>0</v>
      </c>
      <c r="I27" s="22" t="n">
        <f aca="false">лютий!I27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430.11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лютий!B28</f>
        <v>Сільващук А.А</v>
      </c>
      <c r="C28" s="18" t="str">
        <f aca="false">лютий!C28</f>
        <v>1020</v>
      </c>
      <c r="D28" s="19" t="n">
        <f aca="false">лютий!P28</f>
        <v>0</v>
      </c>
      <c r="E28" s="19" t="n">
        <f aca="false">лютий!Q28</f>
        <v>771.210000000001</v>
      </c>
      <c r="F28" s="20" t="n">
        <f aca="false">лютий!F28</f>
        <v>0</v>
      </c>
      <c r="G28" s="21" t="n">
        <f aca="false">лютий!G28</f>
        <v>62.7</v>
      </c>
      <c r="H28" s="21" t="n">
        <f aca="false">лютий!H28</f>
        <v>0</v>
      </c>
      <c r="I28" s="22" t="n">
        <f aca="false">лютий!I28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0</v>
      </c>
      <c r="Q28" s="25" t="n">
        <f aca="false">IF(E28=0,IF((D28+N28-O28)&lt;0,ABS(D28+N28-O28),0),IF((N28-E28-O28)&lt;0,ABS(N28-E28-O28),0))</f>
        <v>514.140000000001</v>
      </c>
    </row>
    <row r="29" customFormat="false" ht="15" hidden="false" customHeight="false" outlineLevel="0" collapsed="false">
      <c r="A29" s="17" t="s">
        <v>83</v>
      </c>
      <c r="B29" s="18" t="str">
        <f aca="false">лютий!B29</f>
        <v>Стеценко Г.М</v>
      </c>
      <c r="C29" s="18" t="str">
        <f aca="false">лютий!C29</f>
        <v>1021</v>
      </c>
      <c r="D29" s="19" t="n">
        <f aca="false">лютий!P29</f>
        <v>1739.35</v>
      </c>
      <c r="E29" s="19" t="n">
        <f aca="false">лютий!Q29</f>
        <v>0</v>
      </c>
      <c r="F29" s="20" t="n">
        <f aca="false">лютий!F29</f>
        <v>0</v>
      </c>
      <c r="G29" s="21" t="n">
        <f aca="false">лютий!G29</f>
        <v>65.32</v>
      </c>
      <c r="H29" s="21" t="n">
        <f aca="false">лютий!H29</f>
        <v>0</v>
      </c>
      <c r="I29" s="22" t="n">
        <f aca="false">лютий!I29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 t="n">
        <v>300</v>
      </c>
      <c r="P29" s="25" t="n">
        <f aca="false">IF(D29=0,IF((N29-E29-O29)&gt;0,(N29-E29-O29),0),IF((D29+N29-O29)&gt;0,(D29+N29-O29),0))</f>
        <v>1707.16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лютий!B30</f>
        <v>Кирдячкіна П.А</v>
      </c>
      <c r="C30" s="18" t="str">
        <f aca="false">лютий!C30</f>
        <v>1022</v>
      </c>
      <c r="D30" s="19" t="n">
        <f aca="false">лютий!P30</f>
        <v>1407.7</v>
      </c>
      <c r="E30" s="19" t="n">
        <f aca="false">лютий!Q30</f>
        <v>0</v>
      </c>
      <c r="F30" s="20" t="n">
        <f aca="false">лютий!F30</f>
        <v>0</v>
      </c>
      <c r="G30" s="21" t="n">
        <f aca="false">лютий!G30</f>
        <v>49.7</v>
      </c>
      <c r="H30" s="21" t="n">
        <f aca="false">лютий!H30</f>
        <v>0</v>
      </c>
      <c r="I30" s="22" t="n">
        <f aca="false">лютий!I30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 t="n">
        <v>500</v>
      </c>
      <c r="P30" s="25" t="n">
        <f aca="false">IF(D30=0,IF((N30-E30-O30)&gt;0,(N30-E30-O30),0),IF((D30+N30-O30)&gt;0,(D30+N30-O30),0))</f>
        <v>1111.47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лютий!B31</f>
        <v>Фоміченко Л.А</v>
      </c>
      <c r="C31" s="18" t="str">
        <f aca="false">лютий!C31</f>
        <v>1023</v>
      </c>
      <c r="D31" s="19" t="n">
        <f aca="false">лютий!P31</f>
        <v>287.82</v>
      </c>
      <c r="E31" s="19" t="n">
        <f aca="false">лютий!Q31</f>
        <v>0</v>
      </c>
      <c r="F31" s="20" t="n">
        <f aca="false">лютий!F31</f>
        <v>0</v>
      </c>
      <c r="G31" s="21" t="n">
        <f aca="false">лютий!G31</f>
        <v>35.1</v>
      </c>
      <c r="H31" s="21" t="n">
        <f aca="false">лютий!H31</f>
        <v>0</v>
      </c>
      <c r="I31" s="22" t="n">
        <f aca="false">лютий!I31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431.73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лютий!B32</f>
        <v>Сердюк А.Г</v>
      </c>
      <c r="C32" s="18" t="str">
        <f aca="false">лютий!C32</f>
        <v>1024</v>
      </c>
      <c r="D32" s="19" t="n">
        <f aca="false">лютий!P32</f>
        <v>1639.55</v>
      </c>
      <c r="E32" s="19" t="n">
        <f aca="false">лютий!Q32</f>
        <v>0</v>
      </c>
      <c r="F32" s="20" t="n">
        <f aca="false">лютий!F32</f>
        <v>0</v>
      </c>
      <c r="G32" s="21" t="n">
        <f aca="false">лютий!G32</f>
        <v>62.31</v>
      </c>
      <c r="H32" s="21" t="n">
        <f aca="false">лютий!H32</f>
        <v>0</v>
      </c>
      <c r="I32" s="22" t="n">
        <f aca="false">лютий!I32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 t="n">
        <v>300</v>
      </c>
      <c r="P32" s="25" t="n">
        <f aca="false">IF(D32=0,IF((N32-E32-O32)&gt;0,(N32-E32-O32),0),IF((D32+N32-O32)&gt;0,(D32+N32-O32),0))</f>
        <v>1595.02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лютий!B33</f>
        <v>Михальченко Г.М</v>
      </c>
      <c r="C33" s="18" t="str">
        <f aca="false">лютий!C33</f>
        <v>1025</v>
      </c>
      <c r="D33" s="19" t="n">
        <f aca="false">лютий!P33</f>
        <v>3320.8</v>
      </c>
      <c r="E33" s="19" t="n">
        <f aca="false">лютий!Q33</f>
        <v>0</v>
      </c>
      <c r="F33" s="20" t="n">
        <f aca="false">лютий!F33</f>
        <v>0</v>
      </c>
      <c r="G33" s="21" t="n">
        <f aca="false">лютий!G33</f>
        <v>65.04</v>
      </c>
      <c r="H33" s="21" t="n">
        <f aca="false">лютий!H33</f>
        <v>0</v>
      </c>
      <c r="I33" s="22" t="n">
        <f aca="false">лютий!I33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3587.46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лютий!B34</f>
        <v>Замуховська Я.С</v>
      </c>
      <c r="C34" s="18" t="str">
        <f aca="false">лютий!C34</f>
        <v>1026</v>
      </c>
      <c r="D34" s="19" t="n">
        <f aca="false">лютий!P34</f>
        <v>1445.33</v>
      </c>
      <c r="E34" s="19" t="n">
        <f aca="false">лютий!Q34</f>
        <v>0</v>
      </c>
      <c r="F34" s="20" t="n">
        <f aca="false">лютий!F34</f>
        <v>0</v>
      </c>
      <c r="G34" s="21" t="n">
        <f aca="false">лютий!G34</f>
        <v>49.8</v>
      </c>
      <c r="H34" s="21" t="n">
        <f aca="false">лютий!H34</f>
        <v>0</v>
      </c>
      <c r="I34" s="22" t="n">
        <f aca="false">лютий!I34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1649.51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лютий!B35</f>
        <v>Мержиєвська Г.К</v>
      </c>
      <c r="C35" s="18" t="str">
        <f aca="false">лютий!C35</f>
        <v>1027</v>
      </c>
      <c r="D35" s="19" t="n">
        <f aca="false">лютий!P35</f>
        <v>707.3</v>
      </c>
      <c r="E35" s="19" t="n">
        <f aca="false">лютий!Q35</f>
        <v>0</v>
      </c>
      <c r="F35" s="20" t="n">
        <f aca="false">лютий!F35</f>
        <v>0</v>
      </c>
      <c r="G35" s="21" t="n">
        <f aca="false">лютий!G35</f>
        <v>35.17</v>
      </c>
      <c r="H35" s="21" t="n">
        <f aca="false">лютий!H35</f>
        <v>0</v>
      </c>
      <c r="I35" s="22" t="n">
        <f aca="false">лютий!I35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 t="n">
        <v>300</v>
      </c>
      <c r="P35" s="25" t="n">
        <f aca="false">IF(D35=0,IF((N35-E35-O35)&gt;0,(N35-E35-O35),0),IF((D35+N35-O35)&gt;0,(D35+N35-O35),0))</f>
        <v>551.5</v>
      </c>
      <c r="Q35" s="25" t="n">
        <f aca="false">IF(E35=0,IF((D35+N35-O35)&lt;0,ABS(D35+N35-O35),0),IF((N35-E35-O35)&lt;0,ABS(N35-E35-O35),0))</f>
        <v>0</v>
      </c>
    </row>
    <row r="36" customFormat="false" ht="15" hidden="false" customHeight="false" outlineLevel="0" collapsed="false">
      <c r="A36" s="17" t="s">
        <v>104</v>
      </c>
      <c r="B36" s="18" t="str">
        <f aca="false">лютий!B36</f>
        <v>Кулакова Л.В.</v>
      </c>
      <c r="C36" s="18" t="str">
        <f aca="false">лютий!C36</f>
        <v>1028</v>
      </c>
      <c r="D36" s="19" t="n">
        <f aca="false">лютий!P36</f>
        <v>485.57</v>
      </c>
      <c r="E36" s="19" t="n">
        <f aca="false">лютий!Q36</f>
        <v>0</v>
      </c>
      <c r="F36" s="20" t="n">
        <f aca="false">лютий!F36</f>
        <v>0</v>
      </c>
      <c r="G36" s="21" t="n">
        <f aca="false">лютий!G36</f>
        <v>62.47</v>
      </c>
      <c r="H36" s="21" t="n">
        <f aca="false">лютий!H36</f>
        <v>0</v>
      </c>
      <c r="I36" s="22" t="n">
        <f aca="false">лютий!I36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741.7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лютий!B37</f>
        <v>Бочаров В.Л.</v>
      </c>
      <c r="C37" s="18" t="str">
        <f aca="false">лютий!C37</f>
        <v>1029</v>
      </c>
      <c r="D37" s="19" t="n">
        <f aca="false">лютий!P37</f>
        <v>2017.8</v>
      </c>
      <c r="E37" s="19" t="n">
        <f aca="false">лютий!Q37</f>
        <v>0</v>
      </c>
      <c r="F37" s="20" t="n">
        <f aca="false">лютий!F37</f>
        <v>0</v>
      </c>
      <c r="G37" s="21" t="n">
        <f aca="false">лютий!G37</f>
        <v>65.75</v>
      </c>
      <c r="H37" s="21" t="n">
        <f aca="false">лютий!H37</f>
        <v>0</v>
      </c>
      <c r="I37" s="22" t="n">
        <f aca="false">лютий!I37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2287.38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лютий!B38</f>
        <v>Лучков В.Л.</v>
      </c>
      <c r="C38" s="18" t="str">
        <f aca="false">лютий!C38</f>
        <v>1030</v>
      </c>
      <c r="D38" s="19" t="n">
        <f aca="false">лютий!P38</f>
        <v>2640.37</v>
      </c>
      <c r="E38" s="19" t="n">
        <f aca="false">лютий!Q38</f>
        <v>0</v>
      </c>
      <c r="F38" s="20" t="n">
        <f aca="false">лютий!F38</f>
        <v>0</v>
      </c>
      <c r="G38" s="21" t="n">
        <f aca="false">лютий!G38</f>
        <v>49.7</v>
      </c>
      <c r="H38" s="21" t="n">
        <f aca="false">лютий!H38</f>
        <v>0</v>
      </c>
      <c r="I38" s="22" t="n">
        <f aca="false">лютий!I38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2844.14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лютий!B39</f>
        <v>Кашкар Т.М.</v>
      </c>
      <c r="C39" s="18" t="str">
        <f aca="false">лютий!C39</f>
        <v>1031</v>
      </c>
      <c r="D39" s="19" t="n">
        <f aca="false">лютий!P39</f>
        <v>0</v>
      </c>
      <c r="E39" s="19" t="n">
        <f aca="false">лютий!Q39</f>
        <v>5.6843418860808E-014</v>
      </c>
      <c r="F39" s="20" t="n">
        <f aca="false">лютий!F39</f>
        <v>0</v>
      </c>
      <c r="G39" s="21" t="n">
        <f aca="false">лютий!G39</f>
        <v>35.1</v>
      </c>
      <c r="H39" s="21" t="n">
        <f aca="false">лютий!H39</f>
        <v>0</v>
      </c>
      <c r="I39" s="22" t="n">
        <f aca="false">лютий!I39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 t="n">
        <v>143.91</v>
      </c>
      <c r="P39" s="25" t="n">
        <f aca="false">IF(D39=0,IF((N39-E39-O39)&gt;0,(N39-E39-O39),0),IF((D39+N39-O39)&gt;0,(D39+N39-O39),0))</f>
        <v>0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лютий!B40</f>
        <v>Стецюк Н.П.</v>
      </c>
      <c r="C40" s="18" t="str">
        <f aca="false">лютий!C40</f>
        <v>1032</v>
      </c>
      <c r="D40" s="19" t="n">
        <f aca="false">лютий!P40</f>
        <v>2267.25</v>
      </c>
      <c r="E40" s="19" t="n">
        <f aca="false">лютий!Q40</f>
        <v>0</v>
      </c>
      <c r="F40" s="20" t="n">
        <f aca="false">лютий!F40</f>
        <v>0</v>
      </c>
      <c r="G40" s="21" t="n">
        <f aca="false">лютий!G40</f>
        <v>61.9</v>
      </c>
      <c r="H40" s="21" t="n">
        <f aca="false">лютий!H40</f>
        <v>0</v>
      </c>
      <c r="I40" s="22" t="n">
        <f aca="false">лютий!I40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2521.04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лютий!B41</f>
        <v>Маханько В.О.</v>
      </c>
      <c r="C41" s="18" t="str">
        <f aca="false">лютий!C41</f>
        <v>1033</v>
      </c>
      <c r="D41" s="19" t="n">
        <f aca="false">лютий!P41</f>
        <v>1232.64</v>
      </c>
      <c r="E41" s="19" t="n">
        <f aca="false">лютий!Q41</f>
        <v>0</v>
      </c>
      <c r="F41" s="20" t="n">
        <f aca="false">лютий!F41</f>
        <v>0</v>
      </c>
      <c r="G41" s="21" t="n">
        <f aca="false">лютий!G41</f>
        <v>65.53</v>
      </c>
      <c r="H41" s="21" t="n">
        <f aca="false">лютий!H41</f>
        <v>0</v>
      </c>
      <c r="I41" s="22" t="n">
        <f aca="false">лютий!I41</f>
        <v>4.1</v>
      </c>
      <c r="J41" s="23" t="n">
        <f aca="false">ROUND(G41*I41,2)</f>
        <v>268.67</v>
      </c>
      <c r="K41" s="19"/>
      <c r="L41" s="19" t="n">
        <v>268.67</v>
      </c>
      <c r="M41" s="19"/>
      <c r="N41" s="19" t="n">
        <f aca="false">ROUND((G41*I41)-K41-L41-M41,2)</f>
        <v>0</v>
      </c>
      <c r="O41" s="19"/>
      <c r="P41" s="25" t="n">
        <f aca="false">IF(D41=0,IF((N41-E41-O41)&gt;0,(N41-E41-O41),0),IF((D41+N41-O41)&gt;0,(D41+N41-O41),0))</f>
        <v>1232.64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лютий!B42</f>
        <v>Реуцька Р.С.</v>
      </c>
      <c r="C42" s="18" t="str">
        <f aca="false">лютий!C42</f>
        <v>1034</v>
      </c>
      <c r="D42" s="19" t="n">
        <f aca="false">лютий!P42</f>
        <v>1333.28</v>
      </c>
      <c r="E42" s="19" t="n">
        <f aca="false">лютий!Q42</f>
        <v>0</v>
      </c>
      <c r="F42" s="20" t="n">
        <f aca="false">лютий!F42</f>
        <v>0</v>
      </c>
      <c r="G42" s="21" t="n">
        <f aca="false">лютий!G42</f>
        <v>49.7</v>
      </c>
      <c r="H42" s="21" t="n">
        <f aca="false">лютий!H42</f>
        <v>0</v>
      </c>
      <c r="I42" s="22" t="n">
        <f aca="false">лютий!I42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1537.05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лютий!B43</f>
        <v>Колесникова Р.Г.</v>
      </c>
      <c r="C43" s="18" t="str">
        <f aca="false">лютий!C43</f>
        <v>1035</v>
      </c>
      <c r="D43" s="19" t="n">
        <f aca="false">лютий!P43</f>
        <v>884.12</v>
      </c>
      <c r="E43" s="19" t="n">
        <f aca="false">лютий!Q43</f>
        <v>0</v>
      </c>
      <c r="F43" s="20" t="n">
        <f aca="false">лютий!F43</f>
        <v>0</v>
      </c>
      <c r="G43" s="21" t="n">
        <f aca="false">лютий!G43</f>
        <v>35.1</v>
      </c>
      <c r="H43" s="21" t="n">
        <f aca="false">лютий!H43</f>
        <v>0</v>
      </c>
      <c r="I43" s="22" t="n">
        <f aca="false">лютий!I43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 t="n">
        <v>300</v>
      </c>
      <c r="P43" s="25" t="n">
        <f aca="false">IF(D43=0,IF((N43-E43-O43)&gt;0,(N43-E43-O43),0),IF((D43+N43-O43)&gt;0,(D43+N43-O43),0))</f>
        <v>728.03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лютий!B44</f>
        <v>Кучеренко М.М.</v>
      </c>
      <c r="C44" s="18" t="str">
        <f aca="false">лютий!C44</f>
        <v>1036</v>
      </c>
      <c r="D44" s="19" t="n">
        <f aca="false">лютий!P44</f>
        <v>3395.25</v>
      </c>
      <c r="E44" s="19" t="n">
        <f aca="false">лютий!Q44</f>
        <v>0</v>
      </c>
      <c r="F44" s="20" t="n">
        <f aca="false">лютий!F44</f>
        <v>0</v>
      </c>
      <c r="G44" s="21" t="n">
        <f aca="false">лютий!G44</f>
        <v>61.88</v>
      </c>
      <c r="H44" s="21" t="n">
        <f aca="false">лютий!H44</f>
        <v>0</v>
      </c>
      <c r="I44" s="22" t="n">
        <f aca="false">лютий!I44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3648.96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лютий!B45</f>
        <v>Гурова О.М.</v>
      </c>
      <c r="C45" s="18" t="str">
        <f aca="false">лютий!C45</f>
        <v>2037</v>
      </c>
      <c r="D45" s="19" t="n">
        <f aca="false">лютий!P45</f>
        <v>0</v>
      </c>
      <c r="E45" s="19" t="n">
        <f aca="false">лютий!Q45</f>
        <v>61.4099999999996</v>
      </c>
      <c r="F45" s="20" t="n">
        <f aca="false">лютий!F45</f>
        <v>0</v>
      </c>
      <c r="G45" s="21" t="n">
        <f aca="false">лютий!G45</f>
        <v>62.2</v>
      </c>
      <c r="H45" s="21" t="n">
        <f aca="false">лютий!H45</f>
        <v>0</v>
      </c>
      <c r="I45" s="22" t="n">
        <f aca="false">лютий!I45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193.61</v>
      </c>
      <c r="Q45" s="25" t="n">
        <f aca="false">IF(E45=0,IF((D45+N45-O45)&lt;0,ABS(D45+N45-O45),0),IF((N45-E45-O45)&lt;0,ABS(N45-E45-O45),0))</f>
        <v>0</v>
      </c>
    </row>
    <row r="46" customFormat="false" ht="15" hidden="false" customHeight="false" outlineLevel="0" collapsed="false">
      <c r="A46" s="17" t="s">
        <v>134</v>
      </c>
      <c r="B46" s="18" t="str">
        <f aca="false">лютий!B46</f>
        <v>Федорова В.І.</v>
      </c>
      <c r="C46" s="18" t="str">
        <f aca="false">лютий!C46</f>
        <v>2038</v>
      </c>
      <c r="D46" s="19" t="n">
        <f aca="false">лютий!P46</f>
        <v>692.18</v>
      </c>
      <c r="E46" s="19" t="n">
        <f aca="false">лютий!Q46</f>
        <v>0</v>
      </c>
      <c r="F46" s="20" t="n">
        <f aca="false">лютий!F46</f>
        <v>0</v>
      </c>
      <c r="G46" s="21" t="n">
        <f aca="false">лютий!G46</f>
        <v>34.9</v>
      </c>
      <c r="H46" s="21" t="n">
        <f aca="false">лютий!H46</f>
        <v>0</v>
      </c>
      <c r="I46" s="22" t="n">
        <f aca="false">лютий!I46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 t="n">
        <v>835</v>
      </c>
      <c r="P46" s="25" t="n">
        <f aca="false">IF(D46=0,IF((N46-E46-O46)&gt;0,(N46-E46-O46),0),IF((D46+N46-O46)&gt;0,(D46+N46-O46),0))</f>
        <v>0.270000000000209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лютий!B47</f>
        <v>Лаптєв В.І.</v>
      </c>
      <c r="C47" s="18" t="str">
        <f aca="false">лютий!C47</f>
        <v>2039</v>
      </c>
      <c r="D47" s="19" t="n">
        <f aca="false">лютий!P47</f>
        <v>200.1</v>
      </c>
      <c r="E47" s="19" t="n">
        <f aca="false">лютий!Q47</f>
        <v>0</v>
      </c>
      <c r="F47" s="20" t="n">
        <f aca="false">лютий!F47</f>
        <v>0</v>
      </c>
      <c r="G47" s="21" t="n">
        <f aca="false">лютий!G47</f>
        <v>48.8</v>
      </c>
      <c r="H47" s="21" t="n">
        <f aca="false">лютий!H47</f>
        <v>0</v>
      </c>
      <c r="I47" s="22" t="n">
        <f aca="false">лютий!I47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200.08</v>
      </c>
      <c r="Q47" s="25" t="n">
        <f aca="false">IF(E47=0,IF((D47+N47-O47)&lt;0,ABS(D47+N47-O47),0),IF((N47-E47-O47)&lt;0,ABS(N47-E47-O47),0))</f>
        <v>0</v>
      </c>
      <c r="T47" s="46"/>
      <c r="U47" s="46"/>
      <c r="V47" s="46"/>
      <c r="W47" s="46"/>
      <c r="X47" s="46"/>
    </row>
    <row r="48" customFormat="false" ht="15" hidden="false" customHeight="false" outlineLevel="0" collapsed="false">
      <c r="A48" s="17" t="s">
        <v>140</v>
      </c>
      <c r="B48" s="18" t="str">
        <f aca="false">лютий!B48</f>
        <v>Тимощук О.Є.</v>
      </c>
      <c r="C48" s="18" t="str">
        <f aca="false">лютий!C48</f>
        <v>2040</v>
      </c>
      <c r="D48" s="19" t="n">
        <f aca="false">лютий!P48</f>
        <v>694.130000000001</v>
      </c>
      <c r="E48" s="19" t="n">
        <f aca="false">лютий!Q48</f>
        <v>0</v>
      </c>
      <c r="F48" s="20" t="n">
        <f aca="false">лютий!F48</f>
        <v>0</v>
      </c>
      <c r="G48" s="21" t="n">
        <f aca="false">лютий!G48</f>
        <v>57.3</v>
      </c>
      <c r="H48" s="21" t="n">
        <f aca="false">лютий!H48</f>
        <v>0</v>
      </c>
      <c r="I48" s="22" t="n">
        <f aca="false">лютий!I48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v>300</v>
      </c>
      <c r="P48" s="25" t="n">
        <f aca="false">IF(D48=0,IF((N48-E48-O48)&gt;0,(N48-E48-O48),0),IF((D48+N48-O48)&gt;0,(D48+N48-O48),0))</f>
        <v>629.060000000001</v>
      </c>
      <c r="Q48" s="25" t="n">
        <f aca="false">IF(E48=0,IF((D48+N48-O48)&lt;0,ABS(D48+N48-O48),0),IF((N48-E48-O48)&lt;0,ABS(N48-E48-O48),0))</f>
        <v>0</v>
      </c>
      <c r="T48" s="46"/>
      <c r="U48" s="46"/>
      <c r="V48" s="46"/>
      <c r="W48" s="46"/>
      <c r="X48" s="46"/>
    </row>
    <row r="49" customFormat="false" ht="15" hidden="false" customHeight="false" outlineLevel="0" collapsed="false">
      <c r="A49" s="17" t="s">
        <v>143</v>
      </c>
      <c r="B49" s="18" t="str">
        <f aca="false">лютий!B49</f>
        <v>Котяш О.В.</v>
      </c>
      <c r="C49" s="18" t="str">
        <f aca="false">лютий!C49</f>
        <v>2041</v>
      </c>
      <c r="D49" s="19" t="n">
        <f aca="false">лютий!P49</f>
        <v>2333.63</v>
      </c>
      <c r="E49" s="19" t="n">
        <f aca="false">лютий!Q49</f>
        <v>0</v>
      </c>
      <c r="F49" s="20" t="n">
        <f aca="false">лютий!F49</f>
        <v>0</v>
      </c>
      <c r="G49" s="21" t="n">
        <f aca="false">лютий!G49</f>
        <v>63.3</v>
      </c>
      <c r="H49" s="21" t="n">
        <f aca="false">лютий!H49</f>
        <v>0</v>
      </c>
      <c r="I49" s="22" t="n">
        <f aca="false">лютий!I49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2593.16</v>
      </c>
      <c r="Q49" s="25" t="n">
        <f aca="false">IF(E49=0,IF((D49+N49-O49)&lt;0,ABS(D49+N49-O49),0),IF((N49-E49-O49)&lt;0,ABS(N49-E49-O49),0))</f>
        <v>0</v>
      </c>
      <c r="T49" s="46"/>
      <c r="U49" s="46"/>
      <c r="V49" s="46"/>
      <c r="W49" s="46"/>
      <c r="X49" s="46"/>
    </row>
    <row r="50" customFormat="false" ht="15" hidden="false" customHeight="false" outlineLevel="0" collapsed="false">
      <c r="A50" s="17" t="s">
        <v>146</v>
      </c>
      <c r="B50" s="18" t="str">
        <f aca="false">лютий!B50</f>
        <v>Токовило-Паращенко Л.П.</v>
      </c>
      <c r="C50" s="18" t="str">
        <f aca="false">лютий!C50</f>
        <v>2042</v>
      </c>
      <c r="D50" s="19" t="n">
        <f aca="false">лютий!P50</f>
        <v>1323.95</v>
      </c>
      <c r="E50" s="19" t="n">
        <f aca="false">лютий!Q50</f>
        <v>0</v>
      </c>
      <c r="F50" s="20" t="n">
        <f aca="false">лютий!F50</f>
        <v>0</v>
      </c>
      <c r="G50" s="21" t="n">
        <f aca="false">лютий!G50</f>
        <v>35.68</v>
      </c>
      <c r="H50" s="21" t="n">
        <f aca="false">лютий!H50</f>
        <v>0</v>
      </c>
      <c r="I50" s="22" t="n">
        <f aca="false">лютий!I50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1470.24</v>
      </c>
      <c r="Q50" s="25" t="n">
        <f aca="false">IF(E50=0,IF((D50+N50-O50)&lt;0,ABS(D50+N50-O50),0),IF((N50-E50-O50)&lt;0,ABS(N50-E50-O50),0))</f>
        <v>0</v>
      </c>
      <c r="T50" s="46"/>
      <c r="U50" s="46"/>
      <c r="V50" s="46"/>
      <c r="W50" s="46"/>
      <c r="X50" s="46"/>
    </row>
    <row r="51" customFormat="false" ht="15" hidden="false" customHeight="false" outlineLevel="0" collapsed="false">
      <c r="A51" s="17" t="s">
        <v>149</v>
      </c>
      <c r="B51" s="18" t="str">
        <f aca="false">лютий!B51</f>
        <v>Бєлая К.В.</v>
      </c>
      <c r="C51" s="18" t="str">
        <f aca="false">лютий!C51</f>
        <v>2043</v>
      </c>
      <c r="D51" s="19" t="n">
        <f aca="false">лютий!P51</f>
        <v>1225.08</v>
      </c>
      <c r="E51" s="19" t="n">
        <f aca="false">лютий!Q51</f>
        <v>0</v>
      </c>
      <c r="F51" s="20" t="n">
        <f aca="false">лютий!F51</f>
        <v>0</v>
      </c>
      <c r="G51" s="21" t="n">
        <f aca="false">лютий!G51</f>
        <v>49.8</v>
      </c>
      <c r="H51" s="21" t="n">
        <f aca="false">лютий!H51</f>
        <v>0</v>
      </c>
      <c r="I51" s="22" t="n">
        <f aca="false">лютий!I51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1429.26</v>
      </c>
      <c r="Q51" s="25" t="n">
        <f aca="false">IF(E51=0,IF((D51+N51-O51)&lt;0,ABS(D51+N51-O51),0),IF((N51-E51-O51)&lt;0,ABS(N51-E51-O51),0))</f>
        <v>0</v>
      </c>
      <c r="T51" s="46"/>
      <c r="U51" s="46"/>
      <c r="V51" s="46"/>
      <c r="W51" s="46"/>
      <c r="X51" s="46"/>
    </row>
    <row r="52" customFormat="false" ht="15" hidden="false" customHeight="false" outlineLevel="0" collapsed="false">
      <c r="A52" s="17" t="s">
        <v>152</v>
      </c>
      <c r="B52" s="18" t="str">
        <f aca="false">лютий!B52</f>
        <v>Стадник О.Ф.</v>
      </c>
      <c r="C52" s="18" t="str">
        <f aca="false">лютий!C52</f>
        <v>2044</v>
      </c>
      <c r="D52" s="19" t="n">
        <f aca="false">лютий!P52</f>
        <v>4104.33</v>
      </c>
      <c r="E52" s="19" t="n">
        <f aca="false">лютий!Q52</f>
        <v>0</v>
      </c>
      <c r="F52" s="20" t="n">
        <f aca="false">лютий!F52</f>
        <v>0</v>
      </c>
      <c r="G52" s="21" t="n">
        <f aca="false">лютий!G52</f>
        <v>65.9</v>
      </c>
      <c r="H52" s="21" t="n">
        <f aca="false">лютий!H52</f>
        <v>0</v>
      </c>
      <c r="I52" s="22" t="n">
        <f aca="false">лютий!I52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 t="n">
        <v>1080.76</v>
      </c>
      <c r="P52" s="25" t="n">
        <f aca="false">IF(D52=0,IF((N52-E52-O52)&gt;0,(N52-E52-O52),0),IF((D52+N52-O52)&gt;0,(D52+N52-O52),0))</f>
        <v>3293.76</v>
      </c>
      <c r="Q52" s="25" t="n">
        <f aca="false">IF(E52=0,IF((D52+N52-O52)&lt;0,ABS(D52+N52-O52),0),IF((N52-E52-O52)&lt;0,ABS(N52-E52-O52),0))</f>
        <v>0</v>
      </c>
      <c r="T52" s="46"/>
      <c r="U52" s="46"/>
      <c r="V52" s="46"/>
      <c r="W52" s="46"/>
      <c r="X52" s="46"/>
    </row>
    <row r="53" customFormat="false" ht="15" hidden="false" customHeight="false" outlineLevel="0" collapsed="false">
      <c r="A53" s="17" t="s">
        <v>155</v>
      </c>
      <c r="B53" s="18" t="str">
        <f aca="false">лютий!B53</f>
        <v>Ляшенко В.М.</v>
      </c>
      <c r="C53" s="18" t="str">
        <f aca="false">лютий!C53</f>
        <v>2045</v>
      </c>
      <c r="D53" s="19" t="n">
        <f aca="false">лютий!P53</f>
        <v>508.4</v>
      </c>
      <c r="E53" s="19" t="n">
        <f aca="false">лютий!Q53</f>
        <v>0</v>
      </c>
      <c r="F53" s="20" t="n">
        <f aca="false">лютий!F53</f>
        <v>0</v>
      </c>
      <c r="G53" s="21" t="n">
        <f aca="false">лютий!G53</f>
        <v>62</v>
      </c>
      <c r="H53" s="21" t="n">
        <f aca="false">лютий!H53</f>
        <v>0</v>
      </c>
      <c r="I53" s="22" t="n">
        <f aca="false">лютий!I53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762.6</v>
      </c>
      <c r="Q53" s="25" t="n">
        <f aca="false">IF(E53=0,IF((D53+N53-O53)&lt;0,ABS(D53+N53-O53),0),IF((N53-E53-O53)&lt;0,ABS(N53-E53-O53),0))</f>
        <v>0</v>
      </c>
      <c r="T53" s="46"/>
      <c r="U53" s="46"/>
      <c r="V53" s="46"/>
      <c r="W53" s="46"/>
      <c r="X53" s="46"/>
    </row>
    <row r="54" customFormat="false" ht="15" hidden="false" customHeight="false" outlineLevel="0" collapsed="false">
      <c r="A54" s="17" t="s">
        <v>158</v>
      </c>
      <c r="B54" s="18" t="str">
        <f aca="false">лютий!B54</f>
        <v>Смоленська Т.О.</v>
      </c>
      <c r="C54" s="18" t="str">
        <f aca="false">лютий!C54</f>
        <v>2046</v>
      </c>
      <c r="D54" s="19" t="n">
        <f aca="false">лютий!P54</f>
        <v>1287.82</v>
      </c>
      <c r="E54" s="19" t="n">
        <f aca="false">лютий!Q54</f>
        <v>0</v>
      </c>
      <c r="F54" s="20" t="n">
        <f aca="false">лютий!F54</f>
        <v>0</v>
      </c>
      <c r="G54" s="21" t="n">
        <f aca="false">лютий!G54</f>
        <v>35.1</v>
      </c>
      <c r="H54" s="21" t="n">
        <f aca="false">лютий!H54</f>
        <v>0</v>
      </c>
      <c r="I54" s="22" t="n">
        <f aca="false">лютий!I54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1431.73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лютий!B55</f>
        <v>Дудка І.В.</v>
      </c>
      <c r="C55" s="18" t="str">
        <f aca="false">лютий!C55</f>
        <v>2047</v>
      </c>
      <c r="D55" s="19" t="n">
        <f aca="false">лютий!P55</f>
        <v>1422.6</v>
      </c>
      <c r="E55" s="19" t="n">
        <f aca="false">лютий!Q55</f>
        <v>0</v>
      </c>
      <c r="F55" s="20" t="n">
        <f aca="false">лютий!F55</f>
        <v>0</v>
      </c>
      <c r="G55" s="21" t="n">
        <f aca="false">лютий!G55</f>
        <v>49.6</v>
      </c>
      <c r="H55" s="21" t="n">
        <f aca="false">лютий!H55</f>
        <v>0</v>
      </c>
      <c r="I55" s="22" t="n">
        <f aca="false">лютий!I55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 t="n">
        <v>1000</v>
      </c>
      <c r="P55" s="25" t="n">
        <f aca="false">IF(D55=0,IF((N55-E55-O55)&gt;0,(N55-E55-O55),0),IF((D55+N55-O55)&gt;0,(D55+N55-O55),0))</f>
        <v>625.960000000001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лютий!B56</f>
        <v>Буланова Л.І.</v>
      </c>
      <c r="C56" s="18" t="str">
        <f aca="false">лютий!C56</f>
        <v>2048</v>
      </c>
      <c r="D56" s="19" t="n">
        <f aca="false">лютий!P56</f>
        <v>544.59</v>
      </c>
      <c r="E56" s="19" t="n">
        <f aca="false">лютий!Q56</f>
        <v>0</v>
      </c>
      <c r="F56" s="20" t="n">
        <f aca="false">лютий!F56</f>
        <v>0</v>
      </c>
      <c r="G56" s="21" t="n">
        <f aca="false">лютий!G56</f>
        <v>66.44</v>
      </c>
      <c r="H56" s="21" t="n">
        <f aca="false">лютий!H56</f>
        <v>0</v>
      </c>
      <c r="I56" s="22" t="n">
        <f aca="false">лютий!I56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 t="n">
        <v>544.59</v>
      </c>
      <c r="P56" s="25" t="n">
        <f aca="false">IF(D56=0,IF((N56-E56-O56)&gt;0,(N56-E56-O56),0),IF((D56+N56-O56)&gt;0,(D56+N56-O56),0))</f>
        <v>272.4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лютий!B57</f>
        <v>Шалімова О.О.</v>
      </c>
      <c r="C57" s="18" t="str">
        <f aca="false">лютий!C57</f>
        <v>2049</v>
      </c>
      <c r="D57" s="19" t="n">
        <f aca="false">лютий!P57</f>
        <v>2269.49</v>
      </c>
      <c r="E57" s="19" t="n">
        <f aca="false">лютий!Q57</f>
        <v>0</v>
      </c>
      <c r="F57" s="20" t="n">
        <f aca="false">лютий!F57</f>
        <v>0</v>
      </c>
      <c r="G57" s="21" t="n">
        <f aca="false">лютий!G57</f>
        <v>62.1</v>
      </c>
      <c r="H57" s="21" t="n">
        <f aca="false">лютий!H57</f>
        <v>0</v>
      </c>
      <c r="I57" s="22" t="n">
        <f aca="false">лютий!I57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2524.1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лютий!B58</f>
        <v>Андросик О.О.</v>
      </c>
      <c r="C58" s="18" t="str">
        <f aca="false">лютий!C58</f>
        <v>2050</v>
      </c>
      <c r="D58" s="19" t="n">
        <f aca="false">лютий!P58</f>
        <v>286.18</v>
      </c>
      <c r="E58" s="19" t="n">
        <f aca="false">лютий!Q58</f>
        <v>0</v>
      </c>
      <c r="F58" s="20" t="n">
        <f aca="false">лютий!F58</f>
        <v>0</v>
      </c>
      <c r="G58" s="21" t="n">
        <f aca="false">лютий!G58</f>
        <v>34.9</v>
      </c>
      <c r="H58" s="21" t="n">
        <f aca="false">лютий!H58</f>
        <v>0</v>
      </c>
      <c r="I58" s="22" t="n">
        <f aca="false">лютий!I58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429.27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лютий!B59</f>
        <v>Токар Є.А.</v>
      </c>
      <c r="C59" s="18" t="str">
        <f aca="false">лютий!C59</f>
        <v>2051</v>
      </c>
      <c r="D59" s="19" t="n">
        <f aca="false">лютий!P59</f>
        <v>1961.75</v>
      </c>
      <c r="E59" s="19" t="n">
        <f aca="false">лютий!Q59</f>
        <v>0</v>
      </c>
      <c r="F59" s="20" t="n">
        <f aca="false">лютий!F59</f>
        <v>0</v>
      </c>
      <c r="G59" s="21" t="n">
        <f aca="false">лютий!G59</f>
        <v>49.22</v>
      </c>
      <c r="H59" s="21" t="n">
        <f aca="false">лютий!H59</f>
        <v>0</v>
      </c>
      <c r="I59" s="22" t="n">
        <f aca="false">лютий!I59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2163.55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лютий!B60</f>
        <v>Констанчук І.В.</v>
      </c>
      <c r="C60" s="18" t="str">
        <f aca="false">лютий!C60</f>
        <v>2052</v>
      </c>
      <c r="D60" s="19" t="n">
        <f aca="false">лютий!P60</f>
        <v>2381.51</v>
      </c>
      <c r="E60" s="19" t="n">
        <f aca="false">лютий!Q60</f>
        <v>0</v>
      </c>
      <c r="F60" s="20" t="n">
        <f aca="false">лютий!F60</f>
        <v>0</v>
      </c>
      <c r="G60" s="21" t="n">
        <f aca="false">лютий!G60</f>
        <v>65.5</v>
      </c>
      <c r="H60" s="21" t="n">
        <f aca="false">лютий!H60</f>
        <v>0</v>
      </c>
      <c r="I60" s="22" t="n">
        <f aca="false">лютий!I60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2650.06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лютий!B61</f>
        <v>Гончаров В.В.</v>
      </c>
      <c r="C61" s="18" t="str">
        <f aca="false">лютий!C61</f>
        <v>2053</v>
      </c>
      <c r="D61" s="19" t="n">
        <f aca="false">лютий!P61</f>
        <v>416.160000000002</v>
      </c>
      <c r="E61" s="19" t="n">
        <f aca="false">лютий!Q61</f>
        <v>0</v>
      </c>
      <c r="F61" s="20" t="n">
        <f aca="false">лютий!F61</f>
        <v>0</v>
      </c>
      <c r="G61" s="21" t="n">
        <f aca="false">лютий!G61</f>
        <v>62.64</v>
      </c>
      <c r="H61" s="21" t="n">
        <f aca="false">лютий!H61</f>
        <v>0</v>
      </c>
      <c r="I61" s="22" t="n">
        <f aca="false">лютий!I61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672.980000000002</v>
      </c>
      <c r="Q61" s="25" t="n">
        <f aca="false">IF(E61=0,IF((D61+N61-O61)&lt;0,ABS(D61+N61-O61),0),IF((N61-E61-O61)&lt;0,ABS(N61-E61-O61),0))</f>
        <v>0</v>
      </c>
    </row>
    <row r="62" customFormat="false" ht="15" hidden="false" customHeight="false" outlineLevel="0" collapsed="false">
      <c r="A62" s="17" t="s">
        <v>182</v>
      </c>
      <c r="B62" s="18" t="str">
        <f aca="false">лютий!B62</f>
        <v>Ляхомський В.О.</v>
      </c>
      <c r="C62" s="18" t="str">
        <f aca="false">лютий!C62</f>
        <v>2054</v>
      </c>
      <c r="D62" s="19" t="n">
        <f aca="false">лютий!P62</f>
        <v>147.57</v>
      </c>
      <c r="E62" s="19" t="n">
        <f aca="false">лютий!Q62</f>
        <v>0</v>
      </c>
      <c r="F62" s="20" t="n">
        <f aca="false">лютий!F62</f>
        <v>0</v>
      </c>
      <c r="G62" s="21" t="n">
        <f aca="false">лютий!G62</f>
        <v>34.9</v>
      </c>
      <c r="H62" s="21" t="n">
        <f aca="false">лютий!H62</f>
        <v>0</v>
      </c>
      <c r="I62" s="22" t="n">
        <f aca="false">лютий!I62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290.66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лютий!B63</f>
        <v>Крамаренко В.П.</v>
      </c>
      <c r="C63" s="18" t="str">
        <f aca="false">лютий!C63</f>
        <v>2055</v>
      </c>
      <c r="D63" s="19" t="n">
        <f aca="false">лютий!P63</f>
        <v>1844.22</v>
      </c>
      <c r="E63" s="19" t="n">
        <f aca="false">лютий!Q63</f>
        <v>0</v>
      </c>
      <c r="F63" s="20" t="n">
        <f aca="false">лютий!F63</f>
        <v>0</v>
      </c>
      <c r="G63" s="21" t="n">
        <f aca="false">лютий!G63</f>
        <v>49.79</v>
      </c>
      <c r="H63" s="21" t="n">
        <f aca="false">лютий!H63</f>
        <v>0</v>
      </c>
      <c r="I63" s="22" t="n">
        <f aca="false">лютий!I63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2048.36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лютий!B64</f>
        <v>Родзик С.Г.</v>
      </c>
      <c r="C64" s="18" t="str">
        <f aca="false">лютий!C64</f>
        <v>2056</v>
      </c>
      <c r="D64" s="19" t="n">
        <f aca="false">лютий!P64</f>
        <v>1286.29</v>
      </c>
      <c r="E64" s="19" t="n">
        <f aca="false">лютий!Q64</f>
        <v>0</v>
      </c>
      <c r="F64" s="20" t="n">
        <f aca="false">лютий!F64</f>
        <v>0</v>
      </c>
      <c r="G64" s="21" t="n">
        <f aca="false">лютий!G64</f>
        <v>65.2</v>
      </c>
      <c r="H64" s="21" t="n">
        <f aca="false">лютий!H64</f>
        <v>0</v>
      </c>
      <c r="I64" s="22" t="n">
        <f aca="false">лютий!I64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1553.61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лютий!B65</f>
        <v>Никоненко Н.С.</v>
      </c>
      <c r="C65" s="18" t="str">
        <f aca="false">лютий!C65</f>
        <v>2057</v>
      </c>
      <c r="D65" s="19" t="n">
        <f aca="false">лютий!P65</f>
        <v>1416.88</v>
      </c>
      <c r="E65" s="19" t="n">
        <f aca="false">лютий!Q65</f>
        <v>0</v>
      </c>
      <c r="F65" s="20" t="n">
        <f aca="false">лютий!F65</f>
        <v>0</v>
      </c>
      <c r="G65" s="21" t="n">
        <f aca="false">лютий!G65</f>
        <v>61.88</v>
      </c>
      <c r="H65" s="21" t="n">
        <f aca="false">лютий!H65</f>
        <v>0</v>
      </c>
      <c r="I65" s="22" t="n">
        <f aca="false">лютий!I65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1670.59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лютий!B66</f>
        <v>Чепок О.В.</v>
      </c>
      <c r="C66" s="18" t="str">
        <f aca="false">лютий!C66</f>
        <v>2058</v>
      </c>
      <c r="D66" s="19" t="n">
        <f aca="false">лютий!P66</f>
        <v>2904.91</v>
      </c>
      <c r="E66" s="19" t="n">
        <f aca="false">лютий!Q66</f>
        <v>0</v>
      </c>
      <c r="F66" s="20" t="n">
        <f aca="false">лютий!F66</f>
        <v>0</v>
      </c>
      <c r="G66" s="21" t="n">
        <f aca="false">лютий!G66</f>
        <v>35</v>
      </c>
      <c r="H66" s="21" t="n">
        <f aca="false">лютий!H66</f>
        <v>0</v>
      </c>
      <c r="I66" s="22" t="n">
        <f aca="false">лютий!I66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3048.41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лютий!B67</f>
        <v>Горошенко Л.С.</v>
      </c>
      <c r="C67" s="18" t="str">
        <f aca="false">лютий!C67</f>
        <v>2059</v>
      </c>
      <c r="D67" s="19" t="n">
        <f aca="false">лютий!P67</f>
        <v>0</v>
      </c>
      <c r="E67" s="19" t="n">
        <f aca="false">лютий!Q67</f>
        <v>674.37</v>
      </c>
      <c r="F67" s="20" t="n">
        <f aca="false">лютий!F67</f>
        <v>0</v>
      </c>
      <c r="G67" s="21" t="n">
        <f aca="false">лютий!G67</f>
        <v>49.3</v>
      </c>
      <c r="H67" s="21" t="n">
        <f aca="false">лютий!H67</f>
        <v>0</v>
      </c>
      <c r="I67" s="22" t="n">
        <f aca="false">лютий!I67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600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1072.24</v>
      </c>
    </row>
    <row r="68" customFormat="false" ht="15" hidden="false" customHeight="false" outlineLevel="0" collapsed="false">
      <c r="A68" s="17" t="s">
        <v>200</v>
      </c>
      <c r="B68" s="18" t="str">
        <f aca="false">лютий!B68</f>
        <v>Неграчева Л.Г.</v>
      </c>
      <c r="C68" s="18" t="str">
        <f aca="false">лютий!C68</f>
        <v>2060</v>
      </c>
      <c r="D68" s="19" t="n">
        <f aca="false">лютий!P68</f>
        <v>1736.9</v>
      </c>
      <c r="E68" s="19" t="n">
        <f aca="false">лютий!Q68</f>
        <v>0</v>
      </c>
      <c r="F68" s="20" t="n">
        <f aca="false">лютий!F68</f>
        <v>0</v>
      </c>
      <c r="G68" s="21" t="n">
        <f aca="false">лютий!G68</f>
        <v>66.6</v>
      </c>
      <c r="H68" s="21" t="n">
        <f aca="false">лютий!H68</f>
        <v>0</v>
      </c>
      <c r="I68" s="22" t="n">
        <f aca="false">лютий!I68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2009.96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лютий!B69</f>
        <v>Брежнєв О.В.</v>
      </c>
      <c r="C69" s="18" t="str">
        <f aca="false">лютий!C69</f>
        <v>2061</v>
      </c>
      <c r="D69" s="19" t="n">
        <f aca="false">лютий!P69</f>
        <v>3778.1</v>
      </c>
      <c r="E69" s="19" t="n">
        <f aca="false">лютий!Q69</f>
        <v>0</v>
      </c>
      <c r="F69" s="20" t="n">
        <f aca="false">лютий!F69</f>
        <v>0</v>
      </c>
      <c r="G69" s="21" t="n">
        <f aca="false">лютий!G69</f>
        <v>61.88</v>
      </c>
      <c r="H69" s="21" t="n">
        <f aca="false">лютий!H69</f>
        <v>0</v>
      </c>
      <c r="I69" s="22" t="n">
        <f aca="false">лютий!I69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4031.81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лютий!B70</f>
        <v>Горбатюк К.О.</v>
      </c>
      <c r="C70" s="18" t="str">
        <f aca="false">лютий!C70</f>
        <v>2062</v>
      </c>
      <c r="D70" s="19" t="n">
        <f aca="false">лютий!P70</f>
        <v>1133.76</v>
      </c>
      <c r="E70" s="19" t="n">
        <f aca="false">лютий!Q70</f>
        <v>0</v>
      </c>
      <c r="F70" s="20" t="n">
        <f aca="false">лютий!F70</f>
        <v>0</v>
      </c>
      <c r="G70" s="21" t="n">
        <f aca="false">лютий!G70</f>
        <v>34.96</v>
      </c>
      <c r="H70" s="21" t="n">
        <f aca="false">лютий!H70</f>
        <v>0</v>
      </c>
      <c r="I70" s="22" t="n">
        <f aca="false">лютий!I70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1277.1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лютий!B71</f>
        <v>Божик М.О.</v>
      </c>
      <c r="C71" s="18" t="str">
        <f aca="false">лютий!C71</f>
        <v>2063</v>
      </c>
      <c r="D71" s="19" t="n">
        <f aca="false">лютий!P71</f>
        <v>1398.24</v>
      </c>
      <c r="E71" s="19" t="n">
        <f aca="false">лютий!Q71</f>
        <v>0</v>
      </c>
      <c r="F71" s="20" t="n">
        <f aca="false">лютий!F71</f>
        <v>0</v>
      </c>
      <c r="G71" s="21" t="n">
        <f aca="false">лютий!G71</f>
        <v>50.03</v>
      </c>
      <c r="H71" s="21" t="n">
        <f aca="false">лютий!H71</f>
        <v>0</v>
      </c>
      <c r="I71" s="22" t="n">
        <f aca="false">лютий!I71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1603.36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лютий!B72</f>
        <v>Зайченко С.Л</v>
      </c>
      <c r="C72" s="18" t="str">
        <f aca="false">лютий!C72</f>
        <v>2064</v>
      </c>
      <c r="D72" s="19" t="n">
        <f aca="false">лютий!P72</f>
        <v>3442.89</v>
      </c>
      <c r="E72" s="19" t="n">
        <f aca="false">лютий!Q72</f>
        <v>0</v>
      </c>
      <c r="F72" s="20" t="n">
        <f aca="false">лютий!F72</f>
        <v>0</v>
      </c>
      <c r="G72" s="21" t="n">
        <f aca="false">лютий!G72</f>
        <v>65.15</v>
      </c>
      <c r="H72" s="21" t="n">
        <f aca="false">лютий!H72</f>
        <v>0</v>
      </c>
      <c r="I72" s="22" t="n">
        <f aca="false">лютий!I72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3710.01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лютий!B73</f>
        <v>Бессараб Н.Г.</v>
      </c>
      <c r="C73" s="18" t="str">
        <f aca="false">лютий!C73</f>
        <v>2065</v>
      </c>
      <c r="D73" s="19" t="n">
        <f aca="false">лютий!P73</f>
        <v>0</v>
      </c>
      <c r="E73" s="19" t="n">
        <f aca="false">лютий!Q73</f>
        <v>91.3500000000001</v>
      </c>
      <c r="F73" s="20" t="n">
        <f aca="false">лютий!F73</f>
        <v>0</v>
      </c>
      <c r="G73" s="21" t="n">
        <f aca="false">лютий!G73</f>
        <v>63.41</v>
      </c>
      <c r="H73" s="21" t="n">
        <f aca="false">лютий!H73</f>
        <v>0</v>
      </c>
      <c r="I73" s="22" t="n">
        <f aca="false">лютий!I73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/>
      <c r="P73" s="25" t="n">
        <f aca="false">IF(D73=0,IF((N73-E73-O73)&gt;0,(N73-E73-O73),0),IF((D73+N73-O73)&gt;0,(D73+N73-O73),0))</f>
        <v>168.63</v>
      </c>
      <c r="Q73" s="25" t="n">
        <f aca="false">IF(E73=0,IF((D73+N73-O73)&lt;0,ABS(D73+N73-O73),0),IF((N73-E73-O73)&lt;0,ABS(N73-E73-O73),0))</f>
        <v>0</v>
      </c>
    </row>
    <row r="74" customFormat="false" ht="15" hidden="false" customHeight="false" outlineLevel="0" collapsed="false">
      <c r="A74" s="17" t="s">
        <v>218</v>
      </c>
      <c r="B74" s="18" t="str">
        <f aca="false">лютий!B74</f>
        <v>Прохорова С.І.</v>
      </c>
      <c r="C74" s="18" t="str">
        <f aca="false">лютий!C74</f>
        <v>2066</v>
      </c>
      <c r="D74" s="19" t="n">
        <f aca="false">лютий!P74</f>
        <v>1662.55</v>
      </c>
      <c r="E74" s="19" t="n">
        <f aca="false">лютий!Q74</f>
        <v>0</v>
      </c>
      <c r="F74" s="20" t="n">
        <f aca="false">лютий!F74</f>
        <v>0</v>
      </c>
      <c r="G74" s="21" t="n">
        <f aca="false">лютий!G74</f>
        <v>35.19</v>
      </c>
      <c r="H74" s="21" t="n">
        <f aca="false">лютий!H74</f>
        <v>0</v>
      </c>
      <c r="I74" s="22" t="n">
        <f aca="false">лютий!I74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1806.83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лютий!B75</f>
        <v>Браташ А.Ф.</v>
      </c>
      <c r="C75" s="18" t="str">
        <f aca="false">лютий!C75</f>
        <v>2067</v>
      </c>
      <c r="D75" s="19" t="n">
        <f aca="false">лютий!P75</f>
        <v>2926.37</v>
      </c>
      <c r="E75" s="19" t="n">
        <f aca="false">лютий!Q75</f>
        <v>0</v>
      </c>
      <c r="F75" s="20" t="n">
        <f aca="false">лютий!F75</f>
        <v>0</v>
      </c>
      <c r="G75" s="21" t="n">
        <f aca="false">лютий!G75</f>
        <v>49.89</v>
      </c>
      <c r="H75" s="21" t="n">
        <f aca="false">лютий!H75</f>
        <v>0</v>
      </c>
      <c r="I75" s="22" t="n">
        <f aca="false">лютий!I75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3130.92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лютий!B76</f>
        <v>Кудас Д.О.</v>
      </c>
      <c r="C76" s="18" t="str">
        <f aca="false">лютий!C76</f>
        <v>2068</v>
      </c>
      <c r="D76" s="19" t="n">
        <f aca="false">лютий!P76</f>
        <v>240.02</v>
      </c>
      <c r="E76" s="19" t="n">
        <f aca="false">лютий!Q76</f>
        <v>0</v>
      </c>
      <c r="F76" s="20" t="n">
        <f aca="false">лютий!F76</f>
        <v>0</v>
      </c>
      <c r="G76" s="21" t="n">
        <f aca="false">лютий!G76</f>
        <v>65.03</v>
      </c>
      <c r="H76" s="21" t="n">
        <f aca="false">лютий!H76</f>
        <v>0</v>
      </c>
      <c r="I76" s="22" t="n">
        <f aca="false">лютий!I76</f>
        <v>4.1</v>
      </c>
      <c r="J76" s="23" t="n">
        <f aca="false">ROUND(G76*I76,2)</f>
        <v>266.62</v>
      </c>
      <c r="K76" s="19"/>
      <c r="L76" s="19" t="n">
        <v>266.62</v>
      </c>
      <c r="M76" s="19"/>
      <c r="N76" s="19" t="n">
        <f aca="false">ROUND((G76*I76)-K76-L76-M76,2)</f>
        <v>0</v>
      </c>
      <c r="O76" s="19"/>
      <c r="P76" s="25" t="n">
        <f aca="false">IF(D76=0,IF((N76-E76-O76)&gt;0,(N76-E76-O76),0),IF((D76+N76-O76)&gt;0,(D76+N76-O76),0))</f>
        <v>240.02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лютий!B77</f>
        <v>Шушлєбін Б.В.</v>
      </c>
      <c r="C77" s="18" t="str">
        <f aca="false">лютий!C77</f>
        <v>2069</v>
      </c>
      <c r="D77" s="19" t="n">
        <f aca="false">лютий!P77</f>
        <v>465.91</v>
      </c>
      <c r="E77" s="19" t="n">
        <f aca="false">лютий!Q77</f>
        <v>0</v>
      </c>
      <c r="F77" s="20" t="n">
        <f aca="false">лютий!F77</f>
        <v>0</v>
      </c>
      <c r="G77" s="21" t="n">
        <f aca="false">лютий!G77</f>
        <v>62.11</v>
      </c>
      <c r="H77" s="21" t="n">
        <f aca="false">лютий!H77</f>
        <v>0</v>
      </c>
      <c r="I77" s="22" t="n">
        <f aca="false">лютий!I77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720.56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лютий!B78</f>
        <v>Бородіна І.О.</v>
      </c>
      <c r="C78" s="18" t="str">
        <f aca="false">лютий!C78</f>
        <v>2070</v>
      </c>
      <c r="D78" s="19" t="n">
        <f aca="false">лютий!P78</f>
        <v>1900.93</v>
      </c>
      <c r="E78" s="19" t="n">
        <f aca="false">лютий!Q78</f>
        <v>0</v>
      </c>
      <c r="F78" s="20" t="n">
        <f aca="false">лютий!F78</f>
        <v>0</v>
      </c>
      <c r="G78" s="21" t="n">
        <f aca="false">лютий!G78</f>
        <v>34.9</v>
      </c>
      <c r="H78" s="21" t="n">
        <f aca="false">лютий!H78</f>
        <v>0</v>
      </c>
      <c r="I78" s="22" t="n">
        <f aca="false">лютий!I78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2044.02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лютий!B79</f>
        <v>Котурга Л.Й.</v>
      </c>
      <c r="C79" s="18" t="str">
        <f aca="false">лютий!C79</f>
        <v>2071</v>
      </c>
      <c r="D79" s="19" t="n">
        <f aca="false">лютий!P79</f>
        <v>843.62</v>
      </c>
      <c r="E79" s="19" t="n">
        <f aca="false">лютий!Q79</f>
        <v>0</v>
      </c>
      <c r="F79" s="20" t="n">
        <f aca="false">лютий!F79</f>
        <v>0</v>
      </c>
      <c r="G79" s="21" t="n">
        <f aca="false">лютий!G79</f>
        <v>49.2</v>
      </c>
      <c r="H79" s="21" t="n">
        <f aca="false">лютий!H79</f>
        <v>0</v>
      </c>
      <c r="I79" s="22" t="n">
        <f aca="false">лютий!I79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1045.34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лютий!B80</f>
        <v>Горова О.І.</v>
      </c>
      <c r="C80" s="18" t="str">
        <f aca="false">лютий!C80</f>
        <v>2072</v>
      </c>
      <c r="D80" s="19" t="n">
        <f aca="false">лютий!P80</f>
        <v>2212.99</v>
      </c>
      <c r="E80" s="19" t="n">
        <f aca="false">лютий!Q80</f>
        <v>0</v>
      </c>
      <c r="F80" s="20" t="n">
        <f aca="false">лютий!F80</f>
        <v>0</v>
      </c>
      <c r="G80" s="21" t="n">
        <f aca="false">лютий!G80</f>
        <v>65.43</v>
      </c>
      <c r="H80" s="21" t="n">
        <f aca="false">лютий!H80</f>
        <v>0</v>
      </c>
      <c r="I80" s="22" t="n">
        <f aca="false">лютий!I80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2481.25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лютий!B81</f>
        <v>Рибакевич М.П.</v>
      </c>
      <c r="C81" s="18" t="str">
        <f aca="false">лютий!C81</f>
        <v>3073</v>
      </c>
      <c r="D81" s="19" t="n">
        <f aca="false">лютий!P81</f>
        <v>3181</v>
      </c>
      <c r="E81" s="19" t="n">
        <f aca="false">лютий!Q81</f>
        <v>0</v>
      </c>
      <c r="F81" s="20" t="n">
        <f aca="false">лютий!F81</f>
        <v>0</v>
      </c>
      <c r="G81" s="21" t="n">
        <f aca="false">лютий!G81</f>
        <v>64.5</v>
      </c>
      <c r="H81" s="21" t="n">
        <f aca="false">лютий!H81</f>
        <v>0</v>
      </c>
      <c r="I81" s="22" t="n">
        <f aca="false">лютий!I81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3445.45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лютий!B82</f>
        <v>Башкалов В.В.</v>
      </c>
      <c r="C82" s="18" t="str">
        <f aca="false">лютий!C82</f>
        <v>3074</v>
      </c>
      <c r="D82" s="19" t="n">
        <f aca="false">лютий!P82</f>
        <v>1068.11</v>
      </c>
      <c r="E82" s="19" t="n">
        <f aca="false">лютий!Q82</f>
        <v>0</v>
      </c>
      <c r="F82" s="20" t="n">
        <f aca="false">лютий!F82</f>
        <v>0</v>
      </c>
      <c r="G82" s="21" t="n">
        <f aca="false">лютий!G82</f>
        <v>50.8</v>
      </c>
      <c r="H82" s="21" t="n">
        <f aca="false">лютий!H82</f>
        <v>0</v>
      </c>
      <c r="I82" s="22" t="n">
        <f aca="false">лютий!I82</f>
        <v>4.1</v>
      </c>
      <c r="J82" s="23" t="n">
        <f aca="false">ROUND(G82*I82,2)</f>
        <v>208.28</v>
      </c>
      <c r="K82" s="19"/>
      <c r="L82" s="19" t="n">
        <v>208.28</v>
      </c>
      <c r="M82" s="19"/>
      <c r="N82" s="19" t="n">
        <f aca="false">ROUND((G82*I82)-K82-L82-M82,2)</f>
        <v>0</v>
      </c>
      <c r="O82" s="19" t="n">
        <v>1000</v>
      </c>
      <c r="P82" s="25" t="n">
        <f aca="false">IF(D82=0,IF((N82-E82-O82)&gt;0,(N82-E82-O82),0),IF((D82+N82-O82)&gt;0,(D82+N82-O82),0))</f>
        <v>68.1099999999999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лютий!B83</f>
        <v>Тіхенко Г.Д.</v>
      </c>
      <c r="C83" s="18" t="str">
        <f aca="false">лютий!C83</f>
        <v>3075</v>
      </c>
      <c r="D83" s="19" t="n">
        <f aca="false">лютий!P83</f>
        <v>1752.45</v>
      </c>
      <c r="E83" s="19" t="n">
        <f aca="false">лютий!Q83</f>
        <v>0</v>
      </c>
      <c r="F83" s="20" t="n">
        <f aca="false">лютий!F83</f>
        <v>0</v>
      </c>
      <c r="G83" s="21" t="n">
        <f aca="false">лютий!G83</f>
        <v>34.9</v>
      </c>
      <c r="H83" s="21" t="n">
        <f aca="false">лютий!H83</f>
        <v>0</v>
      </c>
      <c r="I83" s="22" t="n">
        <f aca="false">лютий!I83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 t="n">
        <v>300</v>
      </c>
      <c r="P83" s="25" t="n">
        <f aca="false">IF(D83=0,IF((N83-E83-O83)&gt;0,(N83-E83-O83),0),IF((D83+N83-O83)&gt;0,(D83+N83-O83),0))</f>
        <v>1595.54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лютий!B84</f>
        <v>Головченко В.Г.</v>
      </c>
      <c r="C84" s="18" t="str">
        <f aca="false">лютий!C84</f>
        <v>3076</v>
      </c>
      <c r="D84" s="19" t="n">
        <f aca="false">лютий!P84</f>
        <v>1197.78</v>
      </c>
      <c r="E84" s="19" t="n">
        <f aca="false">лютий!Q84</f>
        <v>0</v>
      </c>
      <c r="F84" s="20" t="n">
        <f aca="false">лютий!F84</f>
        <v>0</v>
      </c>
      <c r="G84" s="21" t="n">
        <f aca="false">лютий!G84</f>
        <v>61</v>
      </c>
      <c r="H84" s="21" t="n">
        <f aca="false">лютий!H84</f>
        <v>0</v>
      </c>
      <c r="I84" s="22" t="n">
        <f aca="false">лютий!I84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1447.88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лютий!B85</f>
        <v>Семанішина Є.С.</v>
      </c>
      <c r="C85" s="18" t="str">
        <f aca="false">лютий!C85</f>
        <v>3077</v>
      </c>
      <c r="D85" s="19" t="n">
        <f aca="false">лютий!P85</f>
        <v>2108.35</v>
      </c>
      <c r="E85" s="19" t="n">
        <f aca="false">лютий!Q85</f>
        <v>0</v>
      </c>
      <c r="F85" s="20" t="n">
        <f aca="false">лютий!F85</f>
        <v>0</v>
      </c>
      <c r="G85" s="21" t="n">
        <f aca="false">лютий!G85</f>
        <v>64.5</v>
      </c>
      <c r="H85" s="21" t="n">
        <f aca="false">лютий!H85</f>
        <v>0</v>
      </c>
      <c r="I85" s="22" t="n">
        <f aca="false">лютий!I85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2372.8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лютий!B86</f>
        <v>Зінченко Ю.В.</v>
      </c>
      <c r="C86" s="18" t="str">
        <f aca="false">лютий!C86</f>
        <v>3078</v>
      </c>
      <c r="D86" s="19" t="n">
        <f aca="false">лютий!P86</f>
        <v>578.09</v>
      </c>
      <c r="E86" s="19" t="n">
        <f aca="false">лютий!Q86</f>
        <v>0</v>
      </c>
      <c r="F86" s="20" t="n">
        <f aca="false">лютий!F86</f>
        <v>0</v>
      </c>
      <c r="G86" s="21" t="n">
        <f aca="false">лютий!G86</f>
        <v>49.3</v>
      </c>
      <c r="H86" s="21" t="n">
        <f aca="false">лютий!H86</f>
        <v>0</v>
      </c>
      <c r="I86" s="22" t="n">
        <f aca="false">лютий!I86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780.22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лютий!B87</f>
        <v>Рилова Г.П.</v>
      </c>
      <c r="C87" s="18" t="str">
        <f aca="false">лютий!C87</f>
        <v>3079</v>
      </c>
      <c r="D87" s="19" t="n">
        <f aca="false">лютий!P87</f>
        <v>0</v>
      </c>
      <c r="E87" s="19" t="n">
        <f aca="false">лютий!Q87</f>
        <v>0.60000000000025</v>
      </c>
      <c r="F87" s="20" t="n">
        <f aca="false">лютий!F87</f>
        <v>0</v>
      </c>
      <c r="G87" s="21" t="n">
        <f aca="false">лютий!G87</f>
        <v>35</v>
      </c>
      <c r="H87" s="21" t="n">
        <f aca="false">лютий!H87</f>
        <v>0</v>
      </c>
      <c r="I87" s="22" t="n">
        <f aca="false">лютий!I87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 t="n">
        <v>145</v>
      </c>
      <c r="P87" s="25" t="n">
        <f aca="false">IF(D87=0,IF((N87-E87-O87)&gt;0,(N87-E87-O87),0),IF((D87+N87-O87)&gt;0,(D87+N87-O87),0))</f>
        <v>0</v>
      </c>
      <c r="Q87" s="25" t="n">
        <f aca="false">IF(E87=0,IF((D87+N87-O87)&lt;0,ABS(D87+N87-O87),0),IF((N87-E87-O87)&lt;0,ABS(N87-E87-O87),0))</f>
        <v>2.10000000000025</v>
      </c>
    </row>
    <row r="88" customFormat="false" ht="15" hidden="false" customHeight="false" outlineLevel="0" collapsed="false">
      <c r="A88" s="17" t="s">
        <v>260</v>
      </c>
      <c r="B88" s="18" t="str">
        <f aca="false">лютий!B88</f>
        <v>Ленський І.О.</v>
      </c>
      <c r="C88" s="18" t="str">
        <f aca="false">лютий!C88</f>
        <v>3080</v>
      </c>
      <c r="D88" s="19" t="n">
        <f aca="false">лютий!P88</f>
        <v>243.21</v>
      </c>
      <c r="E88" s="19" t="n">
        <f aca="false">лютий!Q88</f>
        <v>0</v>
      </c>
      <c r="F88" s="20" t="n">
        <f aca="false">лютий!F88</f>
        <v>0</v>
      </c>
      <c r="G88" s="21" t="n">
        <f aca="false">лютий!G88</f>
        <v>61.8</v>
      </c>
      <c r="H88" s="21" t="n">
        <f aca="false">лютий!H88</f>
        <v>0</v>
      </c>
      <c r="I88" s="22" t="n">
        <f aca="false">лютий!I88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/>
      <c r="P88" s="25" t="n">
        <f aca="false">IF(D88=0,IF((N88-E88-O88)&gt;0,(N88-E88-O88),0),IF((D88+N88-O88)&gt;0,(D88+N88-O88),0))</f>
        <v>496.59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лютий!B89</f>
        <v>Слюсар О.О.</v>
      </c>
      <c r="C89" s="18" t="str">
        <f aca="false">лютий!C89</f>
        <v>3081</v>
      </c>
      <c r="D89" s="19" t="n">
        <f aca="false">лютий!P89</f>
        <v>3373.19</v>
      </c>
      <c r="E89" s="19" t="n">
        <f aca="false">лютий!Q89</f>
        <v>0</v>
      </c>
      <c r="F89" s="20" t="n">
        <f aca="false">лютий!F89</f>
        <v>0</v>
      </c>
      <c r="G89" s="21" t="n">
        <f aca="false">лютий!G89</f>
        <v>65.81</v>
      </c>
      <c r="H89" s="21" t="n">
        <f aca="false">лютий!H89</f>
        <v>0</v>
      </c>
      <c r="I89" s="22" t="n">
        <f aca="false">лютий!I89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3643.01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лютий!B90</f>
        <v>Кісельов Г.О.</v>
      </c>
      <c r="C90" s="18" t="str">
        <f aca="false">лютий!C90</f>
        <v>3082</v>
      </c>
      <c r="D90" s="19" t="n">
        <f aca="false">лютий!P90</f>
        <v>1216.61</v>
      </c>
      <c r="E90" s="19" t="n">
        <f aca="false">лютий!Q90</f>
        <v>0</v>
      </c>
      <c r="F90" s="20" t="n">
        <f aca="false">лютий!F90</f>
        <v>0</v>
      </c>
      <c r="G90" s="21" t="n">
        <f aca="false">лютий!G90</f>
        <v>49.7</v>
      </c>
      <c r="H90" s="21" t="n">
        <f aca="false">лютий!H90</f>
        <v>0</v>
      </c>
      <c r="I90" s="22" t="n">
        <f aca="false">лютий!I90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1420.38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лютий!B91</f>
        <v>Губанова Н.С.</v>
      </c>
      <c r="C91" s="18" t="str">
        <f aca="false">лютий!C91</f>
        <v>3083</v>
      </c>
      <c r="D91" s="19" t="n">
        <f aca="false">лютий!P91</f>
        <v>990.15</v>
      </c>
      <c r="E91" s="19" t="n">
        <f aca="false">лютий!Q91</f>
        <v>0</v>
      </c>
      <c r="F91" s="20" t="n">
        <f aca="false">лютий!F91</f>
        <v>0</v>
      </c>
      <c r="G91" s="21" t="n">
        <f aca="false">лютий!G91</f>
        <v>34.5</v>
      </c>
      <c r="H91" s="21" t="n">
        <f aca="false">лютий!H91</f>
        <v>0</v>
      </c>
      <c r="I91" s="22" t="n">
        <f aca="false">лютий!I91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1131.6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лютий!B92</f>
        <v>Попова А.В.</v>
      </c>
      <c r="C92" s="18" t="str">
        <f aca="false">лютий!C92</f>
        <v>3084</v>
      </c>
      <c r="D92" s="19" t="n">
        <f aca="false">лютий!P92</f>
        <v>510.869999999997</v>
      </c>
      <c r="E92" s="19" t="n">
        <f aca="false">лютий!Q92</f>
        <v>0</v>
      </c>
      <c r="F92" s="20" t="n">
        <f aca="false">лютий!F92</f>
        <v>0</v>
      </c>
      <c r="G92" s="21" t="n">
        <f aca="false">лютий!G92</f>
        <v>62.4</v>
      </c>
      <c r="H92" s="21" t="n">
        <f aca="false">лютий!H92</f>
        <v>0</v>
      </c>
      <c r="I92" s="22" t="n">
        <f aca="false">лютий!I92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766.709999999997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лютий!B93</f>
        <v>Стародубець О.К.</v>
      </c>
      <c r="C93" s="18" t="str">
        <f aca="false">лютий!C93</f>
        <v>3085</v>
      </c>
      <c r="D93" s="19" t="n">
        <f aca="false">лютий!P93</f>
        <v>3492.63</v>
      </c>
      <c r="E93" s="19" t="n">
        <f aca="false">лютий!Q93</f>
        <v>0</v>
      </c>
      <c r="F93" s="20" t="n">
        <f aca="false">лютий!F93</f>
        <v>0</v>
      </c>
      <c r="G93" s="21" t="n">
        <f aca="false">лютий!G93</f>
        <v>66.46</v>
      </c>
      <c r="H93" s="21" t="n">
        <f aca="false">лютий!H93</f>
        <v>0</v>
      </c>
      <c r="I93" s="22" t="n">
        <f aca="false">лютий!I93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3765.12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лютий!B94</f>
        <v>Сакун Т.А.</v>
      </c>
      <c r="C94" s="18" t="str">
        <f aca="false">лютий!C94</f>
        <v>3086</v>
      </c>
      <c r="D94" s="19" t="n">
        <f aca="false">лютий!P94</f>
        <v>2854.36</v>
      </c>
      <c r="E94" s="19" t="n">
        <f aca="false">лютий!Q94</f>
        <v>0</v>
      </c>
      <c r="F94" s="20" t="n">
        <f aca="false">лютий!F94</f>
        <v>0</v>
      </c>
      <c r="G94" s="21" t="n">
        <f aca="false">лютий!G94</f>
        <v>49.73</v>
      </c>
      <c r="H94" s="21" t="n">
        <f aca="false">лютий!H94</f>
        <v>0</v>
      </c>
      <c r="I94" s="22" t="n">
        <f aca="false">лютий!I94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3058.25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лютий!B95</f>
        <v>Фатєєв Ю.О.</v>
      </c>
      <c r="C95" s="18" t="str">
        <f aca="false">лютий!C95</f>
        <v>3087</v>
      </c>
      <c r="D95" s="19" t="n">
        <f aca="false">лютий!P95</f>
        <v>4078.63</v>
      </c>
      <c r="E95" s="19" t="n">
        <f aca="false">лютий!Q95</f>
        <v>0</v>
      </c>
      <c r="F95" s="20" t="n">
        <f aca="false">лютий!F95</f>
        <v>0</v>
      </c>
      <c r="G95" s="21" t="n">
        <f aca="false">лютий!G95</f>
        <v>34.9</v>
      </c>
      <c r="H95" s="21" t="n">
        <f aca="false">лютий!H95</f>
        <v>0</v>
      </c>
      <c r="I95" s="22" t="n">
        <f aca="false">лютий!I95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4221.72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лютий!B96</f>
        <v>Лукашов Є.В.</v>
      </c>
      <c r="C96" s="18" t="str">
        <f aca="false">лютий!C96</f>
        <v>3088</v>
      </c>
      <c r="D96" s="19" t="n">
        <f aca="false">лютий!P96</f>
        <v>11948.53</v>
      </c>
      <c r="E96" s="19" t="n">
        <f aca="false">лютий!Q96</f>
        <v>0</v>
      </c>
      <c r="F96" s="20" t="n">
        <f aca="false">лютий!F96</f>
        <v>0</v>
      </c>
      <c r="G96" s="21" t="n">
        <f aca="false">лютий!G96</f>
        <v>61.9</v>
      </c>
      <c r="H96" s="21" t="n">
        <f aca="false">лютий!H96</f>
        <v>0</v>
      </c>
      <c r="I96" s="22" t="n">
        <f aca="false">лютий!I96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12202.32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лютий!B97</f>
        <v>Довбета В.М.</v>
      </c>
      <c r="C97" s="18" t="str">
        <f aca="false">лютий!C97</f>
        <v>3089</v>
      </c>
      <c r="D97" s="19" t="n">
        <f aca="false">лютий!P97</f>
        <v>0</v>
      </c>
      <c r="E97" s="19" t="n">
        <f aca="false">лютий!Q97</f>
        <v>9.86999999999955</v>
      </c>
      <c r="F97" s="20" t="n">
        <f aca="false">лютий!F97</f>
        <v>0</v>
      </c>
      <c r="G97" s="21" t="n">
        <f aca="false">лютий!G97</f>
        <v>65.3</v>
      </c>
      <c r="H97" s="21" t="n">
        <f aca="false">лютий!H97</f>
        <v>0</v>
      </c>
      <c r="I97" s="22" t="n">
        <f aca="false">лютий!I97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260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2.13999999999953</v>
      </c>
    </row>
    <row r="98" customFormat="false" ht="15" hidden="false" customHeight="false" outlineLevel="0" collapsed="false">
      <c r="A98" s="17" t="s">
        <v>290</v>
      </c>
      <c r="B98" s="18" t="str">
        <f aca="false">лютий!B98</f>
        <v>Черняк К.В.</v>
      </c>
      <c r="C98" s="18" t="str">
        <f aca="false">лютий!C98</f>
        <v>3090</v>
      </c>
      <c r="D98" s="19" t="n">
        <f aca="false">лютий!P98</f>
        <v>0</v>
      </c>
      <c r="E98" s="19" t="n">
        <f aca="false">лютий!Q98</f>
        <v>1219.89</v>
      </c>
      <c r="F98" s="20" t="n">
        <f aca="false">лютий!F98</f>
        <v>0</v>
      </c>
      <c r="G98" s="21" t="n">
        <f aca="false">лютий!G98</f>
        <v>49.48</v>
      </c>
      <c r="H98" s="21" t="n">
        <f aca="false">лютий!H98</f>
        <v>0</v>
      </c>
      <c r="I98" s="22" t="n">
        <f aca="false">лютий!I98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1017.02</v>
      </c>
    </row>
    <row r="99" customFormat="false" ht="15" hidden="false" customHeight="false" outlineLevel="0" collapsed="false">
      <c r="A99" s="17" t="s">
        <v>293</v>
      </c>
      <c r="B99" s="18" t="str">
        <f aca="false">лютий!B99</f>
        <v>Удінцева Г.А.</v>
      </c>
      <c r="C99" s="18" t="str">
        <f aca="false">лютий!C99</f>
        <v>3091</v>
      </c>
      <c r="D99" s="19" t="n">
        <f aca="false">лютий!P99</f>
        <v>285.1</v>
      </c>
      <c r="E99" s="19" t="n">
        <f aca="false">лютий!Q99</f>
        <v>0</v>
      </c>
      <c r="F99" s="20" t="n">
        <f aca="false">лютий!F99</f>
        <v>0</v>
      </c>
      <c r="G99" s="21" t="n">
        <f aca="false">лютий!G99</f>
        <v>35.1</v>
      </c>
      <c r="H99" s="21" t="n">
        <f aca="false">лютий!H99</f>
        <v>0</v>
      </c>
      <c r="I99" s="22" t="n">
        <f aca="false">лютий!I99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429.01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лютий!B100</f>
        <v>Липка Г.Ю.</v>
      </c>
      <c r="C100" s="18" t="str">
        <f aca="false">лютий!C100</f>
        <v>3092</v>
      </c>
      <c r="D100" s="19" t="n">
        <f aca="false">лютий!P100</f>
        <v>4145.92</v>
      </c>
      <c r="E100" s="19" t="n">
        <f aca="false">лютий!Q100</f>
        <v>0</v>
      </c>
      <c r="F100" s="20" t="n">
        <f aca="false">лютий!F100</f>
        <v>0</v>
      </c>
      <c r="G100" s="21" t="n">
        <f aca="false">лютий!G100</f>
        <v>63.2</v>
      </c>
      <c r="H100" s="21" t="n">
        <f aca="false">лютий!H100</f>
        <v>0</v>
      </c>
      <c r="I100" s="22" t="n">
        <f aca="false">лютий!I100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4405.04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лютий!B101</f>
        <v>Утьосов Д.М.</v>
      </c>
      <c r="C101" s="18" t="str">
        <f aca="false">лютий!C101</f>
        <v>3093</v>
      </c>
      <c r="D101" s="19" t="n">
        <f aca="false">лютий!P101</f>
        <v>3180.5</v>
      </c>
      <c r="E101" s="19" t="n">
        <f aca="false">лютий!Q101</f>
        <v>0</v>
      </c>
      <c r="F101" s="20" t="n">
        <f aca="false">лютий!F101</f>
        <v>0</v>
      </c>
      <c r="G101" s="21" t="n">
        <f aca="false">лютий!G101</f>
        <v>66.1</v>
      </c>
      <c r="H101" s="21" t="n">
        <f aca="false">лютий!H101</f>
        <v>0</v>
      </c>
      <c r="I101" s="22" t="n">
        <f aca="false">лютий!I101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3451.51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лютий!B102</f>
        <v>Стеценко Д.М.</v>
      </c>
      <c r="C102" s="18" t="str">
        <f aca="false">лютий!C102</f>
        <v>3094</v>
      </c>
      <c r="D102" s="19" t="n">
        <f aca="false">лютий!P102</f>
        <v>408.430000000001</v>
      </c>
      <c r="E102" s="19" t="n">
        <f aca="false">лютий!Q102</f>
        <v>0</v>
      </c>
      <c r="F102" s="20" t="n">
        <f aca="false">лютий!F102</f>
        <v>0</v>
      </c>
      <c r="G102" s="21" t="n">
        <f aca="false">лютий!G102</f>
        <v>49.8</v>
      </c>
      <c r="H102" s="21" t="n">
        <f aca="false">лютий!H102</f>
        <v>0</v>
      </c>
      <c r="I102" s="22" t="n">
        <f aca="false">лютий!I102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612.610000000001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лютий!B103</f>
        <v>Задніпряна О.М.</v>
      </c>
      <c r="C103" s="18" t="str">
        <f aca="false">лютий!C103</f>
        <v>3095</v>
      </c>
      <c r="D103" s="19" t="n">
        <f aca="false">лютий!P103</f>
        <v>1420.2</v>
      </c>
      <c r="E103" s="19" t="n">
        <f aca="false">лютий!Q103</f>
        <v>0</v>
      </c>
      <c r="F103" s="20" t="n">
        <f aca="false">лютий!F103</f>
        <v>0</v>
      </c>
      <c r="G103" s="21" t="n">
        <f aca="false">лютий!G103</f>
        <v>34.6</v>
      </c>
      <c r="H103" s="21" t="n">
        <f aca="false">лютий!H103</f>
        <v>0</v>
      </c>
      <c r="I103" s="22" t="n">
        <f aca="false">лютий!I103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1562.06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лютий!B104</f>
        <v>Геращенко М.Д.</v>
      </c>
      <c r="C104" s="18" t="str">
        <f aca="false">лютий!C104</f>
        <v>3096</v>
      </c>
      <c r="D104" s="19" t="n">
        <f aca="false">лютий!P104</f>
        <v>512.620000000001</v>
      </c>
      <c r="E104" s="19" t="n">
        <f aca="false">лютий!Q104</f>
        <v>0</v>
      </c>
      <c r="F104" s="20" t="n">
        <f aca="false">лютий!F104</f>
        <v>0</v>
      </c>
      <c r="G104" s="21" t="n">
        <f aca="false">лютий!G104</f>
        <v>62.6</v>
      </c>
      <c r="H104" s="21" t="n">
        <f aca="false">лютий!H104</f>
        <v>0</v>
      </c>
      <c r="I104" s="22" t="n">
        <f aca="false">лютий!I104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769.28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лютий!B105</f>
        <v>Горб В.М.</v>
      </c>
      <c r="C105" s="18" t="str">
        <f aca="false">лютий!C105</f>
        <v>3097</v>
      </c>
      <c r="D105" s="19" t="n">
        <f aca="false">лютий!P105</f>
        <v>2148.03</v>
      </c>
      <c r="E105" s="19" t="n">
        <f aca="false">лютий!Q105</f>
        <v>0</v>
      </c>
      <c r="F105" s="20" t="n">
        <f aca="false">лютий!F105</f>
        <v>0</v>
      </c>
      <c r="G105" s="21" t="n">
        <f aca="false">лютий!G105</f>
        <v>65.57</v>
      </c>
      <c r="H105" s="21" t="n">
        <f aca="false">лютий!H105</f>
        <v>0</v>
      </c>
      <c r="I105" s="22" t="n">
        <f aca="false">лютий!I105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2416.87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лютий!B106</f>
        <v>Нойок Г.К.</v>
      </c>
      <c r="C106" s="18" t="str">
        <f aca="false">лютий!C106</f>
        <v>3098</v>
      </c>
      <c r="D106" s="19" t="n">
        <f aca="false">лютий!P106</f>
        <v>422.03</v>
      </c>
      <c r="E106" s="19" t="n">
        <f aca="false">лютий!Q106</f>
        <v>0</v>
      </c>
      <c r="F106" s="20" t="n">
        <f aca="false">лютий!F106</f>
        <v>0</v>
      </c>
      <c r="G106" s="21" t="n">
        <f aca="false">лютий!G106</f>
        <v>49.8</v>
      </c>
      <c r="H106" s="21" t="n">
        <f aca="false">лютий!H106</f>
        <v>0</v>
      </c>
      <c r="I106" s="22" t="n">
        <f aca="false">лютий!I106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626.21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лютий!B107</f>
        <v>Сафонова О.В.</v>
      </c>
      <c r="C107" s="18" t="str">
        <f aca="false">лютий!C107</f>
        <v>3099</v>
      </c>
      <c r="D107" s="19" t="n">
        <f aca="false">лютий!P107</f>
        <v>1398.9</v>
      </c>
      <c r="E107" s="19" t="n">
        <f aca="false">лютий!Q107</f>
        <v>0</v>
      </c>
      <c r="F107" s="20" t="n">
        <f aca="false">лютий!F107</f>
        <v>0</v>
      </c>
      <c r="G107" s="21" t="n">
        <f aca="false">лютий!G107</f>
        <v>34.9</v>
      </c>
      <c r="H107" s="21" t="n">
        <f aca="false">лютий!H107</f>
        <v>0</v>
      </c>
      <c r="I107" s="22" t="n">
        <f aca="false">лютий!I107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 t="n">
        <v>300</v>
      </c>
      <c r="P107" s="25" t="n">
        <f aca="false">IF(D107=0,IF((N107-E107-O107)&gt;0,(N107-E107-O107),0),IF((D107+N107-O107)&gt;0,(D107+N107-O107),0))</f>
        <v>1241.99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лютий!B108</f>
        <v>Вінарська Н.П.</v>
      </c>
      <c r="C108" s="18" t="str">
        <f aca="false">лютий!C108</f>
        <v>30100</v>
      </c>
      <c r="D108" s="19" t="n">
        <f aca="false">лютий!P108</f>
        <v>3345.44</v>
      </c>
      <c r="E108" s="19" t="n">
        <f aca="false">лютий!Q108</f>
        <v>0</v>
      </c>
      <c r="F108" s="20" t="n">
        <f aca="false">лютий!F108</f>
        <v>0</v>
      </c>
      <c r="G108" s="21" t="n">
        <f aca="false">лютий!G108</f>
        <v>62.78</v>
      </c>
      <c r="H108" s="21" t="n">
        <f aca="false">лютий!H108</f>
        <v>0</v>
      </c>
      <c r="I108" s="22" t="n">
        <f aca="false">лютий!I108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3602.84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лютий!B109</f>
        <v>Чернова Н.І.</v>
      </c>
      <c r="C109" s="18" t="str">
        <f aca="false">лютий!C109</f>
        <v>30101</v>
      </c>
      <c r="D109" s="19" t="n">
        <f aca="false">лютий!P109</f>
        <v>3452.34</v>
      </c>
      <c r="E109" s="19" t="n">
        <f aca="false">лютий!Q109</f>
        <v>0</v>
      </c>
      <c r="F109" s="20" t="n">
        <f aca="false">лютий!F109</f>
        <v>0</v>
      </c>
      <c r="G109" s="21" t="n">
        <f aca="false">лютий!G109</f>
        <v>66.29</v>
      </c>
      <c r="H109" s="21" t="n">
        <f aca="false">лютий!H109</f>
        <v>0</v>
      </c>
      <c r="I109" s="22" t="n">
        <f aca="false">лютий!I109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3724.13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лютий!B110</f>
        <v>Кошева Н.П</v>
      </c>
      <c r="C110" s="18" t="str">
        <f aca="false">лютий!C110</f>
        <v>30102</v>
      </c>
      <c r="D110" s="19" t="n">
        <f aca="false">лютий!P110</f>
        <v>2279</v>
      </c>
      <c r="E110" s="19" t="n">
        <f aca="false">лютий!Q110</f>
        <v>0</v>
      </c>
      <c r="F110" s="20" t="n">
        <f aca="false">лютий!F110</f>
        <v>0</v>
      </c>
      <c r="G110" s="21" t="n">
        <f aca="false">лютий!G110</f>
        <v>50</v>
      </c>
      <c r="H110" s="21" t="n">
        <f aca="false">лютий!H110</f>
        <v>0</v>
      </c>
      <c r="I110" s="22" t="n">
        <f aca="false">лютий!I110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2484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лютий!B111</f>
        <v>Уривський Д.Б.</v>
      </c>
      <c r="C111" s="18" t="str">
        <f aca="false">лютий!C111</f>
        <v>30103</v>
      </c>
      <c r="D111" s="19" t="n">
        <f aca="false">лютий!P111</f>
        <v>1942.09</v>
      </c>
      <c r="E111" s="19" t="n">
        <f aca="false">лютий!Q111</f>
        <v>0</v>
      </c>
      <c r="F111" s="20" t="n">
        <f aca="false">лютий!F111</f>
        <v>0</v>
      </c>
      <c r="G111" s="21" t="n">
        <f aca="false">лютий!G111</f>
        <v>35</v>
      </c>
      <c r="H111" s="21" t="n">
        <f aca="false">лютий!H111</f>
        <v>0</v>
      </c>
      <c r="I111" s="22" t="n">
        <f aca="false">лютий!I111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2085.59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лютий!B112</f>
        <v>АДПСУ (Чорноморець В.М.)</v>
      </c>
      <c r="C112" s="18" t="str">
        <f aca="false">лютий!C112</f>
        <v>30104</v>
      </c>
      <c r="D112" s="19" t="n">
        <f aca="false">лютий!P112</f>
        <v>1778.34</v>
      </c>
      <c r="E112" s="19" t="n">
        <f aca="false">лютий!Q112</f>
        <v>0</v>
      </c>
      <c r="F112" s="20" t="n">
        <f aca="false">лютий!F112</f>
        <v>0</v>
      </c>
      <c r="G112" s="21" t="n">
        <f aca="false">лютий!G112</f>
        <v>61.1</v>
      </c>
      <c r="H112" s="21" t="n">
        <f aca="false">лютий!H112</f>
        <v>0</v>
      </c>
      <c r="I112" s="22" t="n">
        <f aca="false">лютий!I112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2028.85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лютий!B113</f>
        <v>Дмитренко Г.В.</v>
      </c>
      <c r="C113" s="18" t="str">
        <f aca="false">лютий!C113</f>
        <v>30105</v>
      </c>
      <c r="D113" s="19" t="n">
        <f aca="false">лютий!P113</f>
        <v>2440.07</v>
      </c>
      <c r="E113" s="19" t="n">
        <f aca="false">лютий!Q113</f>
        <v>0</v>
      </c>
      <c r="F113" s="20" t="n">
        <f aca="false">лютий!F113</f>
        <v>0</v>
      </c>
      <c r="G113" s="21" t="n">
        <f aca="false">лютий!G113</f>
        <v>64.89</v>
      </c>
      <c r="H113" s="21" t="n">
        <f aca="false">лютий!H113</f>
        <v>0</v>
      </c>
      <c r="I113" s="22" t="n">
        <f aca="false">лютий!I113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2706.12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лютий!B114</f>
        <v>Номерова Т.В.</v>
      </c>
      <c r="C114" s="18" t="str">
        <f aca="false">лютий!C114</f>
        <v>30106</v>
      </c>
      <c r="D114" s="19" t="n">
        <f aca="false">лютий!P114</f>
        <v>60.4800000000002</v>
      </c>
      <c r="E114" s="19" t="n">
        <f aca="false">лютий!Q114</f>
        <v>0</v>
      </c>
      <c r="F114" s="20" t="n">
        <f aca="false">лютий!F114</f>
        <v>0</v>
      </c>
      <c r="G114" s="21" t="n">
        <f aca="false">лютий!G114</f>
        <v>49.96</v>
      </c>
      <c r="H114" s="21" t="n">
        <f aca="false">лютий!H114</f>
        <v>0</v>
      </c>
      <c r="I114" s="22" t="n">
        <f aca="false">лютий!I114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265.32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лютий!B115</f>
        <v>Самойлова О.В.</v>
      </c>
      <c r="C115" s="18" t="str">
        <f aca="false">лютий!C115</f>
        <v>30107</v>
      </c>
      <c r="D115" s="19" t="n">
        <f aca="false">лютий!P115</f>
        <v>141.45</v>
      </c>
      <c r="E115" s="19" t="n">
        <f aca="false">лютий!Q115</f>
        <v>0</v>
      </c>
      <c r="F115" s="20" t="n">
        <f aca="false">лютий!F115</f>
        <v>0</v>
      </c>
      <c r="G115" s="21" t="n">
        <f aca="false">лютий!G115</f>
        <v>34.5</v>
      </c>
      <c r="H115" s="21" t="n">
        <f aca="false">лютий!H115</f>
        <v>0</v>
      </c>
      <c r="I115" s="22" t="n">
        <f aca="false">лютий!I115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 t="n">
        <v>141.45</v>
      </c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лютий!B116</f>
        <v>Випенко О.І.</v>
      </c>
      <c r="C116" s="18" t="str">
        <f aca="false">лютий!C116</f>
        <v>30108</v>
      </c>
      <c r="D116" s="19" t="n">
        <f aca="false">лютий!P116</f>
        <v>6672.78</v>
      </c>
      <c r="E116" s="19" t="n">
        <f aca="false">лютий!Q116</f>
        <v>0</v>
      </c>
      <c r="F116" s="20" t="n">
        <f aca="false">лютий!F116</f>
        <v>0</v>
      </c>
      <c r="G116" s="21" t="n">
        <f aca="false">лютий!G116</f>
        <v>62.9</v>
      </c>
      <c r="H116" s="21" t="n">
        <f aca="false">лютий!H116</f>
        <v>0</v>
      </c>
      <c r="I116" s="22" t="n">
        <f aca="false">лютий!I116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6930.67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лютий!B117</f>
        <v>Саприкін Ю.О.</v>
      </c>
      <c r="C117" s="18" t="str">
        <f aca="false">лютий!C117</f>
        <v>40109</v>
      </c>
      <c r="D117" s="19" t="n">
        <f aca="false">лютий!P117</f>
        <v>3196.4</v>
      </c>
      <c r="E117" s="19" t="n">
        <f aca="false">лютий!Q117</f>
        <v>0</v>
      </c>
      <c r="F117" s="20" t="n">
        <f aca="false">лютий!F117</f>
        <v>0</v>
      </c>
      <c r="G117" s="21" t="n">
        <f aca="false">лютий!G117</f>
        <v>97.2</v>
      </c>
      <c r="H117" s="21" t="n">
        <f aca="false">лютий!H117</f>
        <v>0</v>
      </c>
      <c r="I117" s="22" t="n">
        <f aca="false">лютий!I117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 t="n">
        <v>2399.36</v>
      </c>
      <c r="P117" s="25" t="n">
        <f aca="false">IF(D117=0,IF((N117-E117-O117)&gt;0,(N117-E117-O117),0),IF((D117+N117-O117)&gt;0,(D117+N117-O117),0))</f>
        <v>1195.56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лютий!B118</f>
        <v>Мовчан В.М.</v>
      </c>
      <c r="C118" s="18" t="str">
        <f aca="false">лютий!C118</f>
        <v>40110</v>
      </c>
      <c r="D118" s="19" t="n">
        <f aca="false">лютий!P118</f>
        <v>398.73</v>
      </c>
      <c r="E118" s="19" t="n">
        <f aca="false">лютий!Q118</f>
        <v>0</v>
      </c>
      <c r="F118" s="20" t="n">
        <f aca="false">лютий!F118</f>
        <v>0</v>
      </c>
      <c r="G118" s="21" t="n">
        <f aca="false">лютий!G118</f>
        <v>48.75</v>
      </c>
      <c r="H118" s="21" t="n">
        <f aca="false">лютий!H118</f>
        <v>0</v>
      </c>
      <c r="I118" s="22" t="n">
        <f aca="false">лютий!I118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 t="n">
        <v>199.88</v>
      </c>
      <c r="P118" s="25" t="n">
        <f aca="false">IF(D118=0,IF((N118-E118-O118)&gt;0,(N118-E118-O118),0),IF((D118+N118-O118)&gt;0,(D118+N118-O118),0))</f>
        <v>398.73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лютий!B119</f>
        <v>Величко Н.М.</v>
      </c>
      <c r="C119" s="18" t="str">
        <f aca="false">лютий!C119</f>
        <v>40111</v>
      </c>
      <c r="D119" s="19" t="n">
        <f aca="false">лютий!P119</f>
        <v>2612.58</v>
      </c>
      <c r="E119" s="19" t="n">
        <f aca="false">лютий!Q119</f>
        <v>0</v>
      </c>
      <c r="F119" s="20" t="n">
        <f aca="false">лютий!F119</f>
        <v>0</v>
      </c>
      <c r="G119" s="21" t="n">
        <f aca="false">лютий!G119</f>
        <v>63.8</v>
      </c>
      <c r="H119" s="21" t="n">
        <f aca="false">лютий!H119</f>
        <v>0</v>
      </c>
      <c r="I119" s="22" t="n">
        <f aca="false">лютий!I119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2874.16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лютий!B120</f>
        <v>Бухлов С.В.</v>
      </c>
      <c r="C120" s="18" t="str">
        <f aca="false">лютий!C120</f>
        <v>40112</v>
      </c>
      <c r="D120" s="19" t="n">
        <f aca="false">лютий!P120</f>
        <v>8507.81</v>
      </c>
      <c r="E120" s="19" t="n">
        <f aca="false">лютий!Q120</f>
        <v>0</v>
      </c>
      <c r="F120" s="20" t="n">
        <f aca="false">лютий!F120</f>
        <v>0</v>
      </c>
      <c r="G120" s="21" t="n">
        <f aca="false">лютий!G120</f>
        <v>62.6</v>
      </c>
      <c r="H120" s="21" t="n">
        <f aca="false">лютий!H120</f>
        <v>0</v>
      </c>
      <c r="I120" s="22" t="n">
        <f aca="false">лютий!I120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8764.47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лютий!B121</f>
        <v>Перепеліцина Т.Ю.</v>
      </c>
      <c r="C121" s="18" t="str">
        <f aca="false">лютий!C121</f>
        <v>40113</v>
      </c>
      <c r="D121" s="19" t="n">
        <f aca="false">лютий!P121</f>
        <v>0</v>
      </c>
      <c r="E121" s="19" t="n">
        <f aca="false">лютий!Q121</f>
        <v>333.99</v>
      </c>
      <c r="F121" s="20" t="n">
        <f aca="false">лютий!F121</f>
        <v>0</v>
      </c>
      <c r="G121" s="21" t="n">
        <f aca="false">лютий!G121</f>
        <v>34.7</v>
      </c>
      <c r="H121" s="21" t="n">
        <f aca="false">лютий!H121</f>
        <v>0</v>
      </c>
      <c r="I121" s="22" t="n">
        <f aca="false">лютий!I121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0</v>
      </c>
      <c r="Q121" s="25" t="n">
        <f aca="false">IF(E121=0,IF((D121+N121-O121)&lt;0,ABS(D121+N121-O121),0),IF((N121-E121-O121)&lt;0,ABS(N121-E121-O121),0))</f>
        <v>191.72</v>
      </c>
    </row>
    <row r="122" customFormat="false" ht="15" hidden="false" customHeight="false" outlineLevel="0" collapsed="false">
      <c r="A122" s="17" t="s">
        <v>362</v>
      </c>
      <c r="B122" s="18" t="str">
        <f aca="false">лютий!B122</f>
        <v>Свєтлова Т.Ю.</v>
      </c>
      <c r="C122" s="18" t="str">
        <f aca="false">лютий!C122</f>
        <v>40114</v>
      </c>
      <c r="D122" s="19" t="n">
        <f aca="false">лютий!P122</f>
        <v>1417.3</v>
      </c>
      <c r="E122" s="19" t="n">
        <f aca="false">лютий!Q122</f>
        <v>0</v>
      </c>
      <c r="F122" s="20" t="n">
        <f aca="false">лютий!F122</f>
        <v>0</v>
      </c>
      <c r="G122" s="21" t="n">
        <f aca="false">лютий!G122</f>
        <v>49.72</v>
      </c>
      <c r="H122" s="21" t="n">
        <f aca="false">лютий!H122</f>
        <v>0</v>
      </c>
      <c r="I122" s="22" t="n">
        <f aca="false">лютий!I122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 t="n">
        <f aca="false">408+600</f>
        <v>1008</v>
      </c>
      <c r="P122" s="25" t="n">
        <f aca="false">IF(D122=0,IF((N122-E122-O122)&gt;0,(N122-E122-O122),0),IF((D122+N122-O122)&gt;0,(D122+N122-O122),0))</f>
        <v>613.15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лютий!B123</f>
        <v>Маркова О.М.</v>
      </c>
      <c r="C123" s="18" t="str">
        <f aca="false">лютий!C123</f>
        <v>40115</v>
      </c>
      <c r="D123" s="19" t="n">
        <f aca="false">лютий!P123</f>
        <v>3489.83</v>
      </c>
      <c r="E123" s="19" t="n">
        <f aca="false">лютий!Q123</f>
        <v>0</v>
      </c>
      <c r="F123" s="20" t="n">
        <f aca="false">лютий!F123</f>
        <v>0</v>
      </c>
      <c r="G123" s="21" t="n">
        <f aca="false">лютий!G123</f>
        <v>65.1</v>
      </c>
      <c r="H123" s="21" t="n">
        <f aca="false">лютий!H123</f>
        <v>0</v>
      </c>
      <c r="I123" s="22" t="n">
        <f aca="false">лютий!I123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3756.74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лютий!B124</f>
        <v>Ракитська А.М.</v>
      </c>
      <c r="C124" s="18" t="str">
        <f aca="false">лютий!C124</f>
        <v>40116</v>
      </c>
      <c r="D124" s="19" t="n">
        <f aca="false">лютий!P124</f>
        <v>1964.72</v>
      </c>
      <c r="E124" s="19" t="n">
        <f aca="false">лютий!Q124</f>
        <v>0</v>
      </c>
      <c r="F124" s="20" t="n">
        <f aca="false">лютий!F124</f>
        <v>0</v>
      </c>
      <c r="G124" s="21" t="n">
        <f aca="false">лютий!G124</f>
        <v>62.18</v>
      </c>
      <c r="H124" s="21" t="n">
        <f aca="false">лютий!H124</f>
        <v>0</v>
      </c>
      <c r="I124" s="22" t="n">
        <f aca="false">лютий!I124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2219.66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лютий!B125</f>
        <v>Гусак К.С.</v>
      </c>
      <c r="C125" s="18" t="str">
        <f aca="false">лютий!C125</f>
        <v>40117</v>
      </c>
      <c r="D125" s="19" t="n">
        <f aca="false">лютий!P125</f>
        <v>1788.06</v>
      </c>
      <c r="E125" s="19" t="n">
        <f aca="false">лютий!Q125</f>
        <v>0</v>
      </c>
      <c r="F125" s="20" t="n">
        <f aca="false">лютий!F125</f>
        <v>0</v>
      </c>
      <c r="G125" s="21" t="n">
        <f aca="false">лютий!G125</f>
        <v>35.1</v>
      </c>
      <c r="H125" s="21" t="n">
        <f aca="false">лютий!H125</f>
        <v>0</v>
      </c>
      <c r="I125" s="22" t="n">
        <f aca="false">лютий!I125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1931.97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лютий!B126</f>
        <v>Пісоченко М.Г.</v>
      </c>
      <c r="C126" s="18" t="str">
        <f aca="false">лютий!C126</f>
        <v>40118</v>
      </c>
      <c r="D126" s="19" t="n">
        <f aca="false">лютий!P126</f>
        <v>1964.58</v>
      </c>
      <c r="E126" s="19" t="n">
        <f aca="false">лютий!Q126</f>
        <v>0</v>
      </c>
      <c r="F126" s="20" t="n">
        <f aca="false">лютий!F126</f>
        <v>0</v>
      </c>
      <c r="G126" s="21" t="n">
        <f aca="false">лютий!G126</f>
        <v>49.8</v>
      </c>
      <c r="H126" s="21" t="n">
        <f aca="false">лютий!H126</f>
        <v>0</v>
      </c>
      <c r="I126" s="22" t="n">
        <f aca="false">лютий!I126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2168.76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лютий!B127</f>
        <v>Столяр О.М.</v>
      </c>
      <c r="C127" s="18" t="str">
        <f aca="false">лютий!C127</f>
        <v>40119</v>
      </c>
      <c r="D127" s="19" t="n">
        <f aca="false">лютий!P127</f>
        <v>7034.92</v>
      </c>
      <c r="E127" s="19" t="n">
        <f aca="false">лютий!Q127</f>
        <v>0</v>
      </c>
      <c r="F127" s="20" t="n">
        <f aca="false">лютий!F127</f>
        <v>0</v>
      </c>
      <c r="G127" s="21" t="n">
        <f aca="false">лютий!G127</f>
        <v>65.3</v>
      </c>
      <c r="H127" s="21" t="n">
        <f aca="false">лютий!H127</f>
        <v>0</v>
      </c>
      <c r="I127" s="22" t="n">
        <f aca="false">лютий!I127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7302.65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лютий!B128</f>
        <v>Рєзніков В.П.</v>
      </c>
      <c r="C128" s="18" t="str">
        <f aca="false">лютий!C128</f>
        <v>40120</v>
      </c>
      <c r="D128" s="19" t="n">
        <f aca="false">лютий!P128</f>
        <v>512.690000000001</v>
      </c>
      <c r="E128" s="19" t="n">
        <f aca="false">лютий!Q128</f>
        <v>0</v>
      </c>
      <c r="F128" s="20" t="n">
        <f aca="false">лютий!F128</f>
        <v>0</v>
      </c>
      <c r="G128" s="21" t="n">
        <f aca="false">лютий!G128</f>
        <v>62.44</v>
      </c>
      <c r="H128" s="21" t="n">
        <f aca="false">лютий!H128</f>
        <v>0</v>
      </c>
      <c r="I128" s="22" t="n">
        <f aca="false">лютий!I128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 t="n">
        <v>550</v>
      </c>
      <c r="P128" s="25" t="n">
        <f aca="false">IF(D128=0,IF((N128-E128-O128)&gt;0,(N128-E128-O128),0),IF((D128+N128-O128)&gt;0,(D128+N128-O128),0))</f>
        <v>218.690000000001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лютий!B129</f>
        <v>Золотоверха Я.І.</v>
      </c>
      <c r="C129" s="18" t="str">
        <f aca="false">лютий!C129</f>
        <v>40121</v>
      </c>
      <c r="D129" s="19" t="n">
        <f aca="false">лютий!P129</f>
        <v>8.5265128291212E-014</v>
      </c>
      <c r="E129" s="19" t="n">
        <f aca="false">лютий!Q129</f>
        <v>0</v>
      </c>
      <c r="F129" s="20" t="n">
        <f aca="false">лютий!F129</f>
        <v>0</v>
      </c>
      <c r="G129" s="21" t="n">
        <f aca="false">лютий!G129</f>
        <v>35.6</v>
      </c>
      <c r="H129" s="21" t="n">
        <f aca="false">лютий!H129</f>
        <v>0</v>
      </c>
      <c r="I129" s="22" t="n">
        <f aca="false">лютий!I129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лютий!B130</f>
        <v>Бурлаков А.В.</v>
      </c>
      <c r="C130" s="18" t="str">
        <f aca="false">лютий!C130</f>
        <v>40122</v>
      </c>
      <c r="D130" s="19" t="n">
        <f aca="false">лютий!P130</f>
        <v>65.1000000000002</v>
      </c>
      <c r="E130" s="19" t="n">
        <f aca="false">лютий!Q130</f>
        <v>0</v>
      </c>
      <c r="F130" s="20" t="n">
        <f aca="false">лютий!F130</f>
        <v>0</v>
      </c>
      <c r="G130" s="21" t="n">
        <f aca="false">лютий!G130</f>
        <v>49.7</v>
      </c>
      <c r="H130" s="21" t="n">
        <f aca="false">лютий!H130</f>
        <v>0</v>
      </c>
      <c r="I130" s="22" t="n">
        <f aca="false">лютий!I130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203.77</v>
      </c>
      <c r="P130" s="25" t="n">
        <f aca="false">IF(D130=0,IF((N130-E130-O130)&gt;0,(N130-E130-O130),0),IF((D130+N130-O130)&gt;0,(D130+N130-O130),0))</f>
        <v>65.1000000000002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лютий!B131</f>
        <v>Сикула О.Ю.</v>
      </c>
      <c r="C131" s="18" t="str">
        <f aca="false">лютий!C131</f>
        <v>40123</v>
      </c>
      <c r="D131" s="19" t="n">
        <f aca="false">лютий!P131</f>
        <v>2792.42</v>
      </c>
      <c r="E131" s="19" t="n">
        <f aca="false">лютий!Q131</f>
        <v>0</v>
      </c>
      <c r="F131" s="20" t="n">
        <f aca="false">лютий!F131</f>
        <v>0</v>
      </c>
      <c r="G131" s="21" t="n">
        <f aca="false">лютий!G131</f>
        <v>65.15</v>
      </c>
      <c r="H131" s="21" t="n">
        <f aca="false">лютий!H131</f>
        <v>0</v>
      </c>
      <c r="I131" s="22" t="n">
        <f aca="false">лютий!I131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3059.54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лютий!B132</f>
        <v>Арістов О.О.</v>
      </c>
      <c r="C132" s="18" t="str">
        <f aca="false">лютий!C132</f>
        <v>40124</v>
      </c>
      <c r="D132" s="19" t="n">
        <f aca="false">лютий!P132</f>
        <v>1119.25</v>
      </c>
      <c r="E132" s="19" t="n">
        <f aca="false">лютий!Q132</f>
        <v>0</v>
      </c>
      <c r="F132" s="20" t="n">
        <f aca="false">лютий!F132</f>
        <v>0</v>
      </c>
      <c r="G132" s="21" t="n">
        <f aca="false">лютий!G132</f>
        <v>63</v>
      </c>
      <c r="H132" s="21" t="n">
        <f aca="false">лютий!H132</f>
        <v>0</v>
      </c>
      <c r="I132" s="22" t="n">
        <f aca="false">лютий!I132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 t="n">
        <v>500</v>
      </c>
      <c r="P132" s="25" t="n">
        <f aca="false">IF(D132=0,IF((N132-E132-O132)&gt;0,(N132-E132-O132),0),IF((D132+N132-O132)&gt;0,(D132+N132-O132),0))</f>
        <v>877.55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лютий!B133</f>
        <v>Бондаренко Т.О.</v>
      </c>
      <c r="C133" s="18" t="str">
        <f aca="false">лютий!C133</f>
        <v>40125</v>
      </c>
      <c r="D133" s="19" t="n">
        <f aca="false">лютий!P133</f>
        <v>1378.86</v>
      </c>
      <c r="E133" s="19" t="n">
        <f aca="false">лютий!Q133</f>
        <v>0</v>
      </c>
      <c r="F133" s="20" t="n">
        <f aca="false">лютий!F133</f>
        <v>0</v>
      </c>
      <c r="G133" s="21" t="n">
        <f aca="false">лютий!G133</f>
        <v>34.7</v>
      </c>
      <c r="H133" s="21" t="n">
        <f aca="false">лютий!H133</f>
        <v>0</v>
      </c>
      <c r="I133" s="22" t="n">
        <f aca="false">лютий!I133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1521.13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лютий!B134</f>
        <v>Гайчев П.В.</v>
      </c>
      <c r="C134" s="18" t="str">
        <f aca="false">лютий!C134</f>
        <v>40126</v>
      </c>
      <c r="D134" s="19" t="n">
        <f aca="false">лютий!P134</f>
        <v>1802.76</v>
      </c>
      <c r="E134" s="19" t="n">
        <f aca="false">лютий!Q134</f>
        <v>0</v>
      </c>
      <c r="F134" s="20" t="n">
        <f aca="false">лютий!F134</f>
        <v>0</v>
      </c>
      <c r="G134" s="21" t="n">
        <f aca="false">лютий!G134</f>
        <v>49.2</v>
      </c>
      <c r="H134" s="21" t="n">
        <f aca="false">лютий!H134</f>
        <v>0</v>
      </c>
      <c r="I134" s="22" t="n">
        <f aca="false">лютий!I134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2004.48</v>
      </c>
      <c r="Q134" s="25" t="n">
        <f aca="false">IF(E134=0,IF((D134+N134-O134)&lt;0,ABS(D134+N134-O134),0),IF((N134-E134-O134)&lt;0,ABS(N134-E134-O134),0))</f>
        <v>0</v>
      </c>
      <c r="T134" s="26"/>
    </row>
    <row r="135" customFormat="false" ht="15" hidden="false" customHeight="false" outlineLevel="0" collapsed="false">
      <c r="A135" s="17" t="s">
        <v>401</v>
      </c>
      <c r="B135" s="18" t="str">
        <f aca="false">лютий!B135</f>
        <v>Радченко О.С.</v>
      </c>
      <c r="C135" s="18" t="str">
        <f aca="false">лютий!C135</f>
        <v>40127</v>
      </c>
      <c r="D135" s="19" t="n">
        <f aca="false">лютий!P135</f>
        <v>528.419999999999</v>
      </c>
      <c r="E135" s="19" t="n">
        <f aca="false">лютий!Q135</f>
        <v>0</v>
      </c>
      <c r="F135" s="20" t="n">
        <f aca="false">лютий!F135</f>
        <v>0</v>
      </c>
      <c r="G135" s="21" t="n">
        <f aca="false">лютий!G135</f>
        <v>65.15</v>
      </c>
      <c r="H135" s="21" t="n">
        <f aca="false">лютий!H135</f>
        <v>0</v>
      </c>
      <c r="I135" s="22" t="n">
        <f aca="false">лютий!I135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795.539999999999</v>
      </c>
      <c r="Q135" s="25" t="n">
        <f aca="false">IF(E135=0,IF((D135+N135-O135)&lt;0,ABS(D135+N135-O135),0),IF((N135-E135-O135)&lt;0,ABS(N135-E135-O135),0))</f>
        <v>0</v>
      </c>
      <c r="S135" s="47"/>
      <c r="T135" s="47"/>
      <c r="U135" s="47"/>
      <c r="V135" s="47"/>
      <c r="W135" s="47"/>
    </row>
    <row r="136" customFormat="false" ht="15" hidden="false" customHeight="false" outlineLevel="0" collapsed="false">
      <c r="A136" s="17" t="s">
        <v>404</v>
      </c>
      <c r="B136" s="18" t="str">
        <f aca="false">лютий!B136</f>
        <v>Шилін С.М.</v>
      </c>
      <c r="C136" s="18" t="str">
        <f aca="false">лютий!C136</f>
        <v>40128</v>
      </c>
      <c r="D136" s="19" t="n">
        <f aca="false">лютий!P136</f>
        <v>1787.44</v>
      </c>
      <c r="E136" s="19" t="n">
        <f aca="false">лютий!Q136</f>
        <v>0</v>
      </c>
      <c r="F136" s="20" t="n">
        <f aca="false">лютий!F136</f>
        <v>0</v>
      </c>
      <c r="G136" s="21" t="n">
        <f aca="false">лютий!G136</f>
        <v>62.3</v>
      </c>
      <c r="H136" s="21" t="n">
        <f aca="false">лютий!H136</f>
        <v>0</v>
      </c>
      <c r="I136" s="22" t="n">
        <f aca="false">лютий!I136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2042.87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лютий!B137</f>
        <v>Петрулевич В.М.</v>
      </c>
      <c r="C137" s="18" t="str">
        <f aca="false">лютий!C137</f>
        <v>40129</v>
      </c>
      <c r="D137" s="19" t="n">
        <f aca="false">лютий!P137</f>
        <v>1402.72</v>
      </c>
      <c r="E137" s="19" t="n">
        <f aca="false">лютий!Q137</f>
        <v>0</v>
      </c>
      <c r="F137" s="20" t="n">
        <f aca="false">лютий!F137</f>
        <v>0</v>
      </c>
      <c r="G137" s="21" t="n">
        <f aca="false">лютий!G137</f>
        <v>35.3</v>
      </c>
      <c r="H137" s="21" t="n">
        <f aca="false">лютий!H137</f>
        <v>0</v>
      </c>
      <c r="I137" s="22" t="n">
        <f aca="false">лютий!I137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1547.45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лютий!B138</f>
        <v>Кривошеєва Л.М.</v>
      </c>
      <c r="C138" s="18" t="str">
        <f aca="false">лютий!C138</f>
        <v>40130</v>
      </c>
      <c r="D138" s="19" t="n">
        <f aca="false">лютий!P138</f>
        <v>2380.62</v>
      </c>
      <c r="E138" s="19" t="n">
        <f aca="false">лютий!Q138</f>
        <v>0</v>
      </c>
      <c r="F138" s="20" t="n">
        <f aca="false">лютий!F138</f>
        <v>0</v>
      </c>
      <c r="G138" s="21" t="n">
        <f aca="false">лютий!G138</f>
        <v>49.78</v>
      </c>
      <c r="H138" s="21" t="n">
        <f aca="false">лютий!H138</f>
        <v>0</v>
      </c>
      <c r="I138" s="22" t="n">
        <f aca="false">лютий!I138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 t="n">
        <f aca="false">200+200</f>
        <v>400</v>
      </c>
      <c r="P138" s="25" t="n">
        <f aca="false">IF(D138=0,IF((N138-E138-O138)&gt;0,(N138-E138-O138),0),IF((D138+N138-O138)&gt;0,(D138+N138-O138),0))</f>
        <v>2184.72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лютий!B139</f>
        <v>Харченко І.С.</v>
      </c>
      <c r="C139" s="18" t="str">
        <f aca="false">лютий!C139</f>
        <v>40131</v>
      </c>
      <c r="D139" s="19" t="n">
        <f aca="false">лютий!P139</f>
        <v>1305.33</v>
      </c>
      <c r="E139" s="19" t="n">
        <f aca="false">лютий!Q139</f>
        <v>0</v>
      </c>
      <c r="F139" s="20" t="n">
        <f aca="false">лютий!F139</f>
        <v>0</v>
      </c>
      <c r="G139" s="21" t="n">
        <f aca="false">лютий!G139</f>
        <v>65.93</v>
      </c>
      <c r="H139" s="21" t="n">
        <f aca="false">лютий!H139</f>
        <v>0</v>
      </c>
      <c r="I139" s="22" t="n">
        <f aca="false">лютий!I139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/>
      <c r="P139" s="25" t="n">
        <f aca="false">IF(D139=0,IF((N139-E139-O139)&gt;0,(N139-E139-O139),0),IF((D139+N139-O139)&gt;0,(D139+N139-O139),0))</f>
        <v>1575.64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лютий!B140</f>
        <v>Куриленко І.О.</v>
      </c>
      <c r="C140" s="18" t="str">
        <f aca="false">лютий!C140</f>
        <v>40132</v>
      </c>
      <c r="D140" s="19" t="n">
        <f aca="false">лютий!P140</f>
        <v>3577.81</v>
      </c>
      <c r="E140" s="19" t="n">
        <f aca="false">лютий!Q140</f>
        <v>0</v>
      </c>
      <c r="F140" s="20" t="n">
        <f aca="false">лютий!F140</f>
        <v>0</v>
      </c>
      <c r="G140" s="21" t="n">
        <f aca="false">лютий!G140</f>
        <v>62.36</v>
      </c>
      <c r="H140" s="21" t="n">
        <f aca="false">лютий!H140</f>
        <v>0</v>
      </c>
      <c r="I140" s="22" t="n">
        <f aca="false">лютий!I140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3833.49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лютий!B141</f>
        <v>Єлсукова В.М.</v>
      </c>
      <c r="C141" s="18" t="str">
        <f aca="false">лютий!C141</f>
        <v>40133</v>
      </c>
      <c r="D141" s="19" t="n">
        <f aca="false">лютий!P141</f>
        <v>2014.74</v>
      </c>
      <c r="E141" s="19" t="n">
        <f aca="false">лютий!Q141</f>
        <v>0</v>
      </c>
      <c r="F141" s="20" t="n">
        <f aca="false">лютий!F141</f>
        <v>0</v>
      </c>
      <c r="G141" s="21" t="n">
        <f aca="false">лютий!G141</f>
        <v>35.1</v>
      </c>
      <c r="H141" s="21" t="n">
        <f aca="false">лютий!H141</f>
        <v>0</v>
      </c>
      <c r="I141" s="22" t="n">
        <f aca="false">лютий!I141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2158.65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лютий!B142</f>
        <v>Пімонова М.В.</v>
      </c>
      <c r="C142" s="18" t="str">
        <f aca="false">лютий!C142</f>
        <v>40134</v>
      </c>
      <c r="D142" s="19" t="n">
        <f aca="false">лютий!P142</f>
        <v>4378.29</v>
      </c>
      <c r="E142" s="19" t="n">
        <f aca="false">лютий!Q142</f>
        <v>0</v>
      </c>
      <c r="F142" s="20" t="n">
        <f aca="false">лютий!F142</f>
        <v>0</v>
      </c>
      <c r="G142" s="21" t="n">
        <f aca="false">лютий!G142</f>
        <v>49.47</v>
      </c>
      <c r="H142" s="21" t="n">
        <f aca="false">лютий!H142</f>
        <v>0</v>
      </c>
      <c r="I142" s="22" t="n">
        <f aca="false">лютий!I142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4581.12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лютий!B143</f>
        <v>Осипенко В.В.</v>
      </c>
      <c r="C143" s="18" t="str">
        <f aca="false">лютий!C143</f>
        <v>40135</v>
      </c>
      <c r="D143" s="19" t="n">
        <f aca="false">лютий!P143</f>
        <v>1613.21</v>
      </c>
      <c r="E143" s="19" t="n">
        <f aca="false">лютий!Q143</f>
        <v>0</v>
      </c>
      <c r="F143" s="20" t="n">
        <f aca="false">лютий!F143</f>
        <v>0</v>
      </c>
      <c r="G143" s="21" t="n">
        <f aca="false">лютий!G143</f>
        <v>65.65</v>
      </c>
      <c r="H143" s="21" t="n">
        <f aca="false">лютий!H143</f>
        <v>0</v>
      </c>
      <c r="I143" s="22" t="n">
        <f aca="false">лютий!I143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1882.38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лютий!B144</f>
        <v>Друзь О.О.</v>
      </c>
      <c r="C144" s="18" t="str">
        <f aca="false">лютий!C144</f>
        <v>40136</v>
      </c>
      <c r="D144" s="19" t="n">
        <f aca="false">лютий!P144</f>
        <v>2290.81</v>
      </c>
      <c r="E144" s="19" t="n">
        <f aca="false">лютий!Q144</f>
        <v>0</v>
      </c>
      <c r="F144" s="20" t="n">
        <f aca="false">лютий!F144</f>
        <v>0</v>
      </c>
      <c r="G144" s="21" t="n">
        <f aca="false">лютий!G144</f>
        <v>62.1</v>
      </c>
      <c r="H144" s="21" t="n">
        <f aca="false">лютий!H144</f>
        <v>0</v>
      </c>
      <c r="I144" s="22" t="n">
        <f aca="false">лютий!I144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2545.42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лютий!B145</f>
        <v>Вовченко Р.І.</v>
      </c>
      <c r="C145" s="18" t="str">
        <f aca="false">лютий!C145</f>
        <v>40137</v>
      </c>
      <c r="D145" s="19" t="n">
        <f aca="false">лютий!P145</f>
        <v>1331.84</v>
      </c>
      <c r="E145" s="19" t="n">
        <f aca="false">лютий!Q145</f>
        <v>0</v>
      </c>
      <c r="F145" s="20" t="n">
        <f aca="false">лютий!F145</f>
        <v>0</v>
      </c>
      <c r="G145" s="21" t="n">
        <f aca="false">лютий!G145</f>
        <v>35.2</v>
      </c>
      <c r="H145" s="21" t="n">
        <f aca="false">лютий!H145</f>
        <v>0</v>
      </c>
      <c r="I145" s="22" t="n">
        <f aca="false">лютий!I145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 t="n">
        <v>1000</v>
      </c>
      <c r="P145" s="25" t="n">
        <f aca="false">IF(D145=0,IF((N145-E145-O145)&gt;0,(N145-E145-O145),0),IF((D145+N145-O145)&gt;0,(D145+N145-O145),0))</f>
        <v>476.159999999999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лютий!B146</f>
        <v>Плакун Д.В.</v>
      </c>
      <c r="C146" s="18" t="str">
        <f aca="false">лютий!C146</f>
        <v>40138</v>
      </c>
      <c r="D146" s="19" t="n">
        <f aca="false">лютий!P146</f>
        <v>408.86</v>
      </c>
      <c r="E146" s="19" t="n">
        <f aca="false">лютий!Q146</f>
        <v>0</v>
      </c>
      <c r="F146" s="20" t="n">
        <f aca="false">лютий!F146</f>
        <v>0</v>
      </c>
      <c r="G146" s="21" t="n">
        <f aca="false">лютий!G146</f>
        <v>49.9</v>
      </c>
      <c r="H146" s="21" t="n">
        <f aca="false">лютий!H146</f>
        <v>0</v>
      </c>
      <c r="I146" s="22" t="n">
        <f aca="false">лютий!I146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613.45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лютий!B147</f>
        <v>Гаврилова Ю.О.</v>
      </c>
      <c r="C147" s="18" t="str">
        <f aca="false">лютий!C147</f>
        <v>40139</v>
      </c>
      <c r="D147" s="19" t="n">
        <f aca="false">лютий!P147</f>
        <v>463.22</v>
      </c>
      <c r="E147" s="19" t="n">
        <f aca="false">лютий!Q147</f>
        <v>0</v>
      </c>
      <c r="F147" s="20" t="n">
        <f aca="false">лютий!F147</f>
        <v>0</v>
      </c>
      <c r="G147" s="21" t="n">
        <f aca="false">лютий!G147</f>
        <v>65.8</v>
      </c>
      <c r="H147" s="21" t="n">
        <f aca="false">лютий!H147</f>
        <v>0</v>
      </c>
      <c r="I147" s="22" t="n">
        <f aca="false">лютий!I147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733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лютий!B148</f>
        <v>Корзун Г.М.</v>
      </c>
      <c r="C148" s="18" t="str">
        <f aca="false">лютий!C148</f>
        <v>40140</v>
      </c>
      <c r="D148" s="19" t="n">
        <f aca="false">лютий!P148</f>
        <v>2876.76</v>
      </c>
      <c r="E148" s="19" t="n">
        <f aca="false">лютий!Q148</f>
        <v>0</v>
      </c>
      <c r="F148" s="20" t="n">
        <f aca="false">лютий!F148</f>
        <v>0</v>
      </c>
      <c r="G148" s="21" t="n">
        <f aca="false">лютий!G148</f>
        <v>63.2</v>
      </c>
      <c r="H148" s="21" t="n">
        <f aca="false">лютий!H148</f>
        <v>0</v>
      </c>
      <c r="I148" s="22" t="n">
        <f aca="false">лютий!I148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 t="n">
        <v>3300</v>
      </c>
      <c r="P148" s="25" t="n">
        <f aca="false">IF(D148=0,IF((N148-E148-O148)&gt;0,(N148-E148-O148),0),IF((D148+N148-O148)&gt;0,(D148+N148-O148),0))</f>
        <v>0</v>
      </c>
      <c r="Q148" s="25" t="n">
        <f aca="false">IF(E148=0,IF((D148+N148-O148)&lt;0,ABS(D148+N148-O148),0),IF((N148-E148-O148)&lt;0,ABS(N148-E148-O148),0))</f>
        <v>164.120000000002</v>
      </c>
    </row>
    <row r="149" customFormat="false" ht="15" hidden="false" customHeight="false" outlineLevel="0" collapsed="false">
      <c r="A149" s="17" t="s">
        <v>443</v>
      </c>
      <c r="B149" s="18" t="str">
        <f aca="false">лютий!B149</f>
        <v>Бондаренко Л.Л.</v>
      </c>
      <c r="C149" s="18" t="str">
        <f aca="false">лютий!C149</f>
        <v>40141</v>
      </c>
      <c r="D149" s="19" t="n">
        <f aca="false">лютий!P149</f>
        <v>572.63</v>
      </c>
      <c r="E149" s="19" t="n">
        <f aca="false">лютий!Q149</f>
        <v>0</v>
      </c>
      <c r="F149" s="20" t="n">
        <f aca="false">лютий!F149</f>
        <v>0</v>
      </c>
      <c r="G149" s="21" t="n">
        <f aca="false">лютий!G149</f>
        <v>34.9</v>
      </c>
      <c r="H149" s="21" t="n">
        <f aca="false">лютий!H149</f>
        <v>0</v>
      </c>
      <c r="I149" s="22" t="n">
        <f aca="false">лютий!I149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715.72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лютий!B150</f>
        <v>Капелюш Н.А.</v>
      </c>
      <c r="C150" s="18" t="str">
        <f aca="false">лютий!C150</f>
        <v>40142</v>
      </c>
      <c r="D150" s="19" t="n">
        <f aca="false">лютий!P150</f>
        <v>2479.68</v>
      </c>
      <c r="E150" s="19" t="n">
        <f aca="false">лютий!Q150</f>
        <v>0</v>
      </c>
      <c r="F150" s="20" t="n">
        <f aca="false">лютий!F150</f>
        <v>0</v>
      </c>
      <c r="G150" s="21" t="n">
        <f aca="false">лютий!G150</f>
        <v>50.4</v>
      </c>
      <c r="H150" s="21" t="n">
        <f aca="false">лютий!H150</f>
        <v>0</v>
      </c>
      <c r="I150" s="22" t="n">
        <f aca="false">лютий!I150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2686.32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лютий!B151</f>
        <v>Кістрінь Л.П.</v>
      </c>
      <c r="C151" s="18" t="str">
        <f aca="false">лютий!C151</f>
        <v>40143</v>
      </c>
      <c r="D151" s="19" t="n">
        <f aca="false">лютий!P151</f>
        <v>4529.89</v>
      </c>
      <c r="E151" s="19" t="n">
        <f aca="false">лютий!Q151</f>
        <v>0</v>
      </c>
      <c r="F151" s="20" t="n">
        <f aca="false">лютий!F151</f>
        <v>0</v>
      </c>
      <c r="G151" s="21" t="n">
        <f aca="false">лютий!G151</f>
        <v>65.2</v>
      </c>
      <c r="H151" s="21" t="n">
        <f aca="false">лютий!H151</f>
        <v>0</v>
      </c>
      <c r="I151" s="22" t="n">
        <f aca="false">лютий!I151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4797.21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лютий!B152</f>
        <v>Козьміна І.В.</v>
      </c>
      <c r="C152" s="18" t="str">
        <f aca="false">лютий!C152</f>
        <v>50144</v>
      </c>
      <c r="D152" s="19" t="n">
        <f aca="false">лютий!P152</f>
        <v>529.48</v>
      </c>
      <c r="E152" s="19" t="n">
        <f aca="false">лютий!Q152</f>
        <v>0</v>
      </c>
      <c r="F152" s="20" t="n">
        <f aca="false">лютий!F152</f>
        <v>0</v>
      </c>
      <c r="G152" s="21" t="n">
        <f aca="false">лютий!G152</f>
        <v>64.57</v>
      </c>
      <c r="H152" s="21" t="n">
        <f aca="false">лютий!H152</f>
        <v>0</v>
      </c>
      <c r="I152" s="22" t="n">
        <f aca="false">лютий!I152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794.22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лютий!B153</f>
        <v>Чала С.С.</v>
      </c>
      <c r="C153" s="18" t="str">
        <f aca="false">лютий!C153</f>
        <v>50145</v>
      </c>
      <c r="D153" s="19" t="n">
        <f aca="false">лютий!P153</f>
        <v>4251.43</v>
      </c>
      <c r="E153" s="19" t="n">
        <f aca="false">лютий!Q153</f>
        <v>0</v>
      </c>
      <c r="F153" s="20" t="n">
        <f aca="false">лютий!F153</f>
        <v>0</v>
      </c>
      <c r="G153" s="21" t="n">
        <f aca="false">лютий!G153</f>
        <v>48.7</v>
      </c>
      <c r="H153" s="21" t="n">
        <f aca="false">лютий!H153</f>
        <v>0</v>
      </c>
      <c r="I153" s="22" t="n">
        <f aca="false">лютий!I153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4451.1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лютий!B154</f>
        <v>Свєтайлова І.М.</v>
      </c>
      <c r="C154" s="18" t="str">
        <f aca="false">лютий!C154</f>
        <v>50146</v>
      </c>
      <c r="D154" s="19" t="n">
        <f aca="false">лютий!P154</f>
        <v>1870.83</v>
      </c>
      <c r="E154" s="19" t="n">
        <f aca="false">лютий!Q154</f>
        <v>0</v>
      </c>
      <c r="F154" s="20" t="n">
        <f aca="false">лютий!F154</f>
        <v>0</v>
      </c>
      <c r="G154" s="21" t="n">
        <f aca="false">лютий!G154</f>
        <v>35.1</v>
      </c>
      <c r="H154" s="21" t="n">
        <f aca="false">лютий!H154</f>
        <v>0</v>
      </c>
      <c r="I154" s="22" t="n">
        <f aca="false">лютий!I154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2014.74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лютий!B155</f>
        <v>Неделько Д.І.</v>
      </c>
      <c r="C155" s="18" t="str">
        <f aca="false">лютий!C155</f>
        <v>50147</v>
      </c>
      <c r="D155" s="19" t="n">
        <f aca="false">лютий!P155</f>
        <v>0</v>
      </c>
      <c r="E155" s="19" t="n">
        <f aca="false">лютий!Q155</f>
        <v>219.64</v>
      </c>
      <c r="F155" s="20" t="n">
        <f aca="false">лютий!F155</f>
        <v>0</v>
      </c>
      <c r="G155" s="21" t="n">
        <f aca="false">лютий!G155</f>
        <v>53.57</v>
      </c>
      <c r="H155" s="21" t="n">
        <f aca="false">лютий!H155</f>
        <v>0</v>
      </c>
      <c r="I155" s="22" t="n">
        <f aca="false">лютий!I155</f>
        <v>4.1</v>
      </c>
      <c r="J155" s="23" t="n">
        <f aca="false">ROUND(G155*I155,2)</f>
        <v>219.64</v>
      </c>
      <c r="K155" s="19"/>
      <c r="L155" s="19" t="n">
        <v>219.64</v>
      </c>
      <c r="M155" s="19"/>
      <c r="N155" s="19" t="n">
        <f aca="false">ROUND((G155*I155)-K155-L155-M155,2)</f>
        <v>-0</v>
      </c>
      <c r="O155" s="19"/>
      <c r="P155" s="25" t="n">
        <f aca="false">IF(D155=0,IF((N155-E155-O155)&gt;0,(N155-E155-O155),0),IF((D155+N155-O155)&gt;0,(D155+N155-O155),0))</f>
        <v>0</v>
      </c>
      <c r="Q155" s="25" t="n">
        <f aca="false">IF(E155=0,IF((D155+N155-O155)&lt;0,ABS(D155+N155-O155),0),IF((N155-E155-O155)&lt;0,ABS(N155-E155-O155),0))</f>
        <v>219.64</v>
      </c>
    </row>
    <row r="156" customFormat="false" ht="15" hidden="false" customHeight="false" outlineLevel="0" collapsed="false">
      <c r="A156" s="17" t="s">
        <v>464</v>
      </c>
      <c r="B156" s="18" t="str">
        <f aca="false">лютий!B156</f>
        <v>Самойленко Л.К.</v>
      </c>
      <c r="C156" s="18" t="str">
        <f aca="false">лютий!C156</f>
        <v>50148</v>
      </c>
      <c r="D156" s="19" t="n">
        <f aca="false">лютий!P156</f>
        <v>0</v>
      </c>
      <c r="E156" s="19" t="n">
        <f aca="false">лютий!Q156</f>
        <v>806.26</v>
      </c>
      <c r="F156" s="20" t="n">
        <f aca="false">лютий!F156</f>
        <v>0</v>
      </c>
      <c r="G156" s="21" t="n">
        <f aca="false">лютий!G156</f>
        <v>65.7</v>
      </c>
      <c r="H156" s="21" t="n">
        <f aca="false">лютий!H156</f>
        <v>0</v>
      </c>
      <c r="I156" s="22" t="n">
        <f aca="false">лютий!I156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842.91</v>
      </c>
    </row>
    <row r="157" customFormat="false" ht="15" hidden="false" customHeight="false" outlineLevel="0" collapsed="false">
      <c r="A157" s="17" t="s">
        <v>467</v>
      </c>
      <c r="B157" s="18" t="str">
        <f aca="false">лютий!B157</f>
        <v>Павлов Ю.В.</v>
      </c>
      <c r="C157" s="18" t="str">
        <f aca="false">лютий!C157</f>
        <v>50149</v>
      </c>
      <c r="D157" s="19" t="n">
        <f aca="false">лютий!P157</f>
        <v>1957.98</v>
      </c>
      <c r="E157" s="19" t="n">
        <f aca="false">лютий!Q157</f>
        <v>0</v>
      </c>
      <c r="F157" s="20" t="n">
        <f aca="false">лютий!F157</f>
        <v>0</v>
      </c>
      <c r="G157" s="21" t="n">
        <f aca="false">лютий!G157</f>
        <v>49.78</v>
      </c>
      <c r="H157" s="21" t="n">
        <f aca="false">лютий!H157</f>
        <v>0</v>
      </c>
      <c r="I157" s="22" t="n">
        <f aca="false">лютий!I157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2162.08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лютий!B158</f>
        <v>Коваленко Т.М.</v>
      </c>
      <c r="C158" s="18" t="str">
        <f aca="false">лютий!C158</f>
        <v>50150</v>
      </c>
      <c r="D158" s="19" t="n">
        <f aca="false">лютий!P158</f>
        <v>2009</v>
      </c>
      <c r="E158" s="19" t="n">
        <f aca="false">лютий!Q158</f>
        <v>0</v>
      </c>
      <c r="F158" s="20" t="n">
        <f aca="false">лютий!F158</f>
        <v>0</v>
      </c>
      <c r="G158" s="21" t="n">
        <f aca="false">лютий!G158</f>
        <v>35</v>
      </c>
      <c r="H158" s="21" t="n">
        <f aca="false">лютий!H158</f>
        <v>0</v>
      </c>
      <c r="I158" s="22" t="n">
        <f aca="false">лютий!I158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2152.5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лютий!B159</f>
        <v>Рощенко Л.Б.</v>
      </c>
      <c r="C159" s="18" t="str">
        <f aca="false">лютий!C159</f>
        <v>50151</v>
      </c>
      <c r="D159" s="19" t="n">
        <f aca="false">лютий!P159</f>
        <v>2540.95</v>
      </c>
      <c r="E159" s="19" t="n">
        <f aca="false">лютий!Q159</f>
        <v>0</v>
      </c>
      <c r="F159" s="20" t="n">
        <f aca="false">лютий!F159</f>
        <v>0</v>
      </c>
      <c r="G159" s="21" t="n">
        <f aca="false">лютий!G159</f>
        <v>62.08</v>
      </c>
      <c r="H159" s="21" t="n">
        <f aca="false">лютий!H159</f>
        <v>0</v>
      </c>
      <c r="I159" s="22" t="n">
        <f aca="false">лютий!I159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2795.48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лютий!B160</f>
        <v>Галушко С.Т.</v>
      </c>
      <c r="C160" s="18" t="str">
        <f aca="false">лютий!C160</f>
        <v>50152</v>
      </c>
      <c r="D160" s="19" t="n">
        <f aca="false">лютий!P160</f>
        <v>270.03</v>
      </c>
      <c r="E160" s="19" t="n">
        <f aca="false">лютий!Q160</f>
        <v>0</v>
      </c>
      <c r="F160" s="20" t="n">
        <f aca="false">лютий!F160</f>
        <v>0</v>
      </c>
      <c r="G160" s="21" t="n">
        <f aca="false">лютий!G160</f>
        <v>65.86</v>
      </c>
      <c r="H160" s="21" t="n">
        <f aca="false">лютий!H160</f>
        <v>0</v>
      </c>
      <c r="I160" s="22" t="n">
        <f aca="false">лютий!I160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 t="n">
        <v>270.03</v>
      </c>
      <c r="P160" s="25" t="n">
        <f aca="false">IF(D160=0,IF((N160-E160-O160)&gt;0,(N160-E160-O160),0),IF((D160+N160-O160)&gt;0,(D160+N160-O160),0))</f>
        <v>270.03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лютий!B161</f>
        <v>Наумова Л.Я.</v>
      </c>
      <c r="C161" s="18" t="str">
        <f aca="false">лютий!C161</f>
        <v>50153</v>
      </c>
      <c r="D161" s="19" t="n">
        <f aca="false">лютий!P161</f>
        <v>2411.2</v>
      </c>
      <c r="E161" s="19" t="n">
        <f aca="false">лютий!Q161</f>
        <v>0</v>
      </c>
      <c r="F161" s="20" t="n">
        <f aca="false">лютий!F161</f>
        <v>0</v>
      </c>
      <c r="G161" s="21" t="n">
        <f aca="false">лютий!G161</f>
        <v>49.95</v>
      </c>
      <c r="H161" s="21" t="n">
        <f aca="false">лютий!H161</f>
        <v>0</v>
      </c>
      <c r="I161" s="22" t="n">
        <f aca="false">лютий!I161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2616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лютий!B162</f>
        <v>Грєк В.С.</v>
      </c>
      <c r="C162" s="18" t="str">
        <f aca="false">лютий!C162</f>
        <v>50154</v>
      </c>
      <c r="D162" s="19" t="n">
        <f aca="false">лютий!P162</f>
        <v>133.44</v>
      </c>
      <c r="E162" s="19" t="n">
        <f aca="false">лютий!Q162</f>
        <v>0</v>
      </c>
      <c r="F162" s="20" t="n">
        <f aca="false">лютий!F162</f>
        <v>0</v>
      </c>
      <c r="G162" s="21" t="n">
        <f aca="false">лютий!G162</f>
        <v>33.9</v>
      </c>
      <c r="H162" s="21" t="n">
        <f aca="false">лютий!H162</f>
        <v>0</v>
      </c>
      <c r="I162" s="22" t="n">
        <f aca="false">лютий!I162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272.43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лютий!B163</f>
        <v>Пермінов О.А.</v>
      </c>
      <c r="C163" s="18" t="str">
        <f aca="false">лютий!C163</f>
        <v>50155</v>
      </c>
      <c r="D163" s="19" t="n">
        <f aca="false">лютий!P163</f>
        <v>0</v>
      </c>
      <c r="E163" s="19" t="n">
        <f aca="false">лютий!Q163</f>
        <v>283.04</v>
      </c>
      <c r="F163" s="20" t="n">
        <f aca="false">лютий!F163</f>
        <v>0</v>
      </c>
      <c r="G163" s="21" t="n">
        <f aca="false">лютий!G163</f>
        <v>62.43</v>
      </c>
      <c r="H163" s="21" t="n">
        <f aca="false">лютий!H163</f>
        <v>0</v>
      </c>
      <c r="I163" s="22" t="n">
        <f aca="false">лютий!I163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0</v>
      </c>
      <c r="Q163" s="25" t="n">
        <f aca="false">IF(E163=0,IF((D163+N163-O163)&lt;0,ABS(D163+N163-O163),0),IF((N163-E163-O163)&lt;0,ABS(N163-E163-O163),0))</f>
        <v>27.0799999999995</v>
      </c>
    </row>
    <row r="164" customFormat="false" ht="15" hidden="false" customHeight="false" outlineLevel="0" collapsed="false">
      <c r="A164" s="17" t="s">
        <v>488</v>
      </c>
      <c r="B164" s="18" t="str">
        <f aca="false">лютий!B164</f>
        <v>Рябчук Л.П.</v>
      </c>
      <c r="C164" s="18" t="str">
        <f aca="false">лютий!C164</f>
        <v>50156</v>
      </c>
      <c r="D164" s="19" t="n">
        <f aca="false">лютий!P164</f>
        <v>1956.72</v>
      </c>
      <c r="E164" s="19" t="n">
        <f aca="false">лютий!Q164</f>
        <v>0</v>
      </c>
      <c r="F164" s="20" t="n">
        <f aca="false">лютий!F164</f>
        <v>0</v>
      </c>
      <c r="G164" s="21" t="n">
        <f aca="false">лютий!G164</f>
        <v>64.8</v>
      </c>
      <c r="H164" s="21" t="n">
        <f aca="false">лютий!H164</f>
        <v>0</v>
      </c>
      <c r="I164" s="22" t="n">
        <f aca="false">лютий!I164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 t="n">
        <f aca="false">200+270</f>
        <v>470</v>
      </c>
      <c r="P164" s="25" t="n">
        <f aca="false">IF(D164=0,IF((N164-E164-O164)&gt;0,(N164-E164-O164),0),IF((D164+N164-O164)&gt;0,(D164+N164-O164),0))</f>
        <v>1752.4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лютий!B165</f>
        <v>Копасова Л.Б.</v>
      </c>
      <c r="C165" s="18" t="str">
        <f aca="false">лютий!C165</f>
        <v>50157</v>
      </c>
      <c r="D165" s="19" t="n">
        <f aca="false">лютий!P165</f>
        <v>1816.68</v>
      </c>
      <c r="E165" s="19" t="n">
        <f aca="false">лютий!Q165</f>
        <v>0</v>
      </c>
      <c r="F165" s="20" t="n">
        <f aca="false">лютий!F165</f>
        <v>0</v>
      </c>
      <c r="G165" s="21" t="n">
        <f aca="false">лютий!G165</f>
        <v>49.4</v>
      </c>
      <c r="H165" s="21" t="n">
        <f aca="false">лютий!H165</f>
        <v>0</v>
      </c>
      <c r="I165" s="22" t="n">
        <f aca="false">лютий!I165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2019.22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лютий!B166</f>
        <v>Киричинська Г.Я.</v>
      </c>
      <c r="C166" s="18" t="str">
        <f aca="false">лютий!C166</f>
        <v>50158</v>
      </c>
      <c r="D166" s="19" t="n">
        <f aca="false">лютий!P166</f>
        <v>732.209999999997</v>
      </c>
      <c r="E166" s="19" t="n">
        <f aca="false">лютий!Q166</f>
        <v>0</v>
      </c>
      <c r="F166" s="20" t="n">
        <f aca="false">лютий!F166</f>
        <v>0</v>
      </c>
      <c r="G166" s="21" t="n">
        <f aca="false">лютий!G166</f>
        <v>35.1</v>
      </c>
      <c r="H166" s="21" t="n">
        <f aca="false">лютий!H166</f>
        <v>0</v>
      </c>
      <c r="I166" s="22" t="n">
        <f aca="false">лютий!I166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876.119999999997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лютий!B167</f>
        <v>Бутрій К.В.</v>
      </c>
      <c r="C167" s="18" t="str">
        <f aca="false">лютий!C167</f>
        <v>50159</v>
      </c>
      <c r="D167" s="19" t="n">
        <f aca="false">лютий!P167</f>
        <v>2177.25</v>
      </c>
      <c r="E167" s="19" t="n">
        <f aca="false">лютий!Q167</f>
        <v>0</v>
      </c>
      <c r="F167" s="20" t="n">
        <f aca="false">лютий!F167</f>
        <v>0</v>
      </c>
      <c r="G167" s="21" t="n">
        <f aca="false">лютий!G167</f>
        <v>62.4</v>
      </c>
      <c r="H167" s="21" t="n">
        <f aca="false">лютий!H167</f>
        <v>0</v>
      </c>
      <c r="I167" s="22" t="n">
        <f aca="false">лютий!I167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2433.09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лютий!B168</f>
        <v>Кузьома Г.І.</v>
      </c>
      <c r="C168" s="18" t="str">
        <f aca="false">лютий!C168</f>
        <v>50160</v>
      </c>
      <c r="D168" s="19" t="n">
        <f aca="false">лютий!P168</f>
        <v>0</v>
      </c>
      <c r="E168" s="19" t="n">
        <f aca="false">лютий!Q168</f>
        <v>377.52</v>
      </c>
      <c r="F168" s="20" t="n">
        <f aca="false">лютий!F168</f>
        <v>0</v>
      </c>
      <c r="G168" s="21" t="n">
        <f aca="false">лютий!G168</f>
        <v>65.5</v>
      </c>
      <c r="H168" s="21" t="n">
        <f aca="false">лютий!H168</f>
        <v>0</v>
      </c>
      <c r="I168" s="22" t="n">
        <f aca="false">лютий!I168</f>
        <v>4.1</v>
      </c>
      <c r="J168" s="23" t="n">
        <f aca="false">ROUND(G168*I168,2)</f>
        <v>268.55</v>
      </c>
      <c r="K168" s="19"/>
      <c r="L168" s="19" t="n">
        <v>268.55</v>
      </c>
      <c r="M168" s="19"/>
      <c r="N168" s="19" t="n">
        <f aca="false">ROUND((G168*I168)-K168-L168-M168,2)</f>
        <v>0</v>
      </c>
      <c r="O168" s="19"/>
      <c r="P168" s="25" t="n">
        <f aca="false">IF(D168=0,IF((N168-E168-O168)&gt;0,(N168-E168-O168),0),IF((D168+N168-O168)&gt;0,(D168+N168-O168),0))</f>
        <v>0</v>
      </c>
      <c r="Q168" s="25" t="n">
        <f aca="false">IF(E168=0,IF((D168+N168-O168)&lt;0,ABS(D168+N168-O168),0),IF((N168-E168-O168)&lt;0,ABS(N168-E168-O168),0))</f>
        <v>377.52</v>
      </c>
    </row>
    <row r="169" customFormat="false" ht="15" hidden="false" customHeight="false" outlineLevel="0" collapsed="false">
      <c r="A169" s="17" t="s">
        <v>503</v>
      </c>
      <c r="B169" s="18" t="str">
        <f aca="false">лютий!B169</f>
        <v>Павленко В.М.</v>
      </c>
      <c r="C169" s="18" t="str">
        <f aca="false">лютий!C169</f>
        <v>50161</v>
      </c>
      <c r="D169" s="19" t="n">
        <f aca="false">лютий!P169</f>
        <v>2866.5</v>
      </c>
      <c r="E169" s="19" t="n">
        <f aca="false">лютий!Q169</f>
        <v>0</v>
      </c>
      <c r="F169" s="20" t="n">
        <f aca="false">лютий!F169</f>
        <v>0</v>
      </c>
      <c r="G169" s="21" t="n">
        <f aca="false">лютий!G169</f>
        <v>49.94</v>
      </c>
      <c r="H169" s="21" t="n">
        <f aca="false">лютий!H169</f>
        <v>0</v>
      </c>
      <c r="I169" s="22" t="n">
        <f aca="false">лютий!I169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3071.25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лютий!B170</f>
        <v>Качуровська С.А.</v>
      </c>
      <c r="C170" s="18" t="str">
        <f aca="false">лютий!C170</f>
        <v>50162</v>
      </c>
      <c r="D170" s="19" t="n">
        <f aca="false">лютий!P170</f>
        <v>51.66</v>
      </c>
      <c r="E170" s="19" t="n">
        <f aca="false">лютий!Q170</f>
        <v>0</v>
      </c>
      <c r="F170" s="20" t="n">
        <f aca="false">лютий!F170</f>
        <v>0</v>
      </c>
      <c r="G170" s="21" t="n">
        <f aca="false">лютий!G170</f>
        <v>35</v>
      </c>
      <c r="H170" s="21" t="n">
        <f aca="false">лютий!H170</f>
        <v>0</v>
      </c>
      <c r="I170" s="22" t="n">
        <f aca="false">лютий!I170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 t="n">
        <v>200</v>
      </c>
      <c r="P170" s="25" t="n">
        <f aca="false">IF(D170=0,IF((N170-E170-O170)&gt;0,(N170-E170-O170),0),IF((D170+N170-O170)&gt;0,(D170+N170-O170),0))</f>
        <v>0</v>
      </c>
      <c r="Q170" s="25" t="n">
        <f aca="false">IF(E170=0,IF((D170+N170-O170)&lt;0,ABS(D170+N170-O170),0),IF((N170-E170-O170)&lt;0,ABS(N170-E170-O170),0))</f>
        <v>4.84000000000003</v>
      </c>
    </row>
    <row r="171" customFormat="false" ht="15" hidden="false" customHeight="false" outlineLevel="0" collapsed="false">
      <c r="A171" s="17" t="s">
        <v>509</v>
      </c>
      <c r="B171" s="18" t="str">
        <f aca="false">лютий!B171</f>
        <v>Білецький Б.Г.</v>
      </c>
      <c r="C171" s="18" t="str">
        <f aca="false">лютий!C171</f>
        <v>50163</v>
      </c>
      <c r="D171" s="19" t="n">
        <f aca="false">лютий!P171</f>
        <v>255.68</v>
      </c>
      <c r="E171" s="19" t="n">
        <f aca="false">лютий!Q171</f>
        <v>0</v>
      </c>
      <c r="F171" s="20" t="n">
        <f aca="false">лютий!F171</f>
        <v>0</v>
      </c>
      <c r="G171" s="21" t="n">
        <f aca="false">лютий!G171</f>
        <v>62.36</v>
      </c>
      <c r="H171" s="21" t="n">
        <f aca="false">лютий!H171</f>
        <v>0</v>
      </c>
      <c r="I171" s="22" t="n">
        <f aca="false">лютий!I171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лютий!B172</f>
        <v>Кузнєцова В.В.</v>
      </c>
      <c r="C172" s="18" t="str">
        <f aca="false">лютий!C172</f>
        <v>50164</v>
      </c>
      <c r="D172" s="19" t="n">
        <f aca="false">лютий!P172</f>
        <v>1076.4</v>
      </c>
      <c r="E172" s="19" t="n">
        <f aca="false">лютий!Q172</f>
        <v>0</v>
      </c>
      <c r="F172" s="20" t="n">
        <f aca="false">лютий!F172</f>
        <v>0</v>
      </c>
      <c r="G172" s="21" t="n">
        <f aca="false">лютий!G172</f>
        <v>65.63</v>
      </c>
      <c r="H172" s="21" t="n">
        <f aca="false">лютий!H172</f>
        <v>0</v>
      </c>
      <c r="I172" s="22" t="n">
        <f aca="false">лютий!I172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1345.48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лютий!B173</f>
        <v>Сидоренко Б.Й.</v>
      </c>
      <c r="C173" s="18" t="str">
        <f aca="false">лютий!C173</f>
        <v>50165</v>
      </c>
      <c r="D173" s="19" t="n">
        <f aca="false">лютий!P173</f>
        <v>9236.03</v>
      </c>
      <c r="E173" s="19" t="n">
        <f aca="false">лютий!Q173</f>
        <v>0</v>
      </c>
      <c r="F173" s="20" t="n">
        <f aca="false">лютий!F173</f>
        <v>0</v>
      </c>
      <c r="G173" s="21" t="n">
        <f aca="false">лютий!G173</f>
        <v>49.8</v>
      </c>
      <c r="H173" s="21" t="n">
        <f aca="false">лютий!H173</f>
        <v>0</v>
      </c>
      <c r="I173" s="22" t="n">
        <f aca="false">лютий!I173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9440.21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лютий!B174</f>
        <v>Кузнєцова О.А.</v>
      </c>
      <c r="C174" s="18" t="str">
        <f aca="false">лютий!C174</f>
        <v>50166</v>
      </c>
      <c r="D174" s="19" t="n">
        <f aca="false">лютий!P174</f>
        <v>430.5</v>
      </c>
      <c r="E174" s="19" t="n">
        <f aca="false">лютий!Q174</f>
        <v>0</v>
      </c>
      <c r="F174" s="20" t="n">
        <f aca="false">лютий!F174</f>
        <v>0</v>
      </c>
      <c r="G174" s="21" t="n">
        <f aca="false">лютий!G174</f>
        <v>35</v>
      </c>
      <c r="H174" s="21" t="n">
        <f aca="false">лютий!H174</f>
        <v>0</v>
      </c>
      <c r="I174" s="22" t="n">
        <f aca="false">лютий!I174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574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лютий!B175</f>
        <v>Васильєва О.Г.</v>
      </c>
      <c r="C175" s="18" t="str">
        <f aca="false">лютий!C175</f>
        <v>50167</v>
      </c>
      <c r="D175" s="19" t="n">
        <f aca="false">лютий!P175</f>
        <v>3524.67</v>
      </c>
      <c r="E175" s="19" t="n">
        <f aca="false">лютий!Q175</f>
        <v>0</v>
      </c>
      <c r="F175" s="20" t="n">
        <f aca="false">лютий!F175</f>
        <v>0</v>
      </c>
      <c r="G175" s="21" t="n">
        <f aca="false">лютий!G175</f>
        <v>61.7</v>
      </c>
      <c r="H175" s="21" t="n">
        <f aca="false">лютий!H175</f>
        <v>0</v>
      </c>
      <c r="I175" s="22" t="n">
        <f aca="false">лютий!I175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3777.64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лютий!B176</f>
        <v>Кудінова Л.М.</v>
      </c>
      <c r="C176" s="18" t="str">
        <f aca="false">лютий!C176</f>
        <v>50168</v>
      </c>
      <c r="D176" s="19" t="n">
        <f aca="false">лютий!P176</f>
        <v>780.91</v>
      </c>
      <c r="E176" s="19" t="n">
        <f aca="false">лютий!Q176</f>
        <v>0</v>
      </c>
      <c r="F176" s="20" t="n">
        <f aca="false">лютий!F176</f>
        <v>0</v>
      </c>
      <c r="G176" s="21" t="n">
        <f aca="false">лютий!G176</f>
        <v>65.58</v>
      </c>
      <c r="H176" s="21" t="n">
        <f aca="false">лютий!H176</f>
        <v>0</v>
      </c>
      <c r="I176" s="22" t="n">
        <f aca="false">лютий!I176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1049.79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лютий!B177</f>
        <v>Спільний І.В.</v>
      </c>
      <c r="C177" s="18" t="str">
        <f aca="false">лютий!C177</f>
        <v>50169</v>
      </c>
      <c r="D177" s="19" t="n">
        <f aca="false">лютий!P177</f>
        <v>2754.17</v>
      </c>
      <c r="E177" s="19" t="n">
        <f aca="false">лютий!Q177</f>
        <v>0</v>
      </c>
      <c r="F177" s="20" t="n">
        <f aca="false">лютий!F177</f>
        <v>0</v>
      </c>
      <c r="G177" s="21" t="n">
        <f aca="false">лютий!G177</f>
        <v>49.5</v>
      </c>
      <c r="H177" s="21" t="n">
        <f aca="false">лютий!H177</f>
        <v>0</v>
      </c>
      <c r="I177" s="22" t="n">
        <f aca="false">лютий!I177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2957.12</v>
      </c>
      <c r="Q177" s="25" t="n">
        <f aca="false">IF(E177=0,IF((D177+N177-O177)&lt;0,ABS(D177+N177-O177),0),IF((N177-E177-O177)&lt;0,ABS(N177-E177-O177),0))</f>
        <v>0</v>
      </c>
    </row>
    <row r="178" customFormat="false" ht="15" hidden="false" customHeight="false" outlineLevel="0" collapsed="false">
      <c r="A178" s="17" t="s">
        <v>530</v>
      </c>
      <c r="B178" s="18" t="str">
        <f aca="false">лютий!B178</f>
        <v>Кружаліна Т.А.</v>
      </c>
      <c r="C178" s="18" t="str">
        <f aca="false">лютий!C178</f>
        <v>50170</v>
      </c>
      <c r="D178" s="19" t="n">
        <f aca="false">лютий!P178</f>
        <v>1014.89</v>
      </c>
      <c r="E178" s="19" t="n">
        <f aca="false">лютий!Q178</f>
        <v>0</v>
      </c>
      <c r="F178" s="20" t="n">
        <f aca="false">лютий!F178</f>
        <v>0</v>
      </c>
      <c r="G178" s="21" t="n">
        <f aca="false">лютий!G178</f>
        <v>35.1</v>
      </c>
      <c r="H178" s="21" t="n">
        <f aca="false">лютий!H178</f>
        <v>0</v>
      </c>
      <c r="I178" s="22" t="n">
        <f aca="false">лютий!I178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1158.8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лютий!B179</f>
        <v>Григоренко Н.Е.</v>
      </c>
      <c r="C179" s="18" t="str">
        <f aca="false">лютий!C179</f>
        <v>50171</v>
      </c>
      <c r="D179" s="19" t="n">
        <f aca="false">лютий!P179</f>
        <v>2510.09</v>
      </c>
      <c r="E179" s="19" t="n">
        <f aca="false">лютий!Q179</f>
        <v>0</v>
      </c>
      <c r="F179" s="20" t="n">
        <f aca="false">лютий!F179</f>
        <v>0</v>
      </c>
      <c r="G179" s="21" t="n">
        <f aca="false">лютий!G179</f>
        <v>62.91</v>
      </c>
      <c r="H179" s="21" t="n">
        <f aca="false">лютий!H179</f>
        <v>0</v>
      </c>
      <c r="I179" s="22" t="n">
        <f aca="false">лютий!I179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2768.02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лютий!B180</f>
        <v>Бондарчук В.В.</v>
      </c>
      <c r="C180" s="18" t="str">
        <f aca="false">лютий!C180</f>
        <v>50172</v>
      </c>
      <c r="D180" s="19" t="n">
        <f aca="false">лютий!P180</f>
        <v>0</v>
      </c>
      <c r="E180" s="19" t="n">
        <f aca="false">лютий!Q180</f>
        <v>270.719999999999</v>
      </c>
      <c r="F180" s="20" t="n">
        <f aca="false">лютий!F180</f>
        <v>0</v>
      </c>
      <c r="G180" s="21" t="n">
        <f aca="false">лютий!G180</f>
        <v>66.03</v>
      </c>
      <c r="H180" s="21" t="n">
        <f aca="false">лютий!H180</f>
        <v>0</v>
      </c>
      <c r="I180" s="22" t="n">
        <f aca="false">лютий!I180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 t="n">
        <v>812.16</v>
      </c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812.16</v>
      </c>
    </row>
    <row r="181" customFormat="false" ht="15" hidden="false" customHeight="false" outlineLevel="0" collapsed="false">
      <c r="A181" s="17" t="s">
        <v>539</v>
      </c>
      <c r="B181" s="18" t="str">
        <f aca="false">лютий!B181</f>
        <v>Рябініна Н.І.</v>
      </c>
      <c r="C181" s="18" t="str">
        <f aca="false">лютий!C181</f>
        <v>50173</v>
      </c>
      <c r="D181" s="19" t="n">
        <f aca="false">лютий!P181</f>
        <v>2659.67</v>
      </c>
      <c r="E181" s="19" t="n">
        <f aca="false">лютий!Q181</f>
        <v>0</v>
      </c>
      <c r="F181" s="20" t="n">
        <f aca="false">лютий!F181</f>
        <v>0</v>
      </c>
      <c r="G181" s="21" t="n">
        <f aca="false">лютий!G181</f>
        <v>49.9</v>
      </c>
      <c r="H181" s="21" t="n">
        <f aca="false">лютий!H181</f>
        <v>0</v>
      </c>
      <c r="I181" s="22" t="n">
        <f aca="false">лютий!I181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 t="n">
        <v>500</v>
      </c>
      <c r="P181" s="25" t="n">
        <f aca="false">IF(D181=0,IF((N181-E181-O181)&gt;0,(N181-E181-O181),0),IF((D181+N181-O181)&gt;0,(D181+N181-O181),0))</f>
        <v>2364.26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лютий!B182</f>
        <v>Шапіро В.І.</v>
      </c>
      <c r="C182" s="18" t="str">
        <f aca="false">лютий!C182</f>
        <v>50174</v>
      </c>
      <c r="D182" s="19" t="n">
        <f aca="false">лютий!P182</f>
        <v>143.17</v>
      </c>
      <c r="E182" s="19" t="n">
        <f aca="false">лютий!Q182</f>
        <v>0</v>
      </c>
      <c r="F182" s="20" t="n">
        <f aca="false">лютий!F182</f>
        <v>0</v>
      </c>
      <c r="G182" s="21" t="n">
        <f aca="false">лютий!G182</f>
        <v>34.92</v>
      </c>
      <c r="H182" s="21" t="n">
        <f aca="false">лютий!H182</f>
        <v>0</v>
      </c>
      <c r="I182" s="22" t="n">
        <f aca="false">лютий!I182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лютий!B183</f>
        <v>Крамаренко О.О.</v>
      </c>
      <c r="C183" s="18" t="str">
        <f aca="false">лютий!C183</f>
        <v>50175</v>
      </c>
      <c r="D183" s="19" t="n">
        <f aca="false">лютий!P183</f>
        <v>1055.39</v>
      </c>
      <c r="E183" s="19" t="n">
        <f aca="false">лютий!Q183</f>
        <v>0</v>
      </c>
      <c r="F183" s="20" t="n">
        <f aca="false">лютий!F183</f>
        <v>0</v>
      </c>
      <c r="G183" s="21" t="n">
        <f aca="false">лютий!G183</f>
        <v>61.91</v>
      </c>
      <c r="H183" s="21" t="n">
        <f aca="false">лютий!H183</f>
        <v>0</v>
      </c>
      <c r="I183" s="22" t="n">
        <f aca="false">лютий!I183</f>
        <v>4.1</v>
      </c>
      <c r="J183" s="23" t="n">
        <f aca="false">ROUND(G183*I183,2)</f>
        <v>253.83</v>
      </c>
      <c r="K183" s="19"/>
      <c r="L183" s="19" t="n">
        <v>253.83</v>
      </c>
      <c r="M183" s="19"/>
      <c r="N183" s="19" t="n">
        <f aca="false">ROUND((G183*I183)-K183-L183-M183,2)</f>
        <v>0</v>
      </c>
      <c r="O183" s="19"/>
      <c r="P183" s="25" t="n">
        <f aca="false">IF(D183=0,IF((N183-E183-O183)&gt;0,(N183-E183-O183),0),IF((D183+N183-O183)&gt;0,(D183+N183-O183),0))</f>
        <v>1055.39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лютий!B184</f>
        <v>Свиридов В.Ф.</v>
      </c>
      <c r="C184" s="18" t="str">
        <f aca="false">лютий!C184</f>
        <v>50176</v>
      </c>
      <c r="D184" s="19" t="n">
        <f aca="false">лютий!P184</f>
        <v>2992.03</v>
      </c>
      <c r="E184" s="19" t="n">
        <f aca="false">лютий!Q184</f>
        <v>0</v>
      </c>
      <c r="F184" s="20" t="n">
        <f aca="false">лютий!F184</f>
        <v>0</v>
      </c>
      <c r="G184" s="21" t="n">
        <f aca="false">лютий!G184</f>
        <v>65.15</v>
      </c>
      <c r="H184" s="21" t="n">
        <f aca="false">лютий!H184</f>
        <v>0</v>
      </c>
      <c r="I184" s="22" t="n">
        <f aca="false">лютий!I184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3259.15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лютий!B185</f>
        <v>Домацький В.А.</v>
      </c>
      <c r="C185" s="18" t="str">
        <f aca="false">лютий!C185</f>
        <v>50177</v>
      </c>
      <c r="D185" s="19" t="n">
        <f aca="false">лютий!P185</f>
        <v>2049.98</v>
      </c>
      <c r="E185" s="19" t="n">
        <f aca="false">лютий!Q185</f>
        <v>0</v>
      </c>
      <c r="F185" s="20" t="n">
        <f aca="false">лютий!F185</f>
        <v>0</v>
      </c>
      <c r="G185" s="21" t="n">
        <f aca="false">лютий!G185</f>
        <v>50</v>
      </c>
      <c r="H185" s="21" t="n">
        <f aca="false">лютий!H185</f>
        <v>0</v>
      </c>
      <c r="I185" s="22" t="n">
        <f aca="false">лютий!I185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2254.98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лютий!B186</f>
        <v>Шаповалова І.А.</v>
      </c>
      <c r="C186" s="18" t="str">
        <f aca="false">лютий!C186</f>
        <v>50178</v>
      </c>
      <c r="D186" s="19" t="n">
        <f aca="false">лютий!P186</f>
        <v>1294.47</v>
      </c>
      <c r="E186" s="19" t="n">
        <f aca="false">лютий!Q186</f>
        <v>0</v>
      </c>
      <c r="F186" s="20" t="n">
        <f aca="false">лютий!F186</f>
        <v>0</v>
      </c>
      <c r="G186" s="21" t="n">
        <f aca="false">лютий!G186</f>
        <v>35.1</v>
      </c>
      <c r="H186" s="21" t="n">
        <f aca="false">лютий!H186</f>
        <v>0</v>
      </c>
      <c r="I186" s="22" t="n">
        <f aca="false">лютий!I186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1438.38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лютий!B187</f>
        <v>Кононенко О.В.</v>
      </c>
      <c r="C187" s="18" t="str">
        <f aca="false">лютий!C187</f>
        <v>50179</v>
      </c>
      <c r="D187" s="19" t="n">
        <f aca="false">лютий!P187</f>
        <v>3546.71</v>
      </c>
      <c r="E187" s="19" t="n">
        <f aca="false">лютий!Q187</f>
        <v>0</v>
      </c>
      <c r="F187" s="20" t="n">
        <f aca="false">лютий!F187</f>
        <v>0</v>
      </c>
      <c r="G187" s="21" t="n">
        <f aca="false">лютий!G187</f>
        <v>61.8</v>
      </c>
      <c r="H187" s="21" t="n">
        <f aca="false">лютий!H187</f>
        <v>0</v>
      </c>
      <c r="I187" s="22" t="n">
        <f aca="false">лютий!I187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3800.09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лютий!B188</f>
        <v>Овчаренко Т.І.</v>
      </c>
      <c r="C188" s="18" t="str">
        <f aca="false">лютий!C188</f>
        <v>60180</v>
      </c>
      <c r="D188" s="19" t="n">
        <f aca="false">лютий!P188</f>
        <v>2028.33</v>
      </c>
      <c r="E188" s="19" t="n">
        <f aca="false">лютий!Q188</f>
        <v>0</v>
      </c>
      <c r="F188" s="20" t="n">
        <f aca="false">лютий!F188</f>
        <v>0</v>
      </c>
      <c r="G188" s="21" t="n">
        <f aca="false">лютий!G188</f>
        <v>71.06</v>
      </c>
      <c r="H188" s="21" t="n">
        <f aca="false">лютий!H188</f>
        <v>0</v>
      </c>
      <c r="I188" s="22" t="n">
        <f aca="false">лютий!I188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 t="n">
        <f aca="false">1460+584</f>
        <v>2044</v>
      </c>
      <c r="P188" s="25" t="n">
        <f aca="false">IF(D188=0,IF((N188-E188-O188)&gt;0,(N188-E188-O188),0),IF((D188+N188-O188)&gt;0,(D188+N188-O188),0))</f>
        <v>275.68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лютий!B189</f>
        <v>Попукайло О.Г.</v>
      </c>
      <c r="C189" s="18" t="str">
        <f aca="false">лютий!C189</f>
        <v>60181</v>
      </c>
      <c r="D189" s="19" t="n">
        <f aca="false">лютий!P189</f>
        <v>403.04</v>
      </c>
      <c r="E189" s="19" t="n">
        <f aca="false">лютий!Q189</f>
        <v>0</v>
      </c>
      <c r="F189" s="20" t="n">
        <f aca="false">лютий!F189</f>
        <v>0</v>
      </c>
      <c r="G189" s="21" t="n">
        <f aca="false">лютий!G189</f>
        <v>49.15</v>
      </c>
      <c r="H189" s="21" t="n">
        <f aca="false">лютий!H189</f>
        <v>0</v>
      </c>
      <c r="I189" s="22" t="n">
        <f aca="false">лютий!I189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604.56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лютий!B190</f>
        <v>Онищенко А.В.</v>
      </c>
      <c r="C190" s="18" t="str">
        <f aca="false">лютий!C190</f>
        <v>60182</v>
      </c>
      <c r="D190" s="19" t="n">
        <f aca="false">лютий!P190</f>
        <v>485.78</v>
      </c>
      <c r="E190" s="19" t="n">
        <f aca="false">лютий!Q190</f>
        <v>0</v>
      </c>
      <c r="F190" s="20" t="n">
        <f aca="false">лютий!F190</f>
        <v>0</v>
      </c>
      <c r="G190" s="21" t="n">
        <f aca="false">лютий!G190</f>
        <v>53.72</v>
      </c>
      <c r="H190" s="21" t="n">
        <f aca="false">лютий!H190</f>
        <v>0</v>
      </c>
      <c r="I190" s="22" t="n">
        <f aca="false">лютий!I190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706.03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лютий!B191</f>
        <v>Соколова О.О.</v>
      </c>
      <c r="C191" s="18" t="str">
        <f aca="false">лютий!C191</f>
        <v>60183</v>
      </c>
      <c r="D191" s="19" t="n">
        <f aca="false">лютий!P191</f>
        <v>0</v>
      </c>
      <c r="E191" s="19" t="n">
        <f aca="false">лютий!Q191</f>
        <v>13.7200000000009</v>
      </c>
      <c r="F191" s="20" t="n">
        <f aca="false">лютий!F191</f>
        <v>0</v>
      </c>
      <c r="G191" s="21" t="n">
        <f aca="false">лютий!G191</f>
        <v>68.97</v>
      </c>
      <c r="H191" s="21" t="n">
        <f aca="false">лютий!H191</f>
        <v>0</v>
      </c>
      <c r="I191" s="22" t="n">
        <f aca="false">лютий!I191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269.059999999999</v>
      </c>
      <c r="Q191" s="25" t="n">
        <f aca="false">IF(E191=0,IF((D191+N191-O191)&lt;0,ABS(D191+N191-O191),0),IF((N191-E191-O191)&lt;0,ABS(N191-E191-O191),0))</f>
        <v>0</v>
      </c>
    </row>
    <row r="192" customFormat="false" ht="15" hidden="false" customHeight="false" outlineLevel="0" collapsed="false">
      <c r="A192" s="17" t="s">
        <v>572</v>
      </c>
      <c r="B192" s="18" t="str">
        <f aca="false">лютий!B192</f>
        <v>Ільіна В.П.</v>
      </c>
      <c r="C192" s="18" t="str">
        <f aca="false">лютий!C192</f>
        <v>60184</v>
      </c>
      <c r="D192" s="19" t="n">
        <f aca="false">лютий!P192</f>
        <v>4497.46</v>
      </c>
      <c r="E192" s="19" t="n">
        <f aca="false">лютий!Q192</f>
        <v>0</v>
      </c>
      <c r="F192" s="20" t="n">
        <f aca="false">лютий!F192</f>
        <v>0</v>
      </c>
      <c r="G192" s="21" t="n">
        <f aca="false">лютий!G192</f>
        <v>49.86</v>
      </c>
      <c r="H192" s="21" t="n">
        <f aca="false">лютий!H192</f>
        <v>0</v>
      </c>
      <c r="I192" s="22" t="n">
        <f aca="false">лютий!I192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4701.89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лютий!B193</f>
        <v>Чешок Г.К.</v>
      </c>
      <c r="C193" s="18" t="str">
        <f aca="false">лютий!C193</f>
        <v>60185</v>
      </c>
      <c r="D193" s="19" t="n">
        <f aca="false">лютий!P193</f>
        <v>3402.43</v>
      </c>
      <c r="E193" s="19" t="n">
        <f aca="false">лютий!Q193</f>
        <v>0</v>
      </c>
      <c r="F193" s="20" t="n">
        <f aca="false">лютий!F193</f>
        <v>0</v>
      </c>
      <c r="G193" s="21" t="n">
        <f aca="false">лютий!G193</f>
        <v>60.86</v>
      </c>
      <c r="H193" s="21" t="n">
        <f aca="false">лютий!H193</f>
        <v>0</v>
      </c>
      <c r="I193" s="22" t="n">
        <f aca="false">лютий!I193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3651.96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лютий!B194</f>
        <v>Бердников В.А.</v>
      </c>
      <c r="C194" s="18" t="str">
        <f aca="false">лютий!C194</f>
        <v>60186</v>
      </c>
      <c r="D194" s="19" t="n">
        <f aca="false">лютий!P194</f>
        <v>1096.99</v>
      </c>
      <c r="E194" s="19" t="n">
        <f aca="false">лютий!Q194</f>
        <v>0</v>
      </c>
      <c r="F194" s="20" t="n">
        <f aca="false">лютий!F194</f>
        <v>0</v>
      </c>
      <c r="G194" s="21" t="n">
        <f aca="false">лютий!G194</f>
        <v>66.75</v>
      </c>
      <c r="H194" s="21" t="n">
        <f aca="false">лютий!H194</f>
        <v>0</v>
      </c>
      <c r="I194" s="22" t="n">
        <f aca="false">лютий!I194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1370.67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лютий!B195</f>
        <v>Щербак Н.В.</v>
      </c>
      <c r="C195" s="18" t="str">
        <f aca="false">лютий!C195</f>
        <v>60187</v>
      </c>
      <c r="D195" s="19" t="n">
        <f aca="false">лютий!P195</f>
        <v>2972</v>
      </c>
      <c r="E195" s="19" t="n">
        <f aca="false">лютий!Q195</f>
        <v>0</v>
      </c>
      <c r="F195" s="20" t="n">
        <f aca="false">лютий!F195</f>
        <v>0</v>
      </c>
      <c r="G195" s="21" t="n">
        <f aca="false">лютий!G195</f>
        <v>72.49</v>
      </c>
      <c r="H195" s="21" t="n">
        <f aca="false">лютий!H195</f>
        <v>0</v>
      </c>
      <c r="I195" s="22" t="n">
        <f aca="false">лютий!I195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3269.21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лютий!B196</f>
        <v>Рожков Ю.М.</v>
      </c>
      <c r="C196" s="18" t="str">
        <f aca="false">лютий!C196</f>
        <v>60188</v>
      </c>
      <c r="D196" s="19" t="n">
        <f aca="false">лютий!P196</f>
        <v>380.06</v>
      </c>
      <c r="E196" s="19" t="n">
        <f aca="false">лютий!Q196</f>
        <v>0</v>
      </c>
      <c r="F196" s="20" t="n">
        <f aca="false">лютий!F196</f>
        <v>0</v>
      </c>
      <c r="G196" s="21" t="n">
        <f aca="false">лютий!G196</f>
        <v>49.8</v>
      </c>
      <c r="H196" s="21" t="n">
        <f aca="false">лютий!H196</f>
        <v>0</v>
      </c>
      <c r="I196" s="22" t="n">
        <f aca="false">лютий!I196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584.24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лютий!B197</f>
        <v>Кобець В.В.</v>
      </c>
      <c r="C197" s="18" t="str">
        <f aca="false">лютий!C197</f>
        <v>60189</v>
      </c>
      <c r="D197" s="19" t="n">
        <f aca="false">лютий!P197</f>
        <v>1546.15</v>
      </c>
      <c r="E197" s="19" t="n">
        <f aca="false">лютий!Q197</f>
        <v>0</v>
      </c>
      <c r="F197" s="20" t="n">
        <f aca="false">лютий!F197</f>
        <v>0</v>
      </c>
      <c r="G197" s="21" t="n">
        <f aca="false">лютий!G197</f>
        <v>62.36</v>
      </c>
      <c r="H197" s="21" t="n">
        <f aca="false">лютий!H197</f>
        <v>0</v>
      </c>
      <c r="I197" s="22" t="n">
        <f aca="false">лютий!I197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1801.83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лютий!B198</f>
        <v>Щерба Л.О.</v>
      </c>
      <c r="C198" s="18" t="str">
        <f aca="false">лютий!C198</f>
        <v>60190</v>
      </c>
      <c r="D198" s="19" t="n">
        <f aca="false">лютий!P198</f>
        <v>3192.1</v>
      </c>
      <c r="E198" s="19" t="n">
        <f aca="false">лютий!Q198</f>
        <v>0</v>
      </c>
      <c r="F198" s="20" t="n">
        <f aca="false">лютий!F198</f>
        <v>0</v>
      </c>
      <c r="G198" s="21" t="n">
        <f aca="false">лютий!G198</f>
        <v>68.5</v>
      </c>
      <c r="H198" s="21" t="n">
        <f aca="false">лютий!H198</f>
        <v>0</v>
      </c>
      <c r="I198" s="22" t="n">
        <f aca="false">лютий!I198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3472.95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лютий!B199</f>
        <v>Сапунова І.В.</v>
      </c>
      <c r="C199" s="18" t="str">
        <f aca="false">лютий!C199</f>
        <v>60191</v>
      </c>
      <c r="D199" s="19" t="n">
        <f aca="false">лютий!P199</f>
        <v>1195.84</v>
      </c>
      <c r="E199" s="19" t="n">
        <f aca="false">лютий!Q199</f>
        <v>0</v>
      </c>
      <c r="F199" s="20" t="n">
        <f aca="false">лютий!F199</f>
        <v>0</v>
      </c>
      <c r="G199" s="21" t="n">
        <f aca="false">лютий!G199</f>
        <v>70.42</v>
      </c>
      <c r="H199" s="21" t="n">
        <f aca="false">лютий!H199</f>
        <v>0</v>
      </c>
      <c r="I199" s="22" t="n">
        <f aca="false">лютий!I199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1484.56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лютий!B200</f>
        <v>Саввідіс В.О.</v>
      </c>
      <c r="C200" s="18" t="str">
        <f aca="false">лютий!C200</f>
        <v>60192</v>
      </c>
      <c r="D200" s="19" t="n">
        <f aca="false">лютий!P200</f>
        <v>3150.56</v>
      </c>
      <c r="E200" s="19" t="n">
        <f aca="false">лютий!Q200</f>
        <v>0</v>
      </c>
      <c r="F200" s="20" t="n">
        <f aca="false">лютий!F200</f>
        <v>0</v>
      </c>
      <c r="G200" s="21" t="n">
        <f aca="false">лютий!G200</f>
        <v>49.7</v>
      </c>
      <c r="H200" s="21" t="n">
        <f aca="false">лютий!H200</f>
        <v>0</v>
      </c>
      <c r="I200" s="22" t="n">
        <f aca="false">лютий!I200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3354.33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лютий!B201</f>
        <v>Кашина Г.І.</v>
      </c>
      <c r="C201" s="18" t="str">
        <f aca="false">лютий!C201</f>
        <v>60193</v>
      </c>
      <c r="D201" s="19" t="n">
        <f aca="false">лютий!P201</f>
        <v>3336.58</v>
      </c>
      <c r="E201" s="19" t="n">
        <f aca="false">лютий!Q201</f>
        <v>0</v>
      </c>
      <c r="F201" s="20" t="n">
        <f aca="false">лютий!F201</f>
        <v>0</v>
      </c>
      <c r="G201" s="21" t="n">
        <f aca="false">лютий!G201</f>
        <v>62.6</v>
      </c>
      <c r="H201" s="21" t="n">
        <f aca="false">лютий!H201</f>
        <v>0</v>
      </c>
      <c r="I201" s="22" t="n">
        <f aca="false">лютий!I201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3593.24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лютий!B202</f>
        <v>Фадеєва Є.А.</v>
      </c>
      <c r="C202" s="18" t="str">
        <f aca="false">лютий!C202</f>
        <v>60194</v>
      </c>
      <c r="D202" s="19" t="n">
        <f aca="false">лютий!P202</f>
        <v>2597.76</v>
      </c>
      <c r="E202" s="19" t="n">
        <f aca="false">лютий!Q202</f>
        <v>0</v>
      </c>
      <c r="F202" s="20" t="n">
        <f aca="false">лютий!F202</f>
        <v>0</v>
      </c>
      <c r="G202" s="21" t="n">
        <f aca="false">лютий!G202</f>
        <v>70.4</v>
      </c>
      <c r="H202" s="21" t="n">
        <f aca="false">лютий!H202</f>
        <v>0</v>
      </c>
      <c r="I202" s="22" t="n">
        <f aca="false">лютий!I202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2886.4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лютий!B203</f>
        <v>Бойко О.А.</v>
      </c>
      <c r="C203" s="18" t="str">
        <f aca="false">лютий!C203</f>
        <v>60195</v>
      </c>
      <c r="D203" s="19" t="n">
        <f aca="false">лютий!P203</f>
        <v>2869.05</v>
      </c>
      <c r="E203" s="19" t="n">
        <f aca="false">лютий!Q203</f>
        <v>0</v>
      </c>
      <c r="F203" s="20" t="n">
        <f aca="false">лютий!F203</f>
        <v>0</v>
      </c>
      <c r="G203" s="21" t="n">
        <f aca="false">лютий!G203</f>
        <v>70.2</v>
      </c>
      <c r="H203" s="21" t="n">
        <f aca="false">лютий!H203</f>
        <v>0</v>
      </c>
      <c r="I203" s="22" t="n">
        <f aca="false">лютий!I203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3156.87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лютий!B204</f>
        <v>Дудник І.А.</v>
      </c>
      <c r="C204" s="18" t="str">
        <f aca="false">лютий!C204</f>
        <v>60196</v>
      </c>
      <c r="D204" s="19" t="n">
        <f aca="false">лютий!P204</f>
        <v>2098.77</v>
      </c>
      <c r="E204" s="19" t="n">
        <f aca="false">лютий!Q204</f>
        <v>0</v>
      </c>
      <c r="F204" s="20" t="n">
        <f aca="false">лютий!F204</f>
        <v>0</v>
      </c>
      <c r="G204" s="21" t="n">
        <f aca="false">лютий!G204</f>
        <v>49.94</v>
      </c>
      <c r="H204" s="21" t="n">
        <f aca="false">лютий!H204</f>
        <v>0</v>
      </c>
      <c r="I204" s="22" t="n">
        <f aca="false">лютий!I204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2303.52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лютий!B205</f>
        <v>Лебедєва Т.В.</v>
      </c>
      <c r="C205" s="18" t="str">
        <f aca="false">лютий!C205</f>
        <v>60197</v>
      </c>
      <c r="D205" s="19" t="n">
        <f aca="false">лютий!P205</f>
        <v>1272.58</v>
      </c>
      <c r="E205" s="19" t="n">
        <f aca="false">лютий!Q205</f>
        <v>0</v>
      </c>
      <c r="F205" s="20" t="n">
        <f aca="false">лютий!F205</f>
        <v>0</v>
      </c>
      <c r="G205" s="21" t="n">
        <f aca="false">лютий!G205</f>
        <v>62.3</v>
      </c>
      <c r="H205" s="21" t="n">
        <f aca="false">лютий!H205</f>
        <v>0</v>
      </c>
      <c r="I205" s="22" t="n">
        <f aca="false">лютий!I205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1528.01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лютий!B206</f>
        <v>Криницький Л.С.</v>
      </c>
      <c r="C206" s="18" t="str">
        <f aca="false">лютий!C206</f>
        <v>60198</v>
      </c>
      <c r="D206" s="19" t="n">
        <f aca="false">лютий!P206</f>
        <v>1549.65</v>
      </c>
      <c r="E206" s="19" t="n">
        <f aca="false">лютий!Q206</f>
        <v>0</v>
      </c>
      <c r="F206" s="20" t="n">
        <f aca="false">лютий!F206</f>
        <v>0</v>
      </c>
      <c r="G206" s="21" t="n">
        <f aca="false">лютий!G206</f>
        <v>67.61</v>
      </c>
      <c r="H206" s="21" t="n">
        <f aca="false">лютий!H206</f>
        <v>0</v>
      </c>
      <c r="I206" s="22" t="n">
        <f aca="false">лютий!I206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 t="n">
        <v>1549.65</v>
      </c>
      <c r="P206" s="25" t="n">
        <f aca="false">IF(D206=0,IF((N206-E206-O206)&gt;0,(N206-E206-O206),0),IF((D206+N206-O206)&gt;0,(D206+N206-O206),0))</f>
        <v>277.2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лютий!B207</f>
        <v>Сафонов В.В.</v>
      </c>
      <c r="C207" s="18" t="str">
        <f aca="false">лютий!C207</f>
        <v>60199</v>
      </c>
      <c r="D207" s="19" t="n">
        <f aca="false">лютий!P207</f>
        <v>2691.81</v>
      </c>
      <c r="E207" s="19" t="n">
        <f aca="false">лютий!Q207</f>
        <v>0</v>
      </c>
      <c r="F207" s="20" t="n">
        <f aca="false">лютий!F207</f>
        <v>0</v>
      </c>
      <c r="G207" s="21" t="n">
        <f aca="false">лютий!G207</f>
        <v>70.38</v>
      </c>
      <c r="H207" s="21" t="n">
        <f aca="false">лютий!H207</f>
        <v>0</v>
      </c>
      <c r="I207" s="22" t="n">
        <f aca="false">лютий!I207</f>
        <v>4.1</v>
      </c>
      <c r="J207" s="23" t="n">
        <f aca="false">ROUND(G207*I207,2)</f>
        <v>288.56</v>
      </c>
      <c r="K207" s="19"/>
      <c r="L207" s="19" t="n">
        <v>196.95</v>
      </c>
      <c r="M207" s="19"/>
      <c r="N207" s="19" t="n">
        <f aca="false">ROUND((G207*I207)-K207-L207-M207,2)</f>
        <v>91.61</v>
      </c>
      <c r="O207" s="19"/>
      <c r="P207" s="25" t="n">
        <f aca="false">IF(D207=0,IF((N207-E207-O207)&gt;0,(N207-E207-O207),0),IF((D207+N207-O207)&gt;0,(D207+N207-O207),0))</f>
        <v>2783.42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лютий!B208</f>
        <v>Мільковська Р.Г.</v>
      </c>
      <c r="C208" s="18" t="str">
        <f aca="false">лютий!C208</f>
        <v>60200</v>
      </c>
      <c r="D208" s="19" t="n">
        <f aca="false">лютий!P208</f>
        <v>1878.56</v>
      </c>
      <c r="E208" s="19" t="n">
        <f aca="false">лютий!Q208</f>
        <v>0</v>
      </c>
      <c r="F208" s="20" t="n">
        <f aca="false">лютий!F208</f>
        <v>0</v>
      </c>
      <c r="G208" s="21" t="n">
        <f aca="false">лютий!G208</f>
        <v>49.88</v>
      </c>
      <c r="H208" s="21" t="n">
        <f aca="false">лютий!H208</f>
        <v>0</v>
      </c>
      <c r="I208" s="22" t="n">
        <f aca="false">лютий!I208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2083.07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лютий!B209</f>
        <v>Заранкін С.М.</v>
      </c>
      <c r="C209" s="18" t="str">
        <f aca="false">лютий!C209</f>
        <v>60201</v>
      </c>
      <c r="D209" s="19" t="n">
        <f aca="false">лютий!P209</f>
        <v>1477.8</v>
      </c>
      <c r="E209" s="19" t="n">
        <f aca="false">лютий!Q209</f>
        <v>0</v>
      </c>
      <c r="F209" s="20" t="n">
        <f aca="false">лютий!F209</f>
        <v>0</v>
      </c>
      <c r="G209" s="21" t="n">
        <f aca="false">лютий!G209</f>
        <v>62.02</v>
      </c>
      <c r="H209" s="21" t="n">
        <f aca="false">лютий!H209</f>
        <v>0</v>
      </c>
      <c r="I209" s="22" t="n">
        <f aca="false">лютий!I209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1732.08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лютий!B210</f>
        <v>Сіянко О.М.</v>
      </c>
      <c r="C210" s="18" t="str">
        <f aca="false">лютий!C210</f>
        <v>60202</v>
      </c>
      <c r="D210" s="19" t="n">
        <f aca="false">лютий!P210</f>
        <v>2201.03</v>
      </c>
      <c r="E210" s="19" t="n">
        <f aca="false">лютий!Q210</f>
        <v>0</v>
      </c>
      <c r="F210" s="20" t="n">
        <f aca="false">лютий!F210</f>
        <v>0</v>
      </c>
      <c r="G210" s="21" t="n">
        <f aca="false">лютий!G210</f>
        <v>67.6</v>
      </c>
      <c r="H210" s="21" t="n">
        <f aca="false">лютий!H210</f>
        <v>0</v>
      </c>
      <c r="I210" s="22" t="n">
        <f aca="false">лютий!I210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2478.19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лютий!B211</f>
        <v>Осипов В.В.</v>
      </c>
      <c r="C211" s="18" t="str">
        <f aca="false">лютий!C211</f>
        <v>60203</v>
      </c>
      <c r="D211" s="19" t="n">
        <f aca="false">лютий!P211</f>
        <v>4042.08</v>
      </c>
      <c r="E211" s="19" t="n">
        <f aca="false">лютий!Q211</f>
        <v>0</v>
      </c>
      <c r="F211" s="20" t="n">
        <f aca="false">лютий!F211</f>
        <v>0</v>
      </c>
      <c r="G211" s="21" t="n">
        <f aca="false">лютий!G211</f>
        <v>70.42</v>
      </c>
      <c r="H211" s="21" t="n">
        <f aca="false">лютий!H211</f>
        <v>0</v>
      </c>
      <c r="I211" s="22" t="n">
        <f aca="false">лютий!I211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4330.8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лютий!B212</f>
        <v>Перепьолкін А.Л.</v>
      </c>
      <c r="C212" s="18" t="str">
        <f aca="false">лютий!C212</f>
        <v>60204</v>
      </c>
      <c r="D212" s="19" t="n">
        <f aca="false">лютий!P212</f>
        <v>1194.77</v>
      </c>
      <c r="E212" s="19" t="n">
        <f aca="false">лютий!Q212</f>
        <v>0</v>
      </c>
      <c r="F212" s="20" t="n">
        <f aca="false">лютий!F212</f>
        <v>0</v>
      </c>
      <c r="G212" s="21" t="n">
        <f aca="false">лютий!G212</f>
        <v>49.8</v>
      </c>
      <c r="H212" s="21" t="n">
        <f aca="false">лютий!H212</f>
        <v>0</v>
      </c>
      <c r="I212" s="22" t="n">
        <f aca="false">лютий!I212</f>
        <v>4.1</v>
      </c>
      <c r="J212" s="23" t="n">
        <f aca="false">ROUND(G212*I212,2)</f>
        <v>204.18</v>
      </c>
      <c r="K212" s="19"/>
      <c r="L212" s="19" t="n">
        <v>204.18</v>
      </c>
      <c r="M212" s="19"/>
      <c r="N212" s="19" t="n">
        <f aca="false">ROUND((G212*I212)-K212-L212-M212,2)</f>
        <v>0</v>
      </c>
      <c r="O212" s="19" t="n">
        <v>204.18</v>
      </c>
      <c r="P212" s="25" t="n">
        <f aca="false">IF(D212=0,IF((N212-E212-O212)&gt;0,(N212-E212-O212),0),IF((D212+N212-O212)&gt;0,(D212+N212-O212),0))</f>
        <v>990.59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лютий!B213</f>
        <v>Синегрибова В.В.</v>
      </c>
      <c r="C213" s="18" t="str">
        <f aca="false">лютий!C213</f>
        <v>60205</v>
      </c>
      <c r="D213" s="19" t="n">
        <f aca="false">лютий!P213</f>
        <v>3815.14</v>
      </c>
      <c r="E213" s="19" t="n">
        <f aca="false">лютий!Q213</f>
        <v>0</v>
      </c>
      <c r="F213" s="20" t="n">
        <f aca="false">лютий!F213</f>
        <v>0</v>
      </c>
      <c r="G213" s="21" t="n">
        <f aca="false">лютий!G213</f>
        <v>62.7</v>
      </c>
      <c r="H213" s="21" t="n">
        <f aca="false">лютий!H213</f>
        <v>0</v>
      </c>
      <c r="I213" s="22" t="n">
        <f aca="false">лютий!I213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4072.21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лютий!B214</f>
        <v>Юдін М.В.</v>
      </c>
      <c r="C214" s="18" t="str">
        <f aca="false">лютий!C214</f>
        <v>60206</v>
      </c>
      <c r="D214" s="19" t="n">
        <f aca="false">лютий!P214</f>
        <v>204</v>
      </c>
      <c r="E214" s="19" t="n">
        <f aca="false">лютий!Q214</f>
        <v>0</v>
      </c>
      <c r="F214" s="20" t="n">
        <f aca="false">лютий!F214</f>
        <v>0</v>
      </c>
      <c r="G214" s="21" t="n">
        <f aca="false">лютий!G214</f>
        <v>68</v>
      </c>
      <c r="H214" s="21" t="n">
        <f aca="false">лютий!H214</f>
        <v>0</v>
      </c>
      <c r="I214" s="22" t="n">
        <f aca="false">лютий!I214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лютий!B215</f>
        <v>Сергєєва Н.О.</v>
      </c>
      <c r="C215" s="18" t="str">
        <f aca="false">лютий!C215</f>
        <v>60207</v>
      </c>
      <c r="D215" s="19" t="n">
        <f aca="false">лютий!P215</f>
        <v>515.080000000001</v>
      </c>
      <c r="E215" s="19" t="n">
        <f aca="false">лютий!Q215</f>
        <v>0</v>
      </c>
      <c r="F215" s="20" t="n">
        <f aca="false">лютий!F215</f>
        <v>0</v>
      </c>
      <c r="G215" s="21" t="n">
        <f aca="false">лютий!G215</f>
        <v>72.1</v>
      </c>
      <c r="H215" s="21" t="n">
        <f aca="false">лютий!H215</f>
        <v>0</v>
      </c>
      <c r="I215" s="22" t="n">
        <f aca="false">лютий!I215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 t="n">
        <v>600</v>
      </c>
      <c r="P215" s="25" t="n">
        <f aca="false">IF(D215=0,IF((N215-E215-O215)&gt;0,(N215-E215-O215),0),IF((D215+N215-O215)&gt;0,(D215+N215-O215),0))</f>
        <v>210.690000000001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лютий!B216</f>
        <v>Рева І.П.</v>
      </c>
      <c r="C216" s="18" t="str">
        <f aca="false">лютий!C216</f>
        <v>60208</v>
      </c>
      <c r="D216" s="19" t="n">
        <f aca="false">лютий!P216</f>
        <v>1211.6</v>
      </c>
      <c r="E216" s="19" t="n">
        <f aca="false">лютий!Q216</f>
        <v>0</v>
      </c>
      <c r="F216" s="20" t="n">
        <f aca="false">лютий!F216</f>
        <v>0</v>
      </c>
      <c r="G216" s="21" t="n">
        <f aca="false">лютий!G216</f>
        <v>49.72</v>
      </c>
      <c r="H216" s="21" t="n">
        <f aca="false">лютий!H216</f>
        <v>0</v>
      </c>
      <c r="I216" s="22" t="n">
        <f aca="false">лютий!I216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1415.45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лютий!B217</f>
        <v>Почапський Ю.Т.</v>
      </c>
      <c r="C217" s="18" t="str">
        <f aca="false">лютий!C217</f>
        <v>60209</v>
      </c>
      <c r="D217" s="19" t="n">
        <f aca="false">лютий!P217</f>
        <v>256.09</v>
      </c>
      <c r="E217" s="19" t="n">
        <f aca="false">лютий!Q217</f>
        <v>0</v>
      </c>
      <c r="F217" s="20" t="n">
        <f aca="false">лютий!F217</f>
        <v>0</v>
      </c>
      <c r="G217" s="21" t="n">
        <f aca="false">лютий!G217</f>
        <v>62.39</v>
      </c>
      <c r="H217" s="21" t="n">
        <f aca="false">лютий!H217</f>
        <v>0</v>
      </c>
      <c r="I217" s="22" t="n">
        <f aca="false">лютий!I217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/>
      <c r="P217" s="25" t="n">
        <f aca="false">IF(D217=0,IF((N217-E217-O217)&gt;0,(N217-E217-O217),0),IF((D217+N217-O217)&gt;0,(D217+N217-O217),0))</f>
        <v>511.89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лютий!B218</f>
        <v>Васильченко М.П.</v>
      </c>
      <c r="C218" s="18" t="str">
        <f aca="false">лютий!C218</f>
        <v>60210</v>
      </c>
      <c r="D218" s="19" t="n">
        <f aca="false">лютий!P218</f>
        <v>3310.71</v>
      </c>
      <c r="E218" s="19" t="n">
        <f aca="false">лютий!Q218</f>
        <v>0</v>
      </c>
      <c r="F218" s="20" t="n">
        <f aca="false">лютий!F218</f>
        <v>0</v>
      </c>
      <c r="G218" s="21" t="n">
        <f aca="false">лютий!G218</f>
        <v>67.47</v>
      </c>
      <c r="H218" s="21" t="n">
        <f aca="false">лютий!H218</f>
        <v>0</v>
      </c>
      <c r="I218" s="22" t="n">
        <f aca="false">лютий!I218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3587.34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лютий!B219</f>
        <v>Черненко Т.А.</v>
      </c>
      <c r="C219" s="18" t="str">
        <f aca="false">лютий!C219</f>
        <v>60211</v>
      </c>
      <c r="D219" s="19" t="n">
        <f aca="false">лютий!P219</f>
        <v>2759.84</v>
      </c>
      <c r="E219" s="19" t="n">
        <f aca="false">лютий!Q219</f>
        <v>0</v>
      </c>
      <c r="F219" s="20" t="n">
        <f aca="false">лютий!F219</f>
        <v>0</v>
      </c>
      <c r="G219" s="21" t="n">
        <f aca="false">лютий!G219</f>
        <v>70.41</v>
      </c>
      <c r="H219" s="21" t="n">
        <f aca="false">лютий!H219</f>
        <v>0</v>
      </c>
      <c r="I219" s="22" t="n">
        <f aca="false">лютий!I219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3048.52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лютий!B220</f>
        <v>Сиротенко Я.О.</v>
      </c>
      <c r="C220" s="18" t="str">
        <f aca="false">лютий!C220</f>
        <v>60212</v>
      </c>
      <c r="D220" s="19" t="n">
        <f aca="false">лютий!P220</f>
        <v>1566.19</v>
      </c>
      <c r="E220" s="19" t="n">
        <f aca="false">лютий!Q220</f>
        <v>0</v>
      </c>
      <c r="F220" s="20" t="n">
        <f aca="false">лютий!F220</f>
        <v>0</v>
      </c>
      <c r="G220" s="21" t="n">
        <f aca="false">лютий!G220</f>
        <v>49.73</v>
      </c>
      <c r="H220" s="21" t="n">
        <f aca="false">лютий!H220</f>
        <v>0</v>
      </c>
      <c r="I220" s="22" t="n">
        <f aca="false">лютий!I220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1770.08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лютий!B221</f>
        <v>Корнюшенко О.О.</v>
      </c>
      <c r="C221" s="18" t="str">
        <f aca="false">лютий!C221</f>
        <v>60213</v>
      </c>
      <c r="D221" s="28" t="n">
        <f aca="false">лютий!P221</f>
        <v>4882</v>
      </c>
      <c r="E221" s="29" t="n">
        <f aca="false">лютий!Q221</f>
        <v>0</v>
      </c>
      <c r="F221" s="20" t="n">
        <f aca="false">лютий!F221</f>
        <v>0</v>
      </c>
      <c r="G221" s="21" t="n">
        <f aca="false">лютий!G221</f>
        <v>62</v>
      </c>
      <c r="H221" s="21" t="n">
        <f aca="false">лютий!H221</f>
        <v>0</v>
      </c>
      <c r="I221" s="22" t="n">
        <f aca="false">лютий!I221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5136.2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382281.84</v>
      </c>
      <c r="E222" s="33" t="n">
        <f aca="false">SUM(E7:E221)</f>
        <v>7165.36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1886.72</v>
      </c>
      <c r="M222" s="37" t="n">
        <f aca="false">SUM(M7:M221)</f>
        <v>0</v>
      </c>
      <c r="N222" s="38" t="n">
        <f aca="false">SUM(N7:N221)</f>
        <v>45888.27</v>
      </c>
      <c r="O222" s="37" t="n">
        <f aca="false">SUM(O7:O221)</f>
        <v>29059.47</v>
      </c>
      <c r="P222" s="39" t="n">
        <f aca="false">SUM(P7:P221)</f>
        <v>399302.69</v>
      </c>
      <c r="Q222" s="33" t="n">
        <f aca="false">SUM(Q7:Q221)</f>
        <v>7357.41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375116.48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391945.28</v>
      </c>
      <c r="Q223" s="41"/>
    </row>
    <row r="225" customFormat="false" ht="15" hidden="false" customHeight="false" outlineLevel="0" collapsed="false">
      <c r="U225" s="42" t="n">
        <f aca="false">[1]березень!$F$83</f>
        <v>29059.47</v>
      </c>
    </row>
    <row r="226" customFormat="false" ht="15" hidden="false" customHeight="false" outlineLevel="0" collapsed="false">
      <c r="O226" s="26"/>
    </row>
    <row r="227" customFormat="false" ht="15" hidden="false" customHeight="false" outlineLevel="0" collapsed="false">
      <c r="O227" s="26"/>
      <c r="T227" s="42"/>
    </row>
    <row r="228" customFormat="false" ht="15" hidden="false" customHeight="false" outlineLevel="0" collapsed="false">
      <c r="U228" s="42"/>
    </row>
    <row r="229" customFormat="false" ht="15" hidden="false" customHeight="false" outlineLevel="0" collapsed="false">
      <c r="U229" s="26"/>
    </row>
    <row r="230" customFormat="false" ht="15" hidden="false" customHeight="false" outlineLevel="0" collapsed="false">
      <c r="T230" s="26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14">
      <formula>0</formula>
    </cfRule>
  </conditionalFormatting>
  <conditionalFormatting sqref="L2:L5 M4:M89 N2:Q89 L7:L221 M90:Q221 D2:K221">
    <cfRule type="cellIs" priority="3" operator="equal" aboveAverage="0" equalAverage="0" bottom="0" percent="0" rank="0" text="" dxfId="15">
      <formula>0</formula>
    </cfRule>
  </conditionalFormatting>
  <conditionalFormatting sqref="J4:Q5 D4:E5 F4:I4 F9:I9 D9:E10 J9:O10">
    <cfRule type="cellIs" priority="4" operator="equal" aboveAverage="0" equalAverage="0" bottom="0" percent="0" rank="0" text="" dxfId="16">
      <formula>0</formula>
    </cfRule>
  </conditionalFormatting>
  <conditionalFormatting sqref="L2:L5 M4:M221 L7:L221 N2:Q221 D2:K221">
    <cfRule type="cellIs" priority="5" operator="equal" aboveAverage="0" equalAverage="0" bottom="0" percent="0" rank="0" text="" dxfId="17">
      <formula>0</formula>
    </cfRule>
  </conditionalFormatting>
  <conditionalFormatting sqref="J4:Q5 D4:E5 F4:I4 O7:O9 O11:O221 F9:I9 D9:E10 J9:O10">
    <cfRule type="cellIs" priority="6" operator="equal" aboveAverage="0" equalAverage="0" bottom="0" percent="0" rank="0" text="" dxfId="18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19">
      <formula>0</formula>
    </cfRule>
  </conditionalFormatting>
  <printOptions headings="false" gridLines="false" gridLinesSet="true" horizontalCentered="true" verticalCentered="false"/>
  <pageMargins left="0.118055555555556" right="0.118055555555556" top="0.354166666666667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4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0.85"/>
    <col collapsed="false" customWidth="true" hidden="false" outlineLevel="0" max="3" min="3" style="0" width="7.29"/>
    <col collapsed="false" customWidth="true" hidden="false" outlineLevel="0" max="6" min="6" style="0" width="4.86"/>
    <col collapsed="false" customWidth="true" hidden="false" outlineLevel="0" max="7" min="7" style="0" width="7"/>
    <col collapsed="false" customWidth="true" hidden="false" outlineLevel="0" max="8" min="8" style="0" width="6.43"/>
    <col collapsed="false" customWidth="true" hidden="false" outlineLevel="0" max="9" min="9" style="0" width="5.57"/>
    <col collapsed="false" customWidth="true" hidden="false" outlineLevel="0" max="11" min="11" style="0" width="7.29"/>
    <col collapsed="false" customWidth="true" hidden="false" outlineLevel="0" max="12" min="12" style="0" width="8.42"/>
    <col collapsed="false" customWidth="true" hidden="false" outlineLevel="0" max="13" min="13" style="0" width="5"/>
    <col collapsed="false" customWidth="true" hidden="false" outlineLevel="0" max="15" min="15" style="0" width="9.86"/>
    <col collapsed="false" customWidth="true" hidden="false" outlineLevel="0" max="21" min="21" style="0" width="9.86"/>
  </cols>
  <sheetData>
    <row r="1" customFormat="false" ht="15" hidden="false" customHeight="fals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665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0.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5" hidden="false" customHeight="false" outlineLevel="0" collapsed="false">
      <c r="I5" s="2"/>
    </row>
    <row r="6" customFormat="false" ht="55.55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12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березень!B7</f>
        <v>Бережний В.М.</v>
      </c>
      <c r="C7" s="18" t="str">
        <f aca="false">березень!C7</f>
        <v>1001</v>
      </c>
      <c r="D7" s="19" t="n">
        <f aca="false">березень!P7</f>
        <v>1841.64</v>
      </c>
      <c r="E7" s="19" t="n">
        <f aca="false">березень!Q7</f>
        <v>0</v>
      </c>
      <c r="F7" s="20" t="n">
        <f aca="false">березень!F7</f>
        <v>0</v>
      </c>
      <c r="G7" s="21" t="n">
        <f aca="false">березень!G7</f>
        <v>64.26</v>
      </c>
      <c r="H7" s="21" t="n">
        <f aca="false">березень!H7</f>
        <v>0</v>
      </c>
      <c r="I7" s="22" t="n">
        <f aca="false">березень!I7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 t="n">
        <v>2000</v>
      </c>
      <c r="P7" s="25" t="n">
        <f aca="false">IF(D7=0,IF((N7-E7-O7)&gt;0,(N7-E7-O7),0),IF((D7+N7-O7)&gt;0,(D7+N7-O7),0))</f>
        <v>105.110000000001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березень!B8</f>
        <v>Старикова Т.О.</v>
      </c>
      <c r="C8" s="18" t="str">
        <f aca="false">березень!C8</f>
        <v>1002</v>
      </c>
      <c r="D8" s="19" t="n">
        <f aca="false">березень!P8</f>
        <v>2923.19</v>
      </c>
      <c r="E8" s="19" t="n">
        <f aca="false">березень!Q8</f>
        <v>0</v>
      </c>
      <c r="F8" s="20" t="n">
        <f aca="false">березень!F8</f>
        <v>0</v>
      </c>
      <c r="G8" s="21" t="n">
        <f aca="false">березень!G8</f>
        <v>48.71</v>
      </c>
      <c r="H8" s="21" t="n">
        <f aca="false">березень!H8</f>
        <v>0</v>
      </c>
      <c r="I8" s="22" t="n">
        <f aca="false">березень!I8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3122.9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березень!B9</f>
        <v>Мазур Т.В.</v>
      </c>
      <c r="C9" s="18" t="str">
        <f aca="false">березень!C9</f>
        <v>1003</v>
      </c>
      <c r="D9" s="19" t="n">
        <f aca="false">березень!P9</f>
        <v>168</v>
      </c>
      <c r="E9" s="19" t="n">
        <f aca="false">березень!Q9</f>
        <v>0</v>
      </c>
      <c r="F9" s="20" t="n">
        <f aca="false">березень!F9</f>
        <v>0</v>
      </c>
      <c r="G9" s="21" t="n">
        <f aca="false">березень!G9</f>
        <v>35</v>
      </c>
      <c r="H9" s="21" t="n">
        <f aca="false">березень!H9</f>
        <v>0</v>
      </c>
      <c r="I9" s="22" t="n">
        <f aca="false">березень!I9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 t="n">
        <v>300</v>
      </c>
      <c r="P9" s="25" t="n">
        <f aca="false">IF(D9=0,IF((N9-E9-O9)&gt;0,(N9-E9-O9),0),IF((D9+N9-O9)&gt;0,(D9+N9-O9),0))</f>
        <v>11.5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березень!B10</f>
        <v>Сокол О.В.</v>
      </c>
      <c r="C10" s="18" t="str">
        <f aca="false">березень!C10</f>
        <v>1004</v>
      </c>
      <c r="D10" s="19" t="n">
        <f aca="false">березень!P10</f>
        <v>0</v>
      </c>
      <c r="E10" s="19" t="n">
        <f aca="false">березень!Q10</f>
        <v>0.0300000000002001</v>
      </c>
      <c r="F10" s="20" t="n">
        <f aca="false">березень!F10</f>
        <v>0</v>
      </c>
      <c r="G10" s="21" t="n">
        <f aca="false">березень!G10</f>
        <v>61.6</v>
      </c>
      <c r="H10" s="21" t="n">
        <f aca="false">березень!H10</f>
        <v>0</v>
      </c>
      <c r="I10" s="22" t="n">
        <f aca="false">березень!I10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 t="n">
        <f aca="false">252.56+252.56</f>
        <v>505.12</v>
      </c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252.59</v>
      </c>
    </row>
    <row r="11" customFormat="false" ht="15" hidden="false" customHeight="false" outlineLevel="0" collapsed="false">
      <c r="A11" s="17" t="s">
        <v>31</v>
      </c>
      <c r="B11" s="18" t="str">
        <f aca="false">березень!B11</f>
        <v>Семко Л.І.</v>
      </c>
      <c r="C11" s="18" t="str">
        <f aca="false">березень!C11</f>
        <v>1005</v>
      </c>
      <c r="D11" s="19" t="n">
        <f aca="false">березень!P11</f>
        <v>0</v>
      </c>
      <c r="E11" s="19" t="n">
        <f aca="false">березень!Q11</f>
        <v>490.399999999999</v>
      </c>
      <c r="F11" s="20" t="n">
        <f aca="false">березень!F11</f>
        <v>0</v>
      </c>
      <c r="G11" s="21" t="n">
        <f aca="false">березень!G11</f>
        <v>28.34</v>
      </c>
      <c r="H11" s="21" t="n">
        <f aca="false">березень!H11</f>
        <v>0</v>
      </c>
      <c r="I11" s="22" t="n">
        <f aca="false">березень!I11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0</v>
      </c>
      <c r="Q11" s="25" t="n">
        <f aca="false">IF(E11=0,IF((D11+N11-O11)&lt;0,ABS(D11+N11-O11),0),IF((N11-E11-O11)&lt;0,ABS(N11-E11-O11),0))</f>
        <v>374.209999999999</v>
      </c>
    </row>
    <row r="12" customFormat="false" ht="15" hidden="false" customHeight="false" outlineLevel="0" collapsed="false">
      <c r="A12" s="17" t="s">
        <v>31</v>
      </c>
      <c r="B12" s="18" t="str">
        <f aca="false">березень!B12</f>
        <v>Гаркуша Н.І.</v>
      </c>
      <c r="C12" s="18" t="str">
        <f aca="false">березень!C12</f>
        <v>1005-а</v>
      </c>
      <c r="D12" s="19" t="n">
        <f aca="false">березень!P12</f>
        <v>0</v>
      </c>
      <c r="E12" s="19" t="n">
        <f aca="false">березень!Q12</f>
        <v>250.969999999999</v>
      </c>
      <c r="F12" s="20" t="n">
        <f aca="false">березень!F12</f>
        <v>0</v>
      </c>
      <c r="G12" s="21" t="n">
        <f aca="false">березень!G12</f>
        <v>36.66</v>
      </c>
      <c r="H12" s="21" t="n">
        <f aca="false">березень!H12</f>
        <v>0</v>
      </c>
      <c r="I12" s="22" t="n">
        <f aca="false">березень!I12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0</v>
      </c>
      <c r="Q12" s="25" t="n">
        <f aca="false">IF(E12=0,IF((D12+N12-O12)&lt;0,ABS(D12+N12-O12),0),IF((N12-E12-O12)&lt;0,ABS(N12-E12-O12),0))</f>
        <v>100.659999999999</v>
      </c>
    </row>
    <row r="13" customFormat="false" ht="15" hidden="false" customHeight="false" outlineLevel="0" collapsed="false">
      <c r="A13" s="17" t="s">
        <v>36</v>
      </c>
      <c r="B13" s="18" t="str">
        <f aca="false">березень!B13</f>
        <v>Андріяшев В.М</v>
      </c>
      <c r="C13" s="18" t="str">
        <f aca="false">березень!C13</f>
        <v>1006</v>
      </c>
      <c r="D13" s="19" t="n">
        <f aca="false">березень!P13</f>
        <v>0</v>
      </c>
      <c r="E13" s="19" t="n">
        <f aca="false">березень!Q13</f>
        <v>173.38</v>
      </c>
      <c r="F13" s="20" t="n">
        <f aca="false">березень!F13</f>
        <v>0</v>
      </c>
      <c r="G13" s="21" t="n">
        <f aca="false">березень!G13</f>
        <v>49.8</v>
      </c>
      <c r="H13" s="21" t="n">
        <f aca="false">березень!H13</f>
        <v>0</v>
      </c>
      <c r="I13" s="22" t="n">
        <f aca="false">березень!I13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30.8000000000004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березень!B14</f>
        <v>Старчикова О.М.</v>
      </c>
      <c r="C14" s="18" t="str">
        <f aca="false">березень!C14</f>
        <v>1007</v>
      </c>
      <c r="D14" s="19" t="n">
        <f aca="false">березень!P14</f>
        <v>140.05</v>
      </c>
      <c r="E14" s="19" t="n">
        <f aca="false">березень!Q14</f>
        <v>0</v>
      </c>
      <c r="F14" s="20" t="n">
        <f aca="false">березень!F14</f>
        <v>0</v>
      </c>
      <c r="G14" s="21" t="n">
        <f aca="false">березень!G14</f>
        <v>34.65</v>
      </c>
      <c r="H14" s="21" t="n">
        <f aca="false">березень!H14</f>
        <v>0</v>
      </c>
      <c r="I14" s="22" t="n">
        <f aca="false">березень!I14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141</v>
      </c>
      <c r="P14" s="25" t="n">
        <f aca="false">IF(D14=0,IF((N14-E14-O14)&gt;0,(N14-E14-O14),0),IF((D14+N14-O14)&gt;0,(D14+N14-O14),0))</f>
        <v>141.12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березень!B15</f>
        <v>Безер Т.М</v>
      </c>
      <c r="C15" s="18" t="str">
        <f aca="false">березень!C15</f>
        <v>1008</v>
      </c>
      <c r="D15" s="19" t="n">
        <f aca="false">березень!P15</f>
        <v>735.56</v>
      </c>
      <c r="E15" s="19" t="n">
        <f aca="false">березень!Q15</f>
        <v>0</v>
      </c>
      <c r="F15" s="20" t="n">
        <f aca="false">березень!F15</f>
        <v>0</v>
      </c>
      <c r="G15" s="21" t="n">
        <f aca="false">березень!G15</f>
        <v>62.14</v>
      </c>
      <c r="H15" s="21" t="n">
        <f aca="false">березень!H15</f>
        <v>0</v>
      </c>
      <c r="I15" s="22" t="n">
        <f aca="false">березень!I15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 t="n">
        <v>765</v>
      </c>
      <c r="P15" s="25" t="n">
        <f aca="false">IF(D15=0,IF((N15-E15-O15)&gt;0,(N15-E15-O15),0),IF((D15+N15-O15)&gt;0,(D15+N15-O15),0))</f>
        <v>225.33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березень!B16</f>
        <v>Решетило М.М</v>
      </c>
      <c r="C16" s="18" t="str">
        <f aca="false">березень!C16</f>
        <v>1009</v>
      </c>
      <c r="D16" s="19" t="n">
        <f aca="false">березень!P16</f>
        <v>3707.44</v>
      </c>
      <c r="E16" s="19" t="n">
        <f aca="false">березень!Q16</f>
        <v>0</v>
      </c>
      <c r="F16" s="20" t="n">
        <f aca="false">березень!F16</f>
        <v>0</v>
      </c>
      <c r="G16" s="21" t="n">
        <f aca="false">березень!G16</f>
        <v>65.16</v>
      </c>
      <c r="H16" s="21" t="n">
        <f aca="false">березень!H16</f>
        <v>0</v>
      </c>
      <c r="I16" s="22" t="n">
        <f aca="false">березень!I16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 t="n">
        <v>2000</v>
      </c>
      <c r="P16" s="25" t="n">
        <f aca="false">IF(D16=0,IF((N16-E16-O16)&gt;0,(N16-E16-O16),0),IF((D16+N16-O16)&gt;0,(D16+N16-O16),0))</f>
        <v>1974.6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березень!B17</f>
        <v>Фесенко О.В.</v>
      </c>
      <c r="C17" s="18" t="str">
        <f aca="false">березень!C17</f>
        <v>1010</v>
      </c>
      <c r="D17" s="19" t="n">
        <f aca="false">березень!P17</f>
        <v>2198.16</v>
      </c>
      <c r="E17" s="19" t="n">
        <f aca="false">березень!Q17</f>
        <v>0</v>
      </c>
      <c r="F17" s="20" t="n">
        <f aca="false">березень!F17</f>
        <v>0</v>
      </c>
      <c r="G17" s="21" t="n">
        <f aca="false">березень!G17</f>
        <v>50.1</v>
      </c>
      <c r="H17" s="21" t="n">
        <f aca="false">березень!H17</f>
        <v>0</v>
      </c>
      <c r="I17" s="22" t="n">
        <f aca="false">березень!I17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2403.57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березень!B18</f>
        <v>Петренко О.М.</v>
      </c>
      <c r="C18" s="18" t="str">
        <f aca="false">березень!C18</f>
        <v>1011</v>
      </c>
      <c r="D18" s="19" t="n">
        <f aca="false">березень!P18</f>
        <v>1785.64</v>
      </c>
      <c r="E18" s="19" t="n">
        <f aca="false">березень!Q18</f>
        <v>0</v>
      </c>
      <c r="F18" s="20" t="n">
        <f aca="false">березень!F18</f>
        <v>0</v>
      </c>
      <c r="G18" s="21" t="n">
        <f aca="false">березень!G18</f>
        <v>35.2</v>
      </c>
      <c r="H18" s="21" t="n">
        <f aca="false">березень!H18</f>
        <v>0</v>
      </c>
      <c r="I18" s="22" t="n">
        <f aca="false">березень!I18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1929.96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березень!B19</f>
        <v>Зеленюк А.Д</v>
      </c>
      <c r="C19" s="18" t="str">
        <f aca="false">березень!C19</f>
        <v>1012</v>
      </c>
      <c r="D19" s="19" t="n">
        <f aca="false">березень!P19</f>
        <v>3685.41</v>
      </c>
      <c r="E19" s="19" t="n">
        <f aca="false">березень!Q19</f>
        <v>0</v>
      </c>
      <c r="F19" s="20" t="n">
        <f aca="false">березень!F19</f>
        <v>0</v>
      </c>
      <c r="G19" s="21" t="n">
        <f aca="false">березень!G19</f>
        <v>62.78</v>
      </c>
      <c r="H19" s="21" t="n">
        <f aca="false">березень!H19</f>
        <v>0</v>
      </c>
      <c r="I19" s="22" t="n">
        <f aca="false">березень!I19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3942.81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березень!B20</f>
        <v>Вовк І.В</v>
      </c>
      <c r="C20" s="18" t="str">
        <f aca="false">березень!C20</f>
        <v>1013</v>
      </c>
      <c r="D20" s="19" t="n">
        <f aca="false">березень!P20</f>
        <v>2484.09</v>
      </c>
      <c r="E20" s="19" t="n">
        <f aca="false">березень!Q20</f>
        <v>0</v>
      </c>
      <c r="F20" s="20" t="n">
        <f aca="false">березень!F20</f>
        <v>0</v>
      </c>
      <c r="G20" s="21" t="n">
        <f aca="false">березень!G20</f>
        <v>28.23</v>
      </c>
      <c r="H20" s="21" t="n">
        <f aca="false">березень!H20</f>
        <v>0</v>
      </c>
      <c r="I20" s="22" t="n">
        <f aca="false">березень!I20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2599.83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березень!B21</f>
        <v>Романовський В.М</v>
      </c>
      <c r="C21" s="18" t="str">
        <f aca="false">березень!C21</f>
        <v>1013-а</v>
      </c>
      <c r="D21" s="19" t="n">
        <f aca="false">березень!P21</f>
        <v>3723.32</v>
      </c>
      <c r="E21" s="19" t="n">
        <f aca="false">березень!Q21</f>
        <v>0</v>
      </c>
      <c r="F21" s="20" t="n">
        <f aca="false">березень!F21</f>
        <v>0</v>
      </c>
      <c r="G21" s="21" t="n">
        <f aca="false">березень!G21</f>
        <v>37.84</v>
      </c>
      <c r="H21" s="21" t="n">
        <f aca="false">березень!H21</f>
        <v>0</v>
      </c>
      <c r="I21" s="22" t="n">
        <f aca="false">березень!I21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3878.46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березень!B22</f>
        <v>Ряба Л.І</v>
      </c>
      <c r="C22" s="18" t="str">
        <f aca="false">березень!C22</f>
        <v>1014</v>
      </c>
      <c r="D22" s="19" t="n">
        <f aca="false">березень!P22</f>
        <v>616.920000000001</v>
      </c>
      <c r="E22" s="19" t="n">
        <f aca="false">березень!Q22</f>
        <v>0</v>
      </c>
      <c r="F22" s="20" t="n">
        <f aca="false">березень!F22</f>
        <v>0</v>
      </c>
      <c r="G22" s="21" t="n">
        <f aca="false">березень!G22</f>
        <v>49.24</v>
      </c>
      <c r="H22" s="21" t="n">
        <f aca="false">березень!H22</f>
        <v>0</v>
      </c>
      <c r="I22" s="22" t="n">
        <f aca="false">березень!I22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818.800000000001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березень!B23</f>
        <v>Кас'янова О.А.</v>
      </c>
      <c r="C23" s="18" t="str">
        <f aca="false">березень!C23</f>
        <v>1015</v>
      </c>
      <c r="D23" s="19" t="n">
        <f aca="false">березень!P23</f>
        <v>1340.77</v>
      </c>
      <c r="E23" s="19" t="n">
        <f aca="false">березень!Q23</f>
        <v>0</v>
      </c>
      <c r="F23" s="20" t="n">
        <f aca="false">березень!F23</f>
        <v>0</v>
      </c>
      <c r="G23" s="21" t="n">
        <f aca="false">березень!G23</f>
        <v>35.1</v>
      </c>
      <c r="H23" s="21" t="n">
        <f aca="false">березень!H23</f>
        <v>0</v>
      </c>
      <c r="I23" s="22" t="n">
        <f aca="false">березень!I23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1484.68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березень!B24</f>
        <v>Корякіна М.В.</v>
      </c>
      <c r="C24" s="18" t="str">
        <f aca="false">березень!C24</f>
        <v>1016</v>
      </c>
      <c r="D24" s="19" t="n">
        <f aca="false">березень!P24</f>
        <v>2113.78</v>
      </c>
      <c r="E24" s="19" t="n">
        <f aca="false">березень!Q24</f>
        <v>0</v>
      </c>
      <c r="F24" s="20" t="n">
        <f aca="false">березень!F24</f>
        <v>0</v>
      </c>
      <c r="G24" s="21" t="n">
        <f aca="false">березень!G24</f>
        <v>61.9</v>
      </c>
      <c r="H24" s="21" t="n">
        <f aca="false">березень!H24</f>
        <v>0</v>
      </c>
      <c r="I24" s="22" t="n">
        <f aca="false">березень!I24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2367.57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березень!B25</f>
        <v>Сокерчак А.В.</v>
      </c>
      <c r="C25" s="18" t="str">
        <f aca="false">березень!C25</f>
        <v>1017</v>
      </c>
      <c r="D25" s="19" t="n">
        <f aca="false">березень!P25</f>
        <v>0</v>
      </c>
      <c r="E25" s="19" t="n">
        <f aca="false">березень!Q25</f>
        <v>1.08002495835535E-012</v>
      </c>
      <c r="F25" s="20" t="n">
        <f aca="false">березень!F25</f>
        <v>0</v>
      </c>
      <c r="G25" s="21" t="n">
        <f aca="false">березень!G25</f>
        <v>66.3</v>
      </c>
      <c r="H25" s="21" t="n">
        <f aca="false">березень!H25</f>
        <v>0</v>
      </c>
      <c r="I25" s="22" t="n">
        <f aca="false">березень!I25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271.829999999999</v>
      </c>
      <c r="Q25" s="25" t="n">
        <f aca="false">IF(E25=0,IF((D25+N25-O25)&lt;0,ABS(D25+N25-O25),0),IF((N25-E25-O25)&lt;0,ABS(N25-E25-O25),0))</f>
        <v>0</v>
      </c>
    </row>
    <row r="26" customFormat="false" ht="15" hidden="false" customHeight="false" outlineLevel="0" collapsed="false">
      <c r="A26" s="17" t="s">
        <v>74</v>
      </c>
      <c r="B26" s="18" t="str">
        <f aca="false">березень!B26</f>
        <v>Кравченко В.А</v>
      </c>
      <c r="C26" s="18" t="str">
        <f aca="false">березень!C26</f>
        <v>1018</v>
      </c>
      <c r="D26" s="19" t="n">
        <f aca="false">березень!P26</f>
        <v>0</v>
      </c>
      <c r="E26" s="19" t="n">
        <f aca="false">березень!Q26</f>
        <v>1195</v>
      </c>
      <c r="F26" s="20" t="n">
        <f aca="false">березень!F26</f>
        <v>0</v>
      </c>
      <c r="G26" s="21" t="n">
        <f aca="false">березень!G26</f>
        <v>51.48</v>
      </c>
      <c r="H26" s="21" t="n">
        <f aca="false">березень!H26</f>
        <v>0</v>
      </c>
      <c r="I26" s="22" t="n">
        <f aca="false">березень!I26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983.93</v>
      </c>
    </row>
    <row r="27" customFormat="false" ht="15" hidden="false" customHeight="false" outlineLevel="0" collapsed="false">
      <c r="A27" s="17" t="s">
        <v>77</v>
      </c>
      <c r="B27" s="18" t="str">
        <f aca="false">березень!B27</f>
        <v>Чичикало А.С</v>
      </c>
      <c r="C27" s="18" t="str">
        <f aca="false">березень!C27</f>
        <v>1019</v>
      </c>
      <c r="D27" s="19" t="n">
        <f aca="false">березень!P27</f>
        <v>430.11</v>
      </c>
      <c r="E27" s="19" t="n">
        <f aca="false">березень!Q27</f>
        <v>0</v>
      </c>
      <c r="F27" s="20" t="n">
        <f aca="false">березень!F27</f>
        <v>0</v>
      </c>
      <c r="G27" s="21" t="n">
        <f aca="false">березень!G27</f>
        <v>35.1</v>
      </c>
      <c r="H27" s="21" t="n">
        <f aca="false">березень!H27</f>
        <v>0</v>
      </c>
      <c r="I27" s="22" t="n">
        <f aca="false">березень!I27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 t="n">
        <v>500</v>
      </c>
      <c r="P27" s="25" t="n">
        <f aca="false">IF(D27=0,IF((N27-E27-O27)&gt;0,(N27-E27-O27),0),IF((D27+N27-O27)&gt;0,(D27+N27-O27),0))</f>
        <v>74.0199999999998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березень!B28</f>
        <v>Сільващук А.А</v>
      </c>
      <c r="C28" s="18" t="str">
        <f aca="false">березень!C28</f>
        <v>1020</v>
      </c>
      <c r="D28" s="19" t="n">
        <f aca="false">березень!P28</f>
        <v>0</v>
      </c>
      <c r="E28" s="19" t="n">
        <f aca="false">березень!Q28</f>
        <v>514.140000000001</v>
      </c>
      <c r="F28" s="20" t="n">
        <f aca="false">березень!F28</f>
        <v>0</v>
      </c>
      <c r="G28" s="21" t="n">
        <f aca="false">березень!G28</f>
        <v>62.7</v>
      </c>
      <c r="H28" s="21" t="n">
        <f aca="false">березень!H28</f>
        <v>0</v>
      </c>
      <c r="I28" s="22" t="n">
        <f aca="false">березень!I28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0</v>
      </c>
      <c r="Q28" s="25" t="n">
        <f aca="false">IF(E28=0,IF((D28+N28-O28)&lt;0,ABS(D28+N28-O28),0),IF((N28-E28-O28)&lt;0,ABS(N28-E28-O28),0))</f>
        <v>257.070000000001</v>
      </c>
    </row>
    <row r="29" customFormat="false" ht="15" hidden="false" customHeight="false" outlineLevel="0" collapsed="false">
      <c r="A29" s="17" t="s">
        <v>83</v>
      </c>
      <c r="B29" s="18" t="str">
        <f aca="false">березень!B29</f>
        <v>Стеценко Г.М</v>
      </c>
      <c r="C29" s="18" t="str">
        <f aca="false">березень!C29</f>
        <v>1021</v>
      </c>
      <c r="D29" s="19" t="n">
        <f aca="false">березень!P29</f>
        <v>1707.16</v>
      </c>
      <c r="E29" s="19" t="n">
        <f aca="false">березень!Q29</f>
        <v>0</v>
      </c>
      <c r="F29" s="20" t="n">
        <f aca="false">березень!F29</f>
        <v>0</v>
      </c>
      <c r="G29" s="21" t="n">
        <f aca="false">березень!G29</f>
        <v>65.32</v>
      </c>
      <c r="H29" s="21" t="n">
        <f aca="false">березень!H29</f>
        <v>0</v>
      </c>
      <c r="I29" s="22" t="n">
        <f aca="false">березень!I29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 t="n">
        <v>300</v>
      </c>
      <c r="P29" s="25" t="n">
        <f aca="false">IF(D29=0,IF((N29-E29-O29)&gt;0,(N29-E29-O29),0),IF((D29+N29-O29)&gt;0,(D29+N29-O29),0))</f>
        <v>1674.97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березень!B30</f>
        <v>Кирдячкіна П.А</v>
      </c>
      <c r="C30" s="18" t="str">
        <f aca="false">березень!C30</f>
        <v>1022</v>
      </c>
      <c r="D30" s="19" t="n">
        <f aca="false">березень!P30</f>
        <v>1111.47</v>
      </c>
      <c r="E30" s="19" t="n">
        <f aca="false">березень!Q30</f>
        <v>0</v>
      </c>
      <c r="F30" s="20" t="n">
        <f aca="false">березень!F30</f>
        <v>0</v>
      </c>
      <c r="G30" s="21" t="n">
        <f aca="false">березень!G30</f>
        <v>49.7</v>
      </c>
      <c r="H30" s="21" t="n">
        <f aca="false">березень!H30</f>
        <v>0</v>
      </c>
      <c r="I30" s="22" t="n">
        <f aca="false">березень!I30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1315.24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березень!B31</f>
        <v>Фоміченко Л.А</v>
      </c>
      <c r="C31" s="18" t="str">
        <f aca="false">березень!C31</f>
        <v>1023</v>
      </c>
      <c r="D31" s="19" t="n">
        <f aca="false">березень!P31</f>
        <v>431.73</v>
      </c>
      <c r="E31" s="19" t="n">
        <f aca="false">березень!Q31</f>
        <v>0</v>
      </c>
      <c r="F31" s="20" t="n">
        <f aca="false">березень!F31</f>
        <v>0</v>
      </c>
      <c r="G31" s="21" t="n">
        <f aca="false">березень!G31</f>
        <v>35.1</v>
      </c>
      <c r="H31" s="21" t="n">
        <f aca="false">березень!H31</f>
        <v>0</v>
      </c>
      <c r="I31" s="22" t="n">
        <f aca="false">березень!I31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575.64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березень!B32</f>
        <v>Сердюк А.Г</v>
      </c>
      <c r="C32" s="18" t="str">
        <f aca="false">березень!C32</f>
        <v>1024</v>
      </c>
      <c r="D32" s="19" t="n">
        <f aca="false">березень!P32</f>
        <v>1595.02</v>
      </c>
      <c r="E32" s="19" t="n">
        <f aca="false">березень!Q32</f>
        <v>0</v>
      </c>
      <c r="F32" s="20" t="n">
        <f aca="false">березень!F32</f>
        <v>0</v>
      </c>
      <c r="G32" s="21" t="n">
        <f aca="false">березень!G32</f>
        <v>62.31</v>
      </c>
      <c r="H32" s="21" t="n">
        <f aca="false">березень!H32</f>
        <v>0</v>
      </c>
      <c r="I32" s="22" t="n">
        <f aca="false">березень!I32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 t="n">
        <v>300</v>
      </c>
      <c r="P32" s="25" t="n">
        <f aca="false">IF(D32=0,IF((N32-E32-O32)&gt;0,(N32-E32-O32),0),IF((D32+N32-O32)&gt;0,(D32+N32-O32),0))</f>
        <v>1550.49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березень!B33</f>
        <v>Михальченко Г.М</v>
      </c>
      <c r="C33" s="18" t="str">
        <f aca="false">березень!C33</f>
        <v>1025</v>
      </c>
      <c r="D33" s="19" t="n">
        <f aca="false">березень!P33</f>
        <v>3587.46</v>
      </c>
      <c r="E33" s="19" t="n">
        <f aca="false">березень!Q33</f>
        <v>0</v>
      </c>
      <c r="F33" s="20" t="n">
        <f aca="false">березень!F33</f>
        <v>0</v>
      </c>
      <c r="G33" s="21" t="n">
        <f aca="false">березень!G33</f>
        <v>65.04</v>
      </c>
      <c r="H33" s="21" t="n">
        <f aca="false">березень!H33</f>
        <v>0</v>
      </c>
      <c r="I33" s="22" t="n">
        <f aca="false">березень!I33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3854.12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березень!B34</f>
        <v>Замуховська Я.С</v>
      </c>
      <c r="C34" s="18" t="str">
        <f aca="false">березень!C34</f>
        <v>1026</v>
      </c>
      <c r="D34" s="19" t="n">
        <f aca="false">березень!P34</f>
        <v>1649.51</v>
      </c>
      <c r="E34" s="19" t="n">
        <f aca="false">березень!Q34</f>
        <v>0</v>
      </c>
      <c r="F34" s="20" t="n">
        <f aca="false">березень!F34</f>
        <v>0</v>
      </c>
      <c r="G34" s="21" t="n">
        <f aca="false">березень!G34</f>
        <v>49.8</v>
      </c>
      <c r="H34" s="21" t="n">
        <f aca="false">березень!H34</f>
        <v>0</v>
      </c>
      <c r="I34" s="22" t="n">
        <f aca="false">березень!I34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1853.69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березень!B35</f>
        <v>Мержиєвська Г.К</v>
      </c>
      <c r="C35" s="18" t="str">
        <f aca="false">березень!C35</f>
        <v>1027</v>
      </c>
      <c r="D35" s="19" t="n">
        <f aca="false">березень!P35</f>
        <v>551.5</v>
      </c>
      <c r="E35" s="19" t="n">
        <f aca="false">березень!Q35</f>
        <v>0</v>
      </c>
      <c r="F35" s="20" t="n">
        <f aca="false">березень!F35</f>
        <v>0</v>
      </c>
      <c r="G35" s="21" t="n">
        <f aca="false">березень!G35</f>
        <v>35.17</v>
      </c>
      <c r="H35" s="21" t="n">
        <f aca="false">березень!H35</f>
        <v>0</v>
      </c>
      <c r="I35" s="22" t="n">
        <f aca="false">березень!I35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 t="n">
        <v>300</v>
      </c>
      <c r="P35" s="25" t="n">
        <f aca="false">IF(D35=0,IF((N35-E35-O35)&gt;0,(N35-E35-O35),0),IF((D35+N35-O35)&gt;0,(D35+N35-O35),0))</f>
        <v>395.7</v>
      </c>
      <c r="Q35" s="25" t="n">
        <f aca="false">IF(E35=0,IF((D35+N35-O35)&lt;0,ABS(D35+N35-O35),0),IF((N35-E35-O35)&lt;0,ABS(N35-E35-O35),0))</f>
        <v>0</v>
      </c>
    </row>
    <row r="36" customFormat="false" ht="15" hidden="false" customHeight="false" outlineLevel="0" collapsed="false">
      <c r="A36" s="17" t="s">
        <v>104</v>
      </c>
      <c r="B36" s="18" t="str">
        <f aca="false">березень!B36</f>
        <v>Кулакова Л.В.</v>
      </c>
      <c r="C36" s="18" t="str">
        <f aca="false">березень!C36</f>
        <v>1028</v>
      </c>
      <c r="D36" s="19" t="n">
        <f aca="false">березень!P36</f>
        <v>741.7</v>
      </c>
      <c r="E36" s="19" t="n">
        <f aca="false">березень!Q36</f>
        <v>0</v>
      </c>
      <c r="F36" s="20" t="n">
        <f aca="false">березень!F36</f>
        <v>0</v>
      </c>
      <c r="G36" s="21" t="n">
        <f aca="false">березень!G36</f>
        <v>62.47</v>
      </c>
      <c r="H36" s="21" t="n">
        <f aca="false">березень!H36</f>
        <v>0</v>
      </c>
      <c r="I36" s="22" t="n">
        <f aca="false">березень!I36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997.83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березень!B37</f>
        <v>Бочаров В.Л.</v>
      </c>
      <c r="C37" s="18" t="str">
        <f aca="false">березень!C37</f>
        <v>1029</v>
      </c>
      <c r="D37" s="19" t="n">
        <f aca="false">березень!P37</f>
        <v>2287.38</v>
      </c>
      <c r="E37" s="19" t="n">
        <f aca="false">березень!Q37</f>
        <v>0</v>
      </c>
      <c r="F37" s="20" t="n">
        <f aca="false">березень!F37</f>
        <v>0</v>
      </c>
      <c r="G37" s="21" t="n">
        <f aca="false">березень!G37</f>
        <v>65.75</v>
      </c>
      <c r="H37" s="21" t="n">
        <f aca="false">березень!H37</f>
        <v>0</v>
      </c>
      <c r="I37" s="22" t="n">
        <f aca="false">березень!I37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2556.96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березень!B38</f>
        <v>Лучков В.Л.</v>
      </c>
      <c r="C38" s="18" t="str">
        <f aca="false">березень!C38</f>
        <v>1030</v>
      </c>
      <c r="D38" s="19" t="n">
        <f aca="false">березень!P38</f>
        <v>2844.14</v>
      </c>
      <c r="E38" s="19" t="n">
        <f aca="false">березень!Q38</f>
        <v>0</v>
      </c>
      <c r="F38" s="20" t="n">
        <f aca="false">березень!F38</f>
        <v>0</v>
      </c>
      <c r="G38" s="21" t="n">
        <f aca="false">березень!G38</f>
        <v>49.7</v>
      </c>
      <c r="H38" s="21" t="n">
        <f aca="false">березень!H38</f>
        <v>0</v>
      </c>
      <c r="I38" s="22" t="n">
        <f aca="false">березень!I38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3047.91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березень!B39</f>
        <v>Кашкар Т.М.</v>
      </c>
      <c r="C39" s="18" t="str">
        <f aca="false">березень!C39</f>
        <v>1031</v>
      </c>
      <c r="D39" s="19" t="n">
        <f aca="false">березень!P39</f>
        <v>0</v>
      </c>
      <c r="E39" s="19" t="n">
        <f aca="false">березень!Q39</f>
        <v>5.6843418860808E-014</v>
      </c>
      <c r="F39" s="20" t="n">
        <f aca="false">березень!F39</f>
        <v>0</v>
      </c>
      <c r="G39" s="21" t="n">
        <f aca="false">березень!G39</f>
        <v>35.1</v>
      </c>
      <c r="H39" s="21" t="n">
        <f aca="false">березень!H39</f>
        <v>0</v>
      </c>
      <c r="I39" s="22" t="n">
        <f aca="false">березень!I39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 t="n">
        <v>143.91</v>
      </c>
      <c r="P39" s="25" t="n">
        <f aca="false">IF(D39=0,IF((N39-E39-O39)&gt;0,(N39-E39-O39),0),IF((D39+N39-O39)&gt;0,(D39+N39-O39),0))</f>
        <v>0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березень!B40</f>
        <v>Стецюк Н.П.</v>
      </c>
      <c r="C40" s="18" t="str">
        <f aca="false">березень!C40</f>
        <v>1032</v>
      </c>
      <c r="D40" s="19" t="n">
        <f aca="false">березень!P40</f>
        <v>2521.04</v>
      </c>
      <c r="E40" s="19" t="n">
        <f aca="false">березень!Q40</f>
        <v>0</v>
      </c>
      <c r="F40" s="20" t="n">
        <f aca="false">березень!F40</f>
        <v>0</v>
      </c>
      <c r="G40" s="21" t="n">
        <f aca="false">березень!G40</f>
        <v>61.9</v>
      </c>
      <c r="H40" s="21" t="n">
        <f aca="false">березень!H40</f>
        <v>0</v>
      </c>
      <c r="I40" s="22" t="n">
        <f aca="false">березень!I40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2774.83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березень!B41</f>
        <v>Маханько В.О.</v>
      </c>
      <c r="C41" s="18" t="str">
        <f aca="false">березень!C41</f>
        <v>1033</v>
      </c>
      <c r="D41" s="19" t="n">
        <f aca="false">березень!P41</f>
        <v>1232.64</v>
      </c>
      <c r="E41" s="19" t="n">
        <f aca="false">березень!Q41</f>
        <v>0</v>
      </c>
      <c r="F41" s="20" t="n">
        <f aca="false">березень!F41</f>
        <v>0</v>
      </c>
      <c r="G41" s="21" t="n">
        <f aca="false">березень!G41</f>
        <v>65.53</v>
      </c>
      <c r="H41" s="21" t="n">
        <f aca="false">березень!H41</f>
        <v>0</v>
      </c>
      <c r="I41" s="22" t="n">
        <f aca="false">березень!I41</f>
        <v>4.1</v>
      </c>
      <c r="J41" s="23" t="n">
        <f aca="false">ROUND(G41*I41,2)</f>
        <v>268.67</v>
      </c>
      <c r="K41" s="19"/>
      <c r="L41" s="19" t="n">
        <v>268.67</v>
      </c>
      <c r="M41" s="19"/>
      <c r="N41" s="19" t="n">
        <f aca="false">ROUND((G41*I41)-K41-L41-M41,2)</f>
        <v>0</v>
      </c>
      <c r="O41" s="19"/>
      <c r="P41" s="25" t="n">
        <f aca="false">IF(D41=0,IF((N41-E41-O41)&gt;0,(N41-E41-O41),0),IF((D41+N41-O41)&gt;0,(D41+N41-O41),0))</f>
        <v>1232.64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березень!B42</f>
        <v>Реуцька Р.С.</v>
      </c>
      <c r="C42" s="18" t="str">
        <f aca="false">березень!C42</f>
        <v>1034</v>
      </c>
      <c r="D42" s="19" t="n">
        <f aca="false">березень!P42</f>
        <v>1537.05</v>
      </c>
      <c r="E42" s="19" t="n">
        <f aca="false">березень!Q42</f>
        <v>0</v>
      </c>
      <c r="F42" s="20" t="n">
        <f aca="false">березень!F42</f>
        <v>0</v>
      </c>
      <c r="G42" s="21" t="n">
        <f aca="false">березень!G42</f>
        <v>49.7</v>
      </c>
      <c r="H42" s="21" t="n">
        <f aca="false">березень!H42</f>
        <v>0</v>
      </c>
      <c r="I42" s="22" t="n">
        <f aca="false">березень!I42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1740.82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березень!B43</f>
        <v>Колесникова Р.Г.</v>
      </c>
      <c r="C43" s="18" t="str">
        <f aca="false">березень!C43</f>
        <v>1035</v>
      </c>
      <c r="D43" s="19" t="n">
        <f aca="false">березень!P43</f>
        <v>728.03</v>
      </c>
      <c r="E43" s="19" t="n">
        <f aca="false">березень!Q43</f>
        <v>0</v>
      </c>
      <c r="F43" s="20" t="n">
        <f aca="false">березень!F43</f>
        <v>0</v>
      </c>
      <c r="G43" s="21" t="n">
        <f aca="false">березень!G43</f>
        <v>35.1</v>
      </c>
      <c r="H43" s="21" t="n">
        <f aca="false">березень!H43</f>
        <v>0</v>
      </c>
      <c r="I43" s="22" t="n">
        <f aca="false">березень!I43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871.94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березень!B44</f>
        <v>Кучеренко М.М.</v>
      </c>
      <c r="C44" s="18" t="str">
        <f aca="false">березень!C44</f>
        <v>1036</v>
      </c>
      <c r="D44" s="19" t="n">
        <f aca="false">березень!P44</f>
        <v>3648.96</v>
      </c>
      <c r="E44" s="19" t="n">
        <f aca="false">березень!Q44</f>
        <v>0</v>
      </c>
      <c r="F44" s="20" t="n">
        <f aca="false">березень!F44</f>
        <v>0</v>
      </c>
      <c r="G44" s="21" t="n">
        <f aca="false">березень!G44</f>
        <v>61.88</v>
      </c>
      <c r="H44" s="21" t="n">
        <f aca="false">березень!H44</f>
        <v>0</v>
      </c>
      <c r="I44" s="22" t="n">
        <f aca="false">березень!I44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3902.67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березень!B45</f>
        <v>Гурова О.М.</v>
      </c>
      <c r="C45" s="18" t="str">
        <f aca="false">березень!C45</f>
        <v>2037</v>
      </c>
      <c r="D45" s="19" t="n">
        <f aca="false">березень!P45</f>
        <v>193.61</v>
      </c>
      <c r="E45" s="19" t="n">
        <f aca="false">березень!Q45</f>
        <v>0</v>
      </c>
      <c r="F45" s="20" t="n">
        <f aca="false">березень!F45</f>
        <v>0</v>
      </c>
      <c r="G45" s="21" t="n">
        <f aca="false">березень!G45</f>
        <v>62.2</v>
      </c>
      <c r="H45" s="21" t="n">
        <f aca="false">березень!H45</f>
        <v>0</v>
      </c>
      <c r="I45" s="22" t="n">
        <f aca="false">березень!I45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448.63</v>
      </c>
      <c r="Q45" s="25" t="n">
        <f aca="false">IF(E45=0,IF((D45+N45-O45)&lt;0,ABS(D45+N45-O45),0),IF((N45-E45-O45)&lt;0,ABS(N45-E45-O45),0))</f>
        <v>0</v>
      </c>
    </row>
    <row r="46" customFormat="false" ht="15" hidden="false" customHeight="false" outlineLevel="0" collapsed="false">
      <c r="A46" s="17" t="s">
        <v>134</v>
      </c>
      <c r="B46" s="18" t="str">
        <f aca="false">березень!B46</f>
        <v>Федорова В.І.</v>
      </c>
      <c r="C46" s="18" t="str">
        <f aca="false">березень!C46</f>
        <v>2038</v>
      </c>
      <c r="D46" s="19" t="n">
        <f aca="false">березень!P46</f>
        <v>0.270000000000209</v>
      </c>
      <c r="E46" s="19" t="n">
        <f aca="false">березень!Q46</f>
        <v>0</v>
      </c>
      <c r="F46" s="20" t="n">
        <f aca="false">березень!F46</f>
        <v>0</v>
      </c>
      <c r="G46" s="21" t="n">
        <f aca="false">березень!G46</f>
        <v>34.9</v>
      </c>
      <c r="H46" s="21" t="n">
        <f aca="false">березень!H46</f>
        <v>0</v>
      </c>
      <c r="I46" s="22" t="n">
        <f aca="false">березень!I46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143.36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березень!B47</f>
        <v>Лаптєв В.І.</v>
      </c>
      <c r="C47" s="18" t="str">
        <f aca="false">березень!C47</f>
        <v>2039</v>
      </c>
      <c r="D47" s="19" t="n">
        <f aca="false">березень!P47</f>
        <v>200.08</v>
      </c>
      <c r="E47" s="19" t="n">
        <f aca="false">березень!Q47</f>
        <v>0</v>
      </c>
      <c r="F47" s="20" t="n">
        <f aca="false">березень!F47</f>
        <v>0</v>
      </c>
      <c r="G47" s="21" t="n">
        <f aca="false">березень!G47</f>
        <v>48.8</v>
      </c>
      <c r="H47" s="21" t="n">
        <f aca="false">березень!H47</f>
        <v>0</v>
      </c>
      <c r="I47" s="22" t="n">
        <f aca="false">березень!I47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200.06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березень!B48</f>
        <v>Тимощук О.Є.</v>
      </c>
      <c r="C48" s="18" t="str">
        <f aca="false">березень!C48</f>
        <v>2040</v>
      </c>
      <c r="D48" s="19" t="n">
        <f aca="false">березень!P48</f>
        <v>629.060000000001</v>
      </c>
      <c r="E48" s="19" t="n">
        <f aca="false">березень!Q48</f>
        <v>0</v>
      </c>
      <c r="F48" s="20" t="n">
        <f aca="false">березень!F48</f>
        <v>0</v>
      </c>
      <c r="G48" s="21" t="n">
        <f aca="false">березень!G48</f>
        <v>57.3</v>
      </c>
      <c r="H48" s="21" t="n">
        <f aca="false">березень!H48</f>
        <v>0</v>
      </c>
      <c r="I48" s="22" t="n">
        <f aca="false">березень!I48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v>300</v>
      </c>
      <c r="P48" s="25" t="n">
        <f aca="false">IF(D48=0,IF((N48-E48-O48)&gt;0,(N48-E48-O48),0),IF((D48+N48-O48)&gt;0,(D48+N48-O48),0))</f>
        <v>563.990000000001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березень!B49</f>
        <v>Котяш О.В.</v>
      </c>
      <c r="C49" s="18" t="str">
        <f aca="false">березень!C49</f>
        <v>2041</v>
      </c>
      <c r="D49" s="19" t="n">
        <f aca="false">березень!P49</f>
        <v>2593.16</v>
      </c>
      <c r="E49" s="19" t="n">
        <f aca="false">березень!Q49</f>
        <v>0</v>
      </c>
      <c r="F49" s="20" t="n">
        <f aca="false">березень!F49</f>
        <v>0</v>
      </c>
      <c r="G49" s="21" t="n">
        <f aca="false">березень!G49</f>
        <v>63.3</v>
      </c>
      <c r="H49" s="21" t="n">
        <f aca="false">березень!H49</f>
        <v>0</v>
      </c>
      <c r="I49" s="22" t="n">
        <f aca="false">березень!I49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2852.69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березень!B50</f>
        <v>Токовило-Паращенко Л.П.</v>
      </c>
      <c r="C50" s="18" t="str">
        <f aca="false">березень!C50</f>
        <v>2042</v>
      </c>
      <c r="D50" s="19" t="n">
        <f aca="false">березень!P50</f>
        <v>1470.24</v>
      </c>
      <c r="E50" s="19" t="n">
        <f aca="false">березень!Q50</f>
        <v>0</v>
      </c>
      <c r="F50" s="20" t="n">
        <f aca="false">березень!F50</f>
        <v>0</v>
      </c>
      <c r="G50" s="21" t="n">
        <f aca="false">березень!G50</f>
        <v>35.68</v>
      </c>
      <c r="H50" s="21" t="n">
        <f aca="false">березень!H50</f>
        <v>0</v>
      </c>
      <c r="I50" s="22" t="n">
        <f aca="false">березень!I50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1616.53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березень!B51</f>
        <v>Бєлая К.В.</v>
      </c>
      <c r="C51" s="18" t="str">
        <f aca="false">березень!C51</f>
        <v>2043</v>
      </c>
      <c r="D51" s="19" t="n">
        <f aca="false">березень!P51</f>
        <v>1429.26</v>
      </c>
      <c r="E51" s="19" t="n">
        <f aca="false">березень!Q51</f>
        <v>0</v>
      </c>
      <c r="F51" s="20" t="n">
        <f aca="false">березень!F51</f>
        <v>0</v>
      </c>
      <c r="G51" s="21" t="n">
        <f aca="false">березень!G51</f>
        <v>49.8</v>
      </c>
      <c r="H51" s="21" t="n">
        <f aca="false">березень!H51</f>
        <v>0</v>
      </c>
      <c r="I51" s="22" t="n">
        <f aca="false">березень!I51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1633.44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березень!B52</f>
        <v>Стадник О.Ф.</v>
      </c>
      <c r="C52" s="18" t="str">
        <f aca="false">березень!C52</f>
        <v>2044</v>
      </c>
      <c r="D52" s="19" t="n">
        <f aca="false">березень!P52</f>
        <v>3293.76</v>
      </c>
      <c r="E52" s="19" t="n">
        <f aca="false">березень!Q52</f>
        <v>0</v>
      </c>
      <c r="F52" s="20" t="n">
        <f aca="false">березень!F52</f>
        <v>0</v>
      </c>
      <c r="G52" s="21" t="n">
        <f aca="false">березень!G52</f>
        <v>65.9</v>
      </c>
      <c r="H52" s="21" t="n">
        <f aca="false">березень!H52</f>
        <v>0</v>
      </c>
      <c r="I52" s="22" t="n">
        <f aca="false">березень!I52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3563.95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березень!B53</f>
        <v>Ляшенко В.М.</v>
      </c>
      <c r="C53" s="18" t="str">
        <f aca="false">березень!C53</f>
        <v>2045</v>
      </c>
      <c r="D53" s="19" t="n">
        <f aca="false">березень!P53</f>
        <v>762.6</v>
      </c>
      <c r="E53" s="19" t="n">
        <f aca="false">березень!Q53</f>
        <v>0</v>
      </c>
      <c r="F53" s="20" t="n">
        <f aca="false">березень!F53</f>
        <v>0</v>
      </c>
      <c r="G53" s="21" t="n">
        <f aca="false">березень!G53</f>
        <v>62</v>
      </c>
      <c r="H53" s="21" t="n">
        <f aca="false">березень!H53</f>
        <v>0</v>
      </c>
      <c r="I53" s="22" t="n">
        <f aca="false">березень!I53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 t="n">
        <v>762.6</v>
      </c>
      <c r="P53" s="25" t="n">
        <f aca="false">IF(D53=0,IF((N53-E53-O53)&gt;0,(N53-E53-O53),0),IF((D53+N53-O53)&gt;0,(D53+N53-O53),0))</f>
        <v>254.199999999999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березень!B54</f>
        <v>Смоленська Т.О.</v>
      </c>
      <c r="C54" s="18" t="str">
        <f aca="false">березень!C54</f>
        <v>2046</v>
      </c>
      <c r="D54" s="19" t="n">
        <f aca="false">березень!P54</f>
        <v>1431.73</v>
      </c>
      <c r="E54" s="19" t="n">
        <f aca="false">березень!Q54</f>
        <v>0</v>
      </c>
      <c r="F54" s="20" t="n">
        <f aca="false">березень!F54</f>
        <v>0</v>
      </c>
      <c r="G54" s="21" t="n">
        <f aca="false">березень!G54</f>
        <v>35.1</v>
      </c>
      <c r="H54" s="21" t="n">
        <f aca="false">березень!H54</f>
        <v>0</v>
      </c>
      <c r="I54" s="22" t="n">
        <f aca="false">березень!I54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1575.64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березень!B55</f>
        <v>Дудка І.В.</v>
      </c>
      <c r="C55" s="18" t="str">
        <f aca="false">березень!C55</f>
        <v>2047</v>
      </c>
      <c r="D55" s="19" t="n">
        <f aca="false">березень!P55</f>
        <v>625.960000000001</v>
      </c>
      <c r="E55" s="19" t="n">
        <f aca="false">березень!Q55</f>
        <v>0</v>
      </c>
      <c r="F55" s="20" t="n">
        <f aca="false">березень!F55</f>
        <v>0</v>
      </c>
      <c r="G55" s="21" t="n">
        <f aca="false">березень!G55</f>
        <v>49.6</v>
      </c>
      <c r="H55" s="21" t="n">
        <f aca="false">березень!H55</f>
        <v>0</v>
      </c>
      <c r="I55" s="22" t="n">
        <f aca="false">березень!I55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 t="n">
        <v>829.32</v>
      </c>
      <c r="P55" s="25" t="n">
        <f aca="false">IF(D55=0,IF((N55-E55-O55)&gt;0,(N55-E55-O55),0),IF((D55+N55-O55)&gt;0,(D55+N55-O55),0))</f>
        <v>0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березень!B56</f>
        <v>Буланова Л.І.</v>
      </c>
      <c r="C56" s="18" t="str">
        <f aca="false">березень!C56</f>
        <v>2048</v>
      </c>
      <c r="D56" s="19" t="n">
        <f aca="false">березень!P56</f>
        <v>272.4</v>
      </c>
      <c r="E56" s="19" t="n">
        <f aca="false">березень!Q56</f>
        <v>0</v>
      </c>
      <c r="F56" s="20" t="n">
        <f aca="false">березень!F56</f>
        <v>0</v>
      </c>
      <c r="G56" s="21" t="n">
        <f aca="false">березень!G56</f>
        <v>66.44</v>
      </c>
      <c r="H56" s="21" t="n">
        <f aca="false">березень!H56</f>
        <v>0</v>
      </c>
      <c r="I56" s="22" t="n">
        <f aca="false">березень!I56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544.8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березень!B57</f>
        <v>Шалімова О.О.</v>
      </c>
      <c r="C57" s="18" t="str">
        <f aca="false">березень!C57</f>
        <v>2049</v>
      </c>
      <c r="D57" s="19" t="n">
        <f aca="false">березень!P57</f>
        <v>2524.1</v>
      </c>
      <c r="E57" s="19" t="n">
        <f aca="false">березень!Q57</f>
        <v>0</v>
      </c>
      <c r="F57" s="20" t="n">
        <f aca="false">березень!F57</f>
        <v>0</v>
      </c>
      <c r="G57" s="21" t="n">
        <f aca="false">березень!G57</f>
        <v>62.1</v>
      </c>
      <c r="H57" s="21" t="n">
        <f aca="false">березень!H57</f>
        <v>0</v>
      </c>
      <c r="I57" s="22" t="n">
        <f aca="false">березень!I57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2778.71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березень!B58</f>
        <v>Андросик О.О.</v>
      </c>
      <c r="C58" s="18" t="str">
        <f aca="false">березень!C58</f>
        <v>2050</v>
      </c>
      <c r="D58" s="19" t="n">
        <f aca="false">березень!P58</f>
        <v>429.27</v>
      </c>
      <c r="E58" s="19" t="n">
        <f aca="false">березень!Q58</f>
        <v>0</v>
      </c>
      <c r="F58" s="20" t="n">
        <f aca="false">березень!F58</f>
        <v>0</v>
      </c>
      <c r="G58" s="21" t="n">
        <f aca="false">березень!G58</f>
        <v>34.9</v>
      </c>
      <c r="H58" s="21" t="n">
        <f aca="false">березень!H58</f>
        <v>0</v>
      </c>
      <c r="I58" s="22" t="n">
        <f aca="false">березень!I58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572.36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березень!B59</f>
        <v>Токар Є.А.</v>
      </c>
      <c r="C59" s="18" t="str">
        <f aca="false">березень!C59</f>
        <v>2051</v>
      </c>
      <c r="D59" s="19" t="n">
        <f aca="false">березень!P59</f>
        <v>2163.55</v>
      </c>
      <c r="E59" s="19" t="n">
        <f aca="false">березень!Q59</f>
        <v>0</v>
      </c>
      <c r="F59" s="20" t="n">
        <f aca="false">березень!F59</f>
        <v>0</v>
      </c>
      <c r="G59" s="21" t="n">
        <f aca="false">березень!G59</f>
        <v>49.22</v>
      </c>
      <c r="H59" s="21" t="n">
        <f aca="false">березень!H59</f>
        <v>0</v>
      </c>
      <c r="I59" s="22" t="n">
        <f aca="false">березень!I59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2365.35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березень!B60</f>
        <v>Констанчук І.В.</v>
      </c>
      <c r="C60" s="18" t="str">
        <f aca="false">березень!C60</f>
        <v>2052</v>
      </c>
      <c r="D60" s="19" t="n">
        <f aca="false">березень!P60</f>
        <v>2650.06</v>
      </c>
      <c r="E60" s="19" t="n">
        <f aca="false">березень!Q60</f>
        <v>0</v>
      </c>
      <c r="F60" s="20" t="n">
        <f aca="false">березень!F60</f>
        <v>0</v>
      </c>
      <c r="G60" s="21" t="n">
        <f aca="false">березень!G60</f>
        <v>65.5</v>
      </c>
      <c r="H60" s="21" t="n">
        <f aca="false">березень!H60</f>
        <v>0</v>
      </c>
      <c r="I60" s="22" t="n">
        <f aca="false">березень!I60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2918.61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березень!B61</f>
        <v>Гончаров В.В.</v>
      </c>
      <c r="C61" s="18" t="str">
        <f aca="false">березень!C61</f>
        <v>2053</v>
      </c>
      <c r="D61" s="19" t="n">
        <f aca="false">березень!P61</f>
        <v>672.980000000002</v>
      </c>
      <c r="E61" s="19" t="n">
        <f aca="false">березень!Q61</f>
        <v>0</v>
      </c>
      <c r="F61" s="20" t="n">
        <f aca="false">березень!F61</f>
        <v>0</v>
      </c>
      <c r="G61" s="21" t="n">
        <f aca="false">березень!G61</f>
        <v>62.64</v>
      </c>
      <c r="H61" s="21" t="n">
        <f aca="false">березень!H61</f>
        <v>0</v>
      </c>
      <c r="I61" s="22" t="n">
        <f aca="false">березень!I61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929.800000000002</v>
      </c>
      <c r="Q61" s="25" t="n">
        <f aca="false">IF(E61=0,IF((D61+N61-O61)&lt;0,ABS(D61+N61-O61),0),IF((N61-E61-O61)&lt;0,ABS(N61-E61-O61),0))</f>
        <v>0</v>
      </c>
    </row>
    <row r="62" customFormat="false" ht="15" hidden="false" customHeight="false" outlineLevel="0" collapsed="false">
      <c r="A62" s="17" t="s">
        <v>182</v>
      </c>
      <c r="B62" s="18" t="str">
        <f aca="false">березень!B62</f>
        <v>Ляхомський В.О.</v>
      </c>
      <c r="C62" s="18" t="str">
        <f aca="false">березень!C62</f>
        <v>2054</v>
      </c>
      <c r="D62" s="19" t="n">
        <f aca="false">березень!P62</f>
        <v>290.66</v>
      </c>
      <c r="E62" s="19" t="n">
        <f aca="false">березень!Q62</f>
        <v>0</v>
      </c>
      <c r="F62" s="20" t="n">
        <f aca="false">березень!F62</f>
        <v>0</v>
      </c>
      <c r="G62" s="21" t="n">
        <f aca="false">березень!G62</f>
        <v>34.9</v>
      </c>
      <c r="H62" s="21" t="n">
        <f aca="false">березень!H62</f>
        <v>0</v>
      </c>
      <c r="I62" s="22" t="n">
        <f aca="false">березень!I62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433.75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березень!B63</f>
        <v>Крамаренко В.П.</v>
      </c>
      <c r="C63" s="18" t="str">
        <f aca="false">березень!C63</f>
        <v>2055</v>
      </c>
      <c r="D63" s="19" t="n">
        <f aca="false">березень!P63</f>
        <v>2048.36</v>
      </c>
      <c r="E63" s="19" t="n">
        <f aca="false">березень!Q63</f>
        <v>0</v>
      </c>
      <c r="F63" s="20" t="n">
        <f aca="false">березень!F63</f>
        <v>0</v>
      </c>
      <c r="G63" s="21" t="n">
        <f aca="false">березень!G63</f>
        <v>49.79</v>
      </c>
      <c r="H63" s="21" t="n">
        <f aca="false">березень!H63</f>
        <v>0</v>
      </c>
      <c r="I63" s="22" t="n">
        <f aca="false">березень!I63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2252.5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березень!B64</f>
        <v>Родзик С.Г.</v>
      </c>
      <c r="C64" s="18" t="str">
        <f aca="false">березень!C64</f>
        <v>2056</v>
      </c>
      <c r="D64" s="19" t="n">
        <f aca="false">березень!P64</f>
        <v>1553.61</v>
      </c>
      <c r="E64" s="19" t="n">
        <f aca="false">березень!Q64</f>
        <v>0</v>
      </c>
      <c r="F64" s="20" t="n">
        <f aca="false">березень!F64</f>
        <v>0</v>
      </c>
      <c r="G64" s="21" t="n">
        <f aca="false">березень!G64</f>
        <v>65.2</v>
      </c>
      <c r="H64" s="21" t="n">
        <f aca="false">березень!H64</f>
        <v>0</v>
      </c>
      <c r="I64" s="22" t="n">
        <f aca="false">березень!I64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 t="n">
        <v>1600</v>
      </c>
      <c r="P64" s="25" t="n">
        <f aca="false">IF(D64=0,IF((N64-E64-O64)&gt;0,(N64-E64-O64),0),IF((D64+N64-O64)&gt;0,(D64+N64-O64),0))</f>
        <v>220.929999999999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березень!B65</f>
        <v>Никоненко Н.С.</v>
      </c>
      <c r="C65" s="18" t="str">
        <f aca="false">березень!C65</f>
        <v>2057</v>
      </c>
      <c r="D65" s="19" t="n">
        <f aca="false">березень!P65</f>
        <v>1670.59</v>
      </c>
      <c r="E65" s="19" t="n">
        <f aca="false">березень!Q65</f>
        <v>0</v>
      </c>
      <c r="F65" s="20" t="n">
        <f aca="false">березень!F65</f>
        <v>0</v>
      </c>
      <c r="G65" s="21" t="n">
        <f aca="false">березень!G65</f>
        <v>61.88</v>
      </c>
      <c r="H65" s="21" t="n">
        <f aca="false">березень!H65</f>
        <v>0</v>
      </c>
      <c r="I65" s="22" t="n">
        <f aca="false">березень!I65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1924.3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березень!B66</f>
        <v>Чепок О.В.</v>
      </c>
      <c r="C66" s="18" t="str">
        <f aca="false">березень!C66</f>
        <v>2058</v>
      </c>
      <c r="D66" s="19" t="n">
        <f aca="false">березень!P66</f>
        <v>3048.41</v>
      </c>
      <c r="E66" s="19" t="n">
        <f aca="false">березень!Q66</f>
        <v>0</v>
      </c>
      <c r="F66" s="20" t="n">
        <f aca="false">березень!F66</f>
        <v>0</v>
      </c>
      <c r="G66" s="21" t="n">
        <f aca="false">березень!G66</f>
        <v>35</v>
      </c>
      <c r="H66" s="21" t="n">
        <f aca="false">березень!H66</f>
        <v>0</v>
      </c>
      <c r="I66" s="22" t="n">
        <f aca="false">березень!I66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3191.91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березень!B67</f>
        <v>Горошенко Л.С.</v>
      </c>
      <c r="C67" s="18" t="str">
        <f aca="false">березень!C67</f>
        <v>2059</v>
      </c>
      <c r="D67" s="19" t="n">
        <f aca="false">березень!P67</f>
        <v>0</v>
      </c>
      <c r="E67" s="19" t="n">
        <f aca="false">березень!Q67</f>
        <v>1072.24</v>
      </c>
      <c r="F67" s="20" t="n">
        <f aca="false">березень!F67</f>
        <v>0</v>
      </c>
      <c r="G67" s="21" t="n">
        <f aca="false">березень!G67</f>
        <v>49.3</v>
      </c>
      <c r="H67" s="21" t="n">
        <f aca="false">березень!H67</f>
        <v>0</v>
      </c>
      <c r="I67" s="22" t="n">
        <f aca="false">березень!I67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500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1370.11</v>
      </c>
    </row>
    <row r="68" customFormat="false" ht="15" hidden="false" customHeight="false" outlineLevel="0" collapsed="false">
      <c r="A68" s="17" t="s">
        <v>200</v>
      </c>
      <c r="B68" s="18" t="str">
        <f aca="false">березень!B68</f>
        <v>Неграчева Л.Г.</v>
      </c>
      <c r="C68" s="18" t="str">
        <f aca="false">березень!C68</f>
        <v>2060</v>
      </c>
      <c r="D68" s="19" t="n">
        <f aca="false">березень!P68</f>
        <v>2009.96</v>
      </c>
      <c r="E68" s="19" t="n">
        <f aca="false">березень!Q68</f>
        <v>0</v>
      </c>
      <c r="F68" s="20" t="n">
        <f aca="false">березень!F68</f>
        <v>0</v>
      </c>
      <c r="G68" s="21" t="n">
        <f aca="false">березень!G68</f>
        <v>66.6</v>
      </c>
      <c r="H68" s="21" t="n">
        <f aca="false">березень!H68</f>
        <v>0</v>
      </c>
      <c r="I68" s="22" t="n">
        <f aca="false">березень!I68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 t="n">
        <f aca="false">300+800+800</f>
        <v>1900</v>
      </c>
      <c r="P68" s="25" t="n">
        <f aca="false">IF(D68=0,IF((N68-E68-O68)&gt;0,(N68-E68-O68),0),IF((D68+N68-O68)&gt;0,(D68+N68-O68),0))</f>
        <v>383.019999999999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березень!B69</f>
        <v>Брежнєв О.В.</v>
      </c>
      <c r="C69" s="18" t="str">
        <f aca="false">березень!C69</f>
        <v>2061</v>
      </c>
      <c r="D69" s="19" t="n">
        <f aca="false">березень!P69</f>
        <v>4031.81</v>
      </c>
      <c r="E69" s="19" t="n">
        <f aca="false">березень!Q69</f>
        <v>0</v>
      </c>
      <c r="F69" s="20" t="n">
        <f aca="false">березень!F69</f>
        <v>0</v>
      </c>
      <c r="G69" s="21" t="n">
        <f aca="false">березень!G69</f>
        <v>61.88</v>
      </c>
      <c r="H69" s="21" t="n">
        <f aca="false">березень!H69</f>
        <v>0</v>
      </c>
      <c r="I69" s="22" t="n">
        <f aca="false">березень!I69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4285.52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березень!B70</f>
        <v>Горбатюк К.О.</v>
      </c>
      <c r="C70" s="18" t="str">
        <f aca="false">березень!C70</f>
        <v>2062</v>
      </c>
      <c r="D70" s="19" t="n">
        <f aca="false">березень!P70</f>
        <v>1277.1</v>
      </c>
      <c r="E70" s="19" t="n">
        <f aca="false">березень!Q70</f>
        <v>0</v>
      </c>
      <c r="F70" s="20" t="n">
        <f aca="false">березень!F70</f>
        <v>0</v>
      </c>
      <c r="G70" s="21" t="n">
        <f aca="false">березень!G70</f>
        <v>34.96</v>
      </c>
      <c r="H70" s="21" t="n">
        <f aca="false">березень!H70</f>
        <v>0</v>
      </c>
      <c r="I70" s="22" t="n">
        <f aca="false">березень!I70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1420.44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березень!B71</f>
        <v>Божик М.О.</v>
      </c>
      <c r="C71" s="18" t="str">
        <f aca="false">березень!C71</f>
        <v>2063</v>
      </c>
      <c r="D71" s="19" t="n">
        <f aca="false">березень!P71</f>
        <v>1603.36</v>
      </c>
      <c r="E71" s="19" t="n">
        <f aca="false">березень!Q71</f>
        <v>0</v>
      </c>
      <c r="F71" s="20" t="n">
        <f aca="false">березень!F71</f>
        <v>0</v>
      </c>
      <c r="G71" s="21" t="n">
        <f aca="false">березень!G71</f>
        <v>50.03</v>
      </c>
      <c r="H71" s="21" t="n">
        <f aca="false">березень!H71</f>
        <v>0</v>
      </c>
      <c r="I71" s="22" t="n">
        <f aca="false">березень!I71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 t="n">
        <v>1000</v>
      </c>
      <c r="P71" s="25" t="n">
        <f aca="false">IF(D71=0,IF((N71-E71-O71)&gt;0,(N71-E71-O71),0),IF((D71+N71-O71)&gt;0,(D71+N71-O71),0))</f>
        <v>808.48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березень!B72</f>
        <v>Зайченко С.Л</v>
      </c>
      <c r="C72" s="18" t="str">
        <f aca="false">березень!C72</f>
        <v>2064</v>
      </c>
      <c r="D72" s="19" t="n">
        <f aca="false">березень!P72</f>
        <v>3710.01</v>
      </c>
      <c r="E72" s="19" t="n">
        <f aca="false">березень!Q72</f>
        <v>0</v>
      </c>
      <c r="F72" s="20" t="n">
        <f aca="false">березень!F72</f>
        <v>0</v>
      </c>
      <c r="G72" s="21" t="n">
        <f aca="false">березень!G72</f>
        <v>65.15</v>
      </c>
      <c r="H72" s="21" t="n">
        <f aca="false">березень!H72</f>
        <v>0</v>
      </c>
      <c r="I72" s="22" t="n">
        <f aca="false">березень!I72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3977.13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березень!B73</f>
        <v>Бессараб Н.Г.</v>
      </c>
      <c r="C73" s="18" t="str">
        <f aca="false">березень!C73</f>
        <v>2065</v>
      </c>
      <c r="D73" s="19" t="n">
        <f aca="false">березень!P73</f>
        <v>168.63</v>
      </c>
      <c r="E73" s="19" t="n">
        <f aca="false">березень!Q73</f>
        <v>0</v>
      </c>
      <c r="F73" s="20" t="n">
        <f aca="false">березень!F73</f>
        <v>0</v>
      </c>
      <c r="G73" s="21" t="n">
        <f aca="false">березень!G73</f>
        <v>63.41</v>
      </c>
      <c r="H73" s="21" t="n">
        <f aca="false">березень!H73</f>
        <v>0</v>
      </c>
      <c r="I73" s="22" t="n">
        <f aca="false">березень!I73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 t="n">
        <f aca="false">300+300</f>
        <v>600</v>
      </c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171.39</v>
      </c>
    </row>
    <row r="74" customFormat="false" ht="15" hidden="false" customHeight="false" outlineLevel="0" collapsed="false">
      <c r="A74" s="17" t="s">
        <v>218</v>
      </c>
      <c r="B74" s="18" t="str">
        <f aca="false">березень!B74</f>
        <v>Прохорова С.І.</v>
      </c>
      <c r="C74" s="18" t="str">
        <f aca="false">березень!C74</f>
        <v>2066</v>
      </c>
      <c r="D74" s="19" t="n">
        <f aca="false">березень!P74</f>
        <v>1806.83</v>
      </c>
      <c r="E74" s="19" t="n">
        <f aca="false">березень!Q74</f>
        <v>0</v>
      </c>
      <c r="F74" s="20" t="n">
        <f aca="false">березень!F74</f>
        <v>0</v>
      </c>
      <c r="G74" s="21" t="n">
        <f aca="false">березень!G74</f>
        <v>35.19</v>
      </c>
      <c r="H74" s="21" t="n">
        <f aca="false">березень!H74</f>
        <v>0</v>
      </c>
      <c r="I74" s="22" t="n">
        <f aca="false">березень!I74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1951.11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березень!B75</f>
        <v>Браташ А.Ф.</v>
      </c>
      <c r="C75" s="18" t="str">
        <f aca="false">березень!C75</f>
        <v>2067</v>
      </c>
      <c r="D75" s="19" t="n">
        <f aca="false">березень!P75</f>
        <v>3130.92</v>
      </c>
      <c r="E75" s="19" t="n">
        <f aca="false">березень!Q75</f>
        <v>0</v>
      </c>
      <c r="F75" s="20" t="n">
        <f aca="false">березень!F75</f>
        <v>0</v>
      </c>
      <c r="G75" s="21" t="n">
        <f aca="false">березень!G75</f>
        <v>49.89</v>
      </c>
      <c r="H75" s="21" t="n">
        <f aca="false">березень!H75</f>
        <v>0</v>
      </c>
      <c r="I75" s="22" t="n">
        <f aca="false">березень!I75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3335.47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березень!B76</f>
        <v>Кудас Д.О.</v>
      </c>
      <c r="C76" s="18" t="str">
        <f aca="false">березень!C76</f>
        <v>2068</v>
      </c>
      <c r="D76" s="19" t="n">
        <f aca="false">березень!P76</f>
        <v>240.02</v>
      </c>
      <c r="E76" s="19" t="n">
        <f aca="false">березень!Q76</f>
        <v>0</v>
      </c>
      <c r="F76" s="20" t="n">
        <f aca="false">березень!F76</f>
        <v>0</v>
      </c>
      <c r="G76" s="21" t="n">
        <f aca="false">березень!G76</f>
        <v>65.03</v>
      </c>
      <c r="H76" s="21" t="n">
        <f aca="false">березень!H76</f>
        <v>0</v>
      </c>
      <c r="I76" s="22" t="n">
        <f aca="false">березень!I76</f>
        <v>4.1</v>
      </c>
      <c r="J76" s="23" t="n">
        <f aca="false">ROUND(G76*I76,2)</f>
        <v>266.62</v>
      </c>
      <c r="K76" s="19"/>
      <c r="L76" s="19" t="n">
        <v>266.62</v>
      </c>
      <c r="M76" s="19"/>
      <c r="N76" s="19" t="n">
        <f aca="false">ROUND((G76*I76)-K76-L76-M76,2)</f>
        <v>0</v>
      </c>
      <c r="O76" s="19" t="n">
        <v>509</v>
      </c>
      <c r="P76" s="25" t="n">
        <f aca="false">IF(D76=0,IF((N76-E76-O76)&gt;0,(N76-E76-O76),0),IF((D76+N76-O76)&gt;0,(D76+N76-O76),0))</f>
        <v>0</v>
      </c>
      <c r="Q76" s="25" t="n">
        <f aca="false">IF(E76=0,IF((D76+N76-O76)&lt;0,ABS(D76+N76-O76),0),IF((N76-E76-O76)&lt;0,ABS(N76-E76-O76),0))</f>
        <v>268.98</v>
      </c>
    </row>
    <row r="77" customFormat="false" ht="15" hidden="false" customHeight="false" outlineLevel="0" collapsed="false">
      <c r="A77" s="17" t="s">
        <v>227</v>
      </c>
      <c r="B77" s="18" t="str">
        <f aca="false">березень!B77</f>
        <v>Шушлєбін Б.В.</v>
      </c>
      <c r="C77" s="18" t="str">
        <f aca="false">березень!C77</f>
        <v>2069</v>
      </c>
      <c r="D77" s="19" t="n">
        <f aca="false">березень!P77</f>
        <v>720.56</v>
      </c>
      <c r="E77" s="19" t="n">
        <f aca="false">березень!Q77</f>
        <v>0</v>
      </c>
      <c r="F77" s="20" t="n">
        <f aca="false">березень!F77</f>
        <v>0</v>
      </c>
      <c r="G77" s="21" t="n">
        <f aca="false">березень!G77</f>
        <v>62.11</v>
      </c>
      <c r="H77" s="21" t="n">
        <f aca="false">березень!H77</f>
        <v>0</v>
      </c>
      <c r="I77" s="22" t="n">
        <f aca="false">березень!I77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975.21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березень!B78</f>
        <v>Бородіна І.О.</v>
      </c>
      <c r="C78" s="18" t="str">
        <f aca="false">березень!C78</f>
        <v>2070</v>
      </c>
      <c r="D78" s="19" t="n">
        <f aca="false">березень!P78</f>
        <v>2044.02</v>
      </c>
      <c r="E78" s="19" t="n">
        <f aca="false">березень!Q78</f>
        <v>0</v>
      </c>
      <c r="F78" s="20" t="n">
        <f aca="false">березень!F78</f>
        <v>0</v>
      </c>
      <c r="G78" s="21" t="n">
        <f aca="false">березень!G78</f>
        <v>34.9</v>
      </c>
      <c r="H78" s="21" t="n">
        <f aca="false">березень!H78</f>
        <v>0</v>
      </c>
      <c r="I78" s="22" t="n">
        <f aca="false">березень!I78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2187.11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березень!B79</f>
        <v>Котурга Л.Й.</v>
      </c>
      <c r="C79" s="18" t="str">
        <f aca="false">березень!C79</f>
        <v>2071</v>
      </c>
      <c r="D79" s="19" t="n">
        <f aca="false">березень!P79</f>
        <v>1045.34</v>
      </c>
      <c r="E79" s="19" t="n">
        <f aca="false">березень!Q79</f>
        <v>0</v>
      </c>
      <c r="F79" s="20" t="n">
        <f aca="false">березень!F79</f>
        <v>0</v>
      </c>
      <c r="G79" s="21" t="n">
        <f aca="false">березень!G79</f>
        <v>49.2</v>
      </c>
      <c r="H79" s="21" t="n">
        <f aca="false">березень!H79</f>
        <v>0</v>
      </c>
      <c r="I79" s="22" t="n">
        <f aca="false">березень!I79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1247.06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березень!B80</f>
        <v>Горова О.І.</v>
      </c>
      <c r="C80" s="18" t="str">
        <f aca="false">березень!C80</f>
        <v>2072</v>
      </c>
      <c r="D80" s="19" t="n">
        <f aca="false">березень!P80</f>
        <v>2481.25</v>
      </c>
      <c r="E80" s="19" t="n">
        <f aca="false">березень!Q80</f>
        <v>0</v>
      </c>
      <c r="F80" s="20" t="n">
        <f aca="false">березень!F80</f>
        <v>0</v>
      </c>
      <c r="G80" s="21" t="n">
        <f aca="false">березень!G80</f>
        <v>65.43</v>
      </c>
      <c r="H80" s="21" t="n">
        <f aca="false">березень!H80</f>
        <v>0</v>
      </c>
      <c r="I80" s="22" t="n">
        <f aca="false">березень!I80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2749.51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березень!B81</f>
        <v>Рибакевич М.П.</v>
      </c>
      <c r="C81" s="18" t="str">
        <f aca="false">березень!C81</f>
        <v>3073</v>
      </c>
      <c r="D81" s="19" t="n">
        <f aca="false">березень!P81</f>
        <v>3445.45</v>
      </c>
      <c r="E81" s="19" t="n">
        <f aca="false">березень!Q81</f>
        <v>0</v>
      </c>
      <c r="F81" s="20" t="n">
        <f aca="false">березень!F81</f>
        <v>0</v>
      </c>
      <c r="G81" s="21" t="n">
        <f aca="false">березень!G81</f>
        <v>64.5</v>
      </c>
      <c r="H81" s="21" t="n">
        <f aca="false">березень!H81</f>
        <v>0</v>
      </c>
      <c r="I81" s="22" t="n">
        <f aca="false">березень!I81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3709.9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березень!B82</f>
        <v>Башкалов В.В.</v>
      </c>
      <c r="C82" s="18" t="str">
        <f aca="false">березень!C82</f>
        <v>3074</v>
      </c>
      <c r="D82" s="19" t="n">
        <f aca="false">березень!P82</f>
        <v>68.1099999999999</v>
      </c>
      <c r="E82" s="19" t="n">
        <f aca="false">березень!Q82</f>
        <v>0</v>
      </c>
      <c r="F82" s="20" t="n">
        <f aca="false">березень!F82</f>
        <v>0</v>
      </c>
      <c r="G82" s="21" t="n">
        <f aca="false">березень!G82</f>
        <v>50.8</v>
      </c>
      <c r="H82" s="21" t="n">
        <f aca="false">березень!H82</f>
        <v>0</v>
      </c>
      <c r="I82" s="22" t="n">
        <f aca="false">березень!I82</f>
        <v>4.1</v>
      </c>
      <c r="J82" s="23" t="n">
        <f aca="false">ROUND(G82*I82,2)</f>
        <v>208.28</v>
      </c>
      <c r="K82" s="19"/>
      <c r="L82" s="19" t="n">
        <v>208.27</v>
      </c>
      <c r="M82" s="19"/>
      <c r="N82" s="19" t="n">
        <f aca="false">ROUND((G82*I82)-K82-L82-M82,2)</f>
        <v>0.01</v>
      </c>
      <c r="O82" s="19"/>
      <c r="P82" s="25" t="n">
        <f aca="false">IF(D82=0,IF((N82-E82-O82)&gt;0,(N82-E82-O82),0),IF((D82+N82-O82)&gt;0,(D82+N82-O82),0))</f>
        <v>68.1199999999999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березень!B83</f>
        <v>Тіхенко Г.Д.</v>
      </c>
      <c r="C83" s="18" t="str">
        <f aca="false">березень!C83</f>
        <v>3075</v>
      </c>
      <c r="D83" s="19" t="n">
        <f aca="false">березень!P83</f>
        <v>1595.54</v>
      </c>
      <c r="E83" s="19" t="n">
        <f aca="false">березень!Q83</f>
        <v>0</v>
      </c>
      <c r="F83" s="20" t="n">
        <f aca="false">березень!F83</f>
        <v>0</v>
      </c>
      <c r="G83" s="21" t="n">
        <f aca="false">березень!G83</f>
        <v>34.9</v>
      </c>
      <c r="H83" s="21" t="n">
        <f aca="false">березень!H83</f>
        <v>0</v>
      </c>
      <c r="I83" s="22" t="n">
        <f aca="false">березень!I83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1738.63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березень!B84</f>
        <v>Головченко В.Г.</v>
      </c>
      <c r="C84" s="18" t="str">
        <f aca="false">березень!C84</f>
        <v>3076</v>
      </c>
      <c r="D84" s="19" t="n">
        <f aca="false">березень!P84</f>
        <v>1447.88</v>
      </c>
      <c r="E84" s="19" t="n">
        <f aca="false">березень!Q84</f>
        <v>0</v>
      </c>
      <c r="F84" s="20" t="n">
        <f aca="false">березень!F84</f>
        <v>0</v>
      </c>
      <c r="G84" s="21" t="n">
        <f aca="false">березень!G84</f>
        <v>61</v>
      </c>
      <c r="H84" s="21" t="n">
        <f aca="false">березень!H84</f>
        <v>0</v>
      </c>
      <c r="I84" s="22" t="n">
        <f aca="false">березень!I84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 t="n">
        <v>750</v>
      </c>
      <c r="P84" s="25" t="n">
        <f aca="false">IF(D84=0,IF((N84-E84-O84)&gt;0,(N84-E84-O84),0),IF((D84+N84-O84)&gt;0,(D84+N84-O84),0))</f>
        <v>947.98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березень!B85</f>
        <v>Семанішина Є.С.</v>
      </c>
      <c r="C85" s="18" t="str">
        <f aca="false">березень!C85</f>
        <v>3077</v>
      </c>
      <c r="D85" s="19" t="n">
        <f aca="false">березень!P85</f>
        <v>2372.8</v>
      </c>
      <c r="E85" s="19" t="n">
        <f aca="false">березень!Q85</f>
        <v>0</v>
      </c>
      <c r="F85" s="20" t="n">
        <f aca="false">березень!F85</f>
        <v>0</v>
      </c>
      <c r="G85" s="21" t="n">
        <f aca="false">березень!G85</f>
        <v>64.5</v>
      </c>
      <c r="H85" s="21" t="n">
        <f aca="false">березень!H85</f>
        <v>0</v>
      </c>
      <c r="I85" s="22" t="n">
        <f aca="false">березень!I85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2637.25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березень!B86</f>
        <v>Зінченко Ю.В.</v>
      </c>
      <c r="C86" s="18" t="str">
        <f aca="false">березень!C86</f>
        <v>3078</v>
      </c>
      <c r="D86" s="19" t="n">
        <f aca="false">березень!P86</f>
        <v>780.22</v>
      </c>
      <c r="E86" s="19" t="n">
        <f aca="false">березень!Q86</f>
        <v>0</v>
      </c>
      <c r="F86" s="20" t="n">
        <f aca="false">березень!F86</f>
        <v>0</v>
      </c>
      <c r="G86" s="21" t="n">
        <f aca="false">березень!G86</f>
        <v>49.3</v>
      </c>
      <c r="H86" s="21" t="n">
        <f aca="false">березень!H86</f>
        <v>0</v>
      </c>
      <c r="I86" s="22" t="n">
        <f aca="false">березень!I86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 t="n">
        <f aca="false">500+280.22</f>
        <v>780.22</v>
      </c>
      <c r="P86" s="25" t="n">
        <f aca="false">IF(D86=0,IF((N86-E86-O86)&gt;0,(N86-E86-O86),0),IF((D86+N86-O86)&gt;0,(D86+N86-O86),0))</f>
        <v>202.13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березень!B87</f>
        <v>Рилова Г.П.</v>
      </c>
      <c r="C87" s="18" t="str">
        <f aca="false">березень!C87</f>
        <v>3079</v>
      </c>
      <c r="D87" s="19" t="n">
        <f aca="false">березень!P87</f>
        <v>0</v>
      </c>
      <c r="E87" s="19" t="n">
        <f aca="false">березень!Q87</f>
        <v>2.10000000000025</v>
      </c>
      <c r="F87" s="20" t="n">
        <f aca="false">березень!F87</f>
        <v>0</v>
      </c>
      <c r="G87" s="21" t="n">
        <f aca="false">березень!G87</f>
        <v>35</v>
      </c>
      <c r="H87" s="21" t="n">
        <f aca="false">березень!H87</f>
        <v>0</v>
      </c>
      <c r="I87" s="22" t="n">
        <f aca="false">березень!I87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 t="n">
        <v>145</v>
      </c>
      <c r="P87" s="25" t="n">
        <f aca="false">IF(D87=0,IF((N87-E87-O87)&gt;0,(N87-E87-O87),0),IF((D87+N87-O87)&gt;0,(D87+N87-O87),0))</f>
        <v>0</v>
      </c>
      <c r="Q87" s="25" t="n">
        <f aca="false">IF(E87=0,IF((D87+N87-O87)&lt;0,ABS(D87+N87-O87),0),IF((N87-E87-O87)&lt;0,ABS(N87-E87-O87),0))</f>
        <v>3.60000000000025</v>
      </c>
    </row>
    <row r="88" customFormat="false" ht="15" hidden="false" customHeight="false" outlineLevel="0" collapsed="false">
      <c r="A88" s="17" t="s">
        <v>260</v>
      </c>
      <c r="B88" s="18" t="str">
        <f aca="false">березень!B88</f>
        <v>Ленський І.О.</v>
      </c>
      <c r="C88" s="18" t="str">
        <f aca="false">березень!C88</f>
        <v>3080</v>
      </c>
      <c r="D88" s="19" t="n">
        <f aca="false">березень!P88</f>
        <v>496.59</v>
      </c>
      <c r="E88" s="19" t="n">
        <f aca="false">березень!Q88</f>
        <v>0</v>
      </c>
      <c r="F88" s="20" t="n">
        <f aca="false">березень!F88</f>
        <v>0</v>
      </c>
      <c r="G88" s="21" t="n">
        <f aca="false">березень!G88</f>
        <v>61.8</v>
      </c>
      <c r="H88" s="21" t="n">
        <f aca="false">березень!H88</f>
        <v>0</v>
      </c>
      <c r="I88" s="22" t="n">
        <f aca="false">березень!I88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 t="n">
        <v>260</v>
      </c>
      <c r="P88" s="25" t="n">
        <f aca="false">IF(D88=0,IF((N88-E88-O88)&gt;0,(N88-E88-O88),0),IF((D88+N88-O88)&gt;0,(D88+N88-O88),0))</f>
        <v>489.97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березень!B89</f>
        <v>Слюсар О.О.</v>
      </c>
      <c r="C89" s="18" t="str">
        <f aca="false">березень!C89</f>
        <v>3081</v>
      </c>
      <c r="D89" s="19" t="n">
        <f aca="false">березень!P89</f>
        <v>3643.01</v>
      </c>
      <c r="E89" s="19" t="n">
        <f aca="false">березень!Q89</f>
        <v>0</v>
      </c>
      <c r="F89" s="20" t="n">
        <f aca="false">березень!F89</f>
        <v>0</v>
      </c>
      <c r="G89" s="21" t="n">
        <f aca="false">березень!G89</f>
        <v>65.81</v>
      </c>
      <c r="H89" s="21" t="n">
        <f aca="false">березень!H89</f>
        <v>0</v>
      </c>
      <c r="I89" s="22" t="n">
        <f aca="false">березень!I89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3912.83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березень!B90</f>
        <v>Кісельов Г.О.</v>
      </c>
      <c r="C90" s="18" t="str">
        <f aca="false">березень!C90</f>
        <v>3082</v>
      </c>
      <c r="D90" s="19" t="n">
        <f aca="false">березень!P90</f>
        <v>1420.38</v>
      </c>
      <c r="E90" s="19" t="n">
        <f aca="false">березень!Q90</f>
        <v>0</v>
      </c>
      <c r="F90" s="20" t="n">
        <f aca="false">березень!F90</f>
        <v>0</v>
      </c>
      <c r="G90" s="21" t="n">
        <f aca="false">березень!G90</f>
        <v>49.7</v>
      </c>
      <c r="H90" s="21" t="n">
        <f aca="false">березень!H90</f>
        <v>0</v>
      </c>
      <c r="I90" s="22" t="n">
        <f aca="false">березень!I90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1624.15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березень!B91</f>
        <v>Губанова Н.С.</v>
      </c>
      <c r="C91" s="18" t="str">
        <f aca="false">березень!C91</f>
        <v>3083</v>
      </c>
      <c r="D91" s="19" t="n">
        <f aca="false">березень!P91</f>
        <v>1131.6</v>
      </c>
      <c r="E91" s="19" t="n">
        <f aca="false">березень!Q91</f>
        <v>0</v>
      </c>
      <c r="F91" s="20" t="n">
        <f aca="false">березень!F91</f>
        <v>0</v>
      </c>
      <c r="G91" s="21" t="n">
        <f aca="false">березень!G91</f>
        <v>34.5</v>
      </c>
      <c r="H91" s="21" t="n">
        <f aca="false">березень!H91</f>
        <v>0</v>
      </c>
      <c r="I91" s="22" t="n">
        <f aca="false">березень!I91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1273.05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березень!B92</f>
        <v>Попова А.В.</v>
      </c>
      <c r="C92" s="18" t="str">
        <f aca="false">березень!C92</f>
        <v>3084</v>
      </c>
      <c r="D92" s="19" t="n">
        <f aca="false">березень!P92</f>
        <v>766.709999999997</v>
      </c>
      <c r="E92" s="19" t="n">
        <f aca="false">березень!Q92</f>
        <v>0</v>
      </c>
      <c r="F92" s="20" t="n">
        <f aca="false">березень!F92</f>
        <v>0</v>
      </c>
      <c r="G92" s="21" t="n">
        <f aca="false">березень!G92</f>
        <v>62.4</v>
      </c>
      <c r="H92" s="21" t="n">
        <f aca="false">березень!H92</f>
        <v>0</v>
      </c>
      <c r="I92" s="22" t="n">
        <f aca="false">березень!I92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1022.55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березень!B93</f>
        <v>Стародубець О.К.</v>
      </c>
      <c r="C93" s="18" t="str">
        <f aca="false">березень!C93</f>
        <v>3085</v>
      </c>
      <c r="D93" s="19" t="n">
        <f aca="false">березень!P93</f>
        <v>3765.12</v>
      </c>
      <c r="E93" s="19" t="n">
        <f aca="false">березень!Q93</f>
        <v>0</v>
      </c>
      <c r="F93" s="20" t="n">
        <f aca="false">березень!F93</f>
        <v>0</v>
      </c>
      <c r="G93" s="21" t="n">
        <f aca="false">березень!G93</f>
        <v>66.46</v>
      </c>
      <c r="H93" s="21" t="n">
        <f aca="false">березень!H93</f>
        <v>0</v>
      </c>
      <c r="I93" s="22" t="n">
        <f aca="false">березень!I93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4037.61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березень!B94</f>
        <v>Сакун Т.А.</v>
      </c>
      <c r="C94" s="18" t="str">
        <f aca="false">березень!C94</f>
        <v>3086</v>
      </c>
      <c r="D94" s="19" t="n">
        <f aca="false">березень!P94</f>
        <v>3058.25</v>
      </c>
      <c r="E94" s="19" t="n">
        <f aca="false">березень!Q94</f>
        <v>0</v>
      </c>
      <c r="F94" s="20" t="n">
        <f aca="false">березень!F94</f>
        <v>0</v>
      </c>
      <c r="G94" s="21" t="n">
        <f aca="false">березень!G94</f>
        <v>49.73</v>
      </c>
      <c r="H94" s="21" t="n">
        <f aca="false">березень!H94</f>
        <v>0</v>
      </c>
      <c r="I94" s="22" t="n">
        <f aca="false">березень!I94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3262.14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березень!B95</f>
        <v>Фатєєв Ю.О.</v>
      </c>
      <c r="C95" s="18" t="str">
        <f aca="false">березень!C95</f>
        <v>3087</v>
      </c>
      <c r="D95" s="19" t="n">
        <f aca="false">березень!P95</f>
        <v>4221.72</v>
      </c>
      <c r="E95" s="19" t="n">
        <f aca="false">березень!Q95</f>
        <v>0</v>
      </c>
      <c r="F95" s="20" t="n">
        <f aca="false">березень!F95</f>
        <v>0</v>
      </c>
      <c r="G95" s="21" t="n">
        <f aca="false">березень!G95</f>
        <v>34.9</v>
      </c>
      <c r="H95" s="21" t="n">
        <f aca="false">березень!H95</f>
        <v>0</v>
      </c>
      <c r="I95" s="22" t="n">
        <f aca="false">березень!I95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4364.81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березень!B96</f>
        <v>Лукашов Є.В.</v>
      </c>
      <c r="C96" s="18" t="str">
        <f aca="false">березень!C96</f>
        <v>3088</v>
      </c>
      <c r="D96" s="19" t="n">
        <f aca="false">березень!P96</f>
        <v>12202.32</v>
      </c>
      <c r="E96" s="19" t="n">
        <f aca="false">березень!Q96</f>
        <v>0</v>
      </c>
      <c r="F96" s="20" t="n">
        <f aca="false">березень!F96</f>
        <v>0</v>
      </c>
      <c r="G96" s="21" t="n">
        <f aca="false">березень!G96</f>
        <v>61.9</v>
      </c>
      <c r="H96" s="21" t="n">
        <f aca="false">березень!H96</f>
        <v>0</v>
      </c>
      <c r="I96" s="22" t="n">
        <f aca="false">березень!I96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12456.11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березень!B97</f>
        <v>Довбета В.М.</v>
      </c>
      <c r="C97" s="18" t="str">
        <f aca="false">березень!C97</f>
        <v>3089</v>
      </c>
      <c r="D97" s="19" t="n">
        <f aca="false">березень!P97</f>
        <v>0</v>
      </c>
      <c r="E97" s="19" t="n">
        <f aca="false">березень!Q97</f>
        <v>2.13999999999953</v>
      </c>
      <c r="F97" s="20" t="n">
        <f aca="false">березень!F97</f>
        <v>0</v>
      </c>
      <c r="G97" s="21" t="n">
        <f aca="false">березень!G97</f>
        <v>65.3</v>
      </c>
      <c r="H97" s="21" t="n">
        <f aca="false">березень!H97</f>
        <v>0</v>
      </c>
      <c r="I97" s="22" t="n">
        <f aca="false">березень!I97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300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34.4099999999995</v>
      </c>
    </row>
    <row r="98" customFormat="false" ht="15" hidden="false" customHeight="false" outlineLevel="0" collapsed="false">
      <c r="A98" s="17" t="s">
        <v>290</v>
      </c>
      <c r="B98" s="18" t="str">
        <f aca="false">березень!B98</f>
        <v>Черняк К.В.</v>
      </c>
      <c r="C98" s="18" t="str">
        <f aca="false">березень!C98</f>
        <v>3090</v>
      </c>
      <c r="D98" s="19" t="n">
        <f aca="false">березень!P98</f>
        <v>0</v>
      </c>
      <c r="E98" s="19" t="n">
        <f aca="false">березень!Q98</f>
        <v>1017.02</v>
      </c>
      <c r="F98" s="20" t="n">
        <f aca="false">березень!F98</f>
        <v>0</v>
      </c>
      <c r="G98" s="21" t="n">
        <f aca="false">березень!G98</f>
        <v>49.48</v>
      </c>
      <c r="H98" s="21" t="n">
        <f aca="false">березень!H98</f>
        <v>0</v>
      </c>
      <c r="I98" s="22" t="n">
        <f aca="false">березень!I98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814.15</v>
      </c>
    </row>
    <row r="99" customFormat="false" ht="15" hidden="false" customHeight="false" outlineLevel="0" collapsed="false">
      <c r="A99" s="17" t="s">
        <v>293</v>
      </c>
      <c r="B99" s="18" t="str">
        <f aca="false">березень!B99</f>
        <v>Удінцева Г.А.</v>
      </c>
      <c r="C99" s="18" t="str">
        <f aca="false">березень!C99</f>
        <v>3091</v>
      </c>
      <c r="D99" s="19" t="n">
        <f aca="false">березень!P99</f>
        <v>429.01</v>
      </c>
      <c r="E99" s="19" t="n">
        <f aca="false">березень!Q99</f>
        <v>0</v>
      </c>
      <c r="F99" s="20" t="n">
        <f aca="false">березень!F99</f>
        <v>0</v>
      </c>
      <c r="G99" s="21" t="n">
        <f aca="false">березень!G99</f>
        <v>35.1</v>
      </c>
      <c r="H99" s="21" t="n">
        <f aca="false">березень!H99</f>
        <v>0</v>
      </c>
      <c r="I99" s="22" t="n">
        <f aca="false">березень!I99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 t="n">
        <v>200</v>
      </c>
      <c r="P99" s="25" t="n">
        <f aca="false">IF(D99=0,IF((N99-E99-O99)&gt;0,(N99-E99-O99),0),IF((D99+N99-O99)&gt;0,(D99+N99-O99),0))</f>
        <v>372.92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березень!B100</f>
        <v>Липка Г.Ю.</v>
      </c>
      <c r="C100" s="18" t="str">
        <f aca="false">березень!C100</f>
        <v>3092</v>
      </c>
      <c r="D100" s="19" t="n">
        <f aca="false">березень!P100</f>
        <v>4405.04</v>
      </c>
      <c r="E100" s="19" t="n">
        <f aca="false">березень!Q100</f>
        <v>0</v>
      </c>
      <c r="F100" s="20" t="n">
        <f aca="false">березень!F100</f>
        <v>0</v>
      </c>
      <c r="G100" s="21" t="n">
        <f aca="false">березень!G100</f>
        <v>63.2</v>
      </c>
      <c r="H100" s="21" t="n">
        <f aca="false">березень!H100</f>
        <v>0</v>
      </c>
      <c r="I100" s="22" t="n">
        <f aca="false">березень!I100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4664.16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березень!B101</f>
        <v>Утьосов Д.М.</v>
      </c>
      <c r="C101" s="18" t="str">
        <f aca="false">березень!C101</f>
        <v>3093</v>
      </c>
      <c r="D101" s="19" t="n">
        <f aca="false">березень!P101</f>
        <v>3451.51</v>
      </c>
      <c r="E101" s="19" t="n">
        <f aca="false">березень!Q101</f>
        <v>0</v>
      </c>
      <c r="F101" s="20" t="n">
        <f aca="false">березень!F101</f>
        <v>0</v>
      </c>
      <c r="G101" s="21" t="n">
        <f aca="false">березень!G101</f>
        <v>66.1</v>
      </c>
      <c r="H101" s="21" t="n">
        <f aca="false">березень!H101</f>
        <v>0</v>
      </c>
      <c r="I101" s="22" t="n">
        <f aca="false">березень!I101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3722.52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березень!B102</f>
        <v>Стеценко Д.М.</v>
      </c>
      <c r="C102" s="18" t="str">
        <f aca="false">березень!C102</f>
        <v>3094</v>
      </c>
      <c r="D102" s="19" t="n">
        <f aca="false">березень!P102</f>
        <v>612.610000000001</v>
      </c>
      <c r="E102" s="19" t="n">
        <f aca="false">березень!Q102</f>
        <v>0</v>
      </c>
      <c r="F102" s="20" t="n">
        <f aca="false">березень!F102</f>
        <v>0</v>
      </c>
      <c r="G102" s="21" t="n">
        <f aca="false">березень!G102</f>
        <v>49.8</v>
      </c>
      <c r="H102" s="21" t="n">
        <f aca="false">березень!H102</f>
        <v>0</v>
      </c>
      <c r="I102" s="22" t="n">
        <f aca="false">березень!I102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816.790000000001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березень!B103</f>
        <v>Задніпряна О.М.</v>
      </c>
      <c r="C103" s="18" t="str">
        <f aca="false">березень!C103</f>
        <v>3095</v>
      </c>
      <c r="D103" s="19" t="n">
        <f aca="false">березень!P103</f>
        <v>1562.06</v>
      </c>
      <c r="E103" s="19" t="n">
        <f aca="false">березень!Q103</f>
        <v>0</v>
      </c>
      <c r="F103" s="20" t="n">
        <f aca="false">березень!F103</f>
        <v>0</v>
      </c>
      <c r="G103" s="21" t="n">
        <f aca="false">березень!G103</f>
        <v>34.6</v>
      </c>
      <c r="H103" s="21" t="n">
        <f aca="false">березень!H103</f>
        <v>0</v>
      </c>
      <c r="I103" s="22" t="n">
        <f aca="false">березень!I103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1703.92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березень!B104</f>
        <v>Геращенко М.Д.</v>
      </c>
      <c r="C104" s="18" t="str">
        <f aca="false">березень!C104</f>
        <v>3096</v>
      </c>
      <c r="D104" s="19" t="n">
        <f aca="false">березень!P104</f>
        <v>769.28</v>
      </c>
      <c r="E104" s="19" t="n">
        <f aca="false">березень!Q104</f>
        <v>0</v>
      </c>
      <c r="F104" s="20" t="n">
        <f aca="false">березень!F104</f>
        <v>0</v>
      </c>
      <c r="G104" s="21" t="n">
        <f aca="false">березень!G104</f>
        <v>62.6</v>
      </c>
      <c r="H104" s="21" t="n">
        <f aca="false">березень!H104</f>
        <v>0</v>
      </c>
      <c r="I104" s="22" t="n">
        <f aca="false">березень!I104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 t="n">
        <v>200</v>
      </c>
      <c r="P104" s="25" t="n">
        <f aca="false">IF(D104=0,IF((N104-E104-O104)&gt;0,(N104-E104-O104),0),IF((D104+N104-O104)&gt;0,(D104+N104-O104),0))</f>
        <v>825.940000000001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березень!B105</f>
        <v>Горб В.М.</v>
      </c>
      <c r="C105" s="18" t="str">
        <f aca="false">березень!C105</f>
        <v>3097</v>
      </c>
      <c r="D105" s="19" t="n">
        <f aca="false">березень!P105</f>
        <v>2416.87</v>
      </c>
      <c r="E105" s="19" t="n">
        <f aca="false">березень!Q105</f>
        <v>0</v>
      </c>
      <c r="F105" s="20" t="n">
        <f aca="false">березень!F105</f>
        <v>0</v>
      </c>
      <c r="G105" s="21" t="n">
        <f aca="false">березень!G105</f>
        <v>65.57</v>
      </c>
      <c r="H105" s="21" t="n">
        <f aca="false">березень!H105</f>
        <v>0</v>
      </c>
      <c r="I105" s="22" t="n">
        <f aca="false">березень!I105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2685.71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березень!B106</f>
        <v>Нойок Г.К.</v>
      </c>
      <c r="C106" s="18" t="str">
        <f aca="false">березень!C106</f>
        <v>3098</v>
      </c>
      <c r="D106" s="19" t="n">
        <f aca="false">березень!P106</f>
        <v>626.21</v>
      </c>
      <c r="E106" s="19" t="n">
        <f aca="false">березень!Q106</f>
        <v>0</v>
      </c>
      <c r="F106" s="20" t="n">
        <f aca="false">березень!F106</f>
        <v>0</v>
      </c>
      <c r="G106" s="21" t="n">
        <f aca="false">березень!G106</f>
        <v>49.8</v>
      </c>
      <c r="H106" s="21" t="n">
        <f aca="false">березень!H106</f>
        <v>0</v>
      </c>
      <c r="I106" s="22" t="n">
        <f aca="false">березень!I106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830.39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березень!B107</f>
        <v>Сафонова О.В.</v>
      </c>
      <c r="C107" s="18" t="str">
        <f aca="false">березень!C107</f>
        <v>3099</v>
      </c>
      <c r="D107" s="19" t="n">
        <f aca="false">березень!P107</f>
        <v>1241.99</v>
      </c>
      <c r="E107" s="19" t="n">
        <f aca="false">березень!Q107</f>
        <v>0</v>
      </c>
      <c r="F107" s="20" t="n">
        <f aca="false">березень!F107</f>
        <v>0</v>
      </c>
      <c r="G107" s="21" t="n">
        <f aca="false">березень!G107</f>
        <v>34.9</v>
      </c>
      <c r="H107" s="21" t="n">
        <f aca="false">березень!H107</f>
        <v>0</v>
      </c>
      <c r="I107" s="22" t="n">
        <f aca="false">березень!I107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1385.08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березень!B108</f>
        <v>Вінарська Н.П.</v>
      </c>
      <c r="C108" s="18" t="str">
        <f aca="false">березень!C108</f>
        <v>30100</v>
      </c>
      <c r="D108" s="19" t="n">
        <f aca="false">березень!P108</f>
        <v>3602.84</v>
      </c>
      <c r="E108" s="19" t="n">
        <f aca="false">березень!Q108</f>
        <v>0</v>
      </c>
      <c r="F108" s="20" t="n">
        <f aca="false">березень!F108</f>
        <v>0</v>
      </c>
      <c r="G108" s="21" t="n">
        <f aca="false">березень!G108</f>
        <v>62.78</v>
      </c>
      <c r="H108" s="21" t="n">
        <f aca="false">березень!H108</f>
        <v>0</v>
      </c>
      <c r="I108" s="22" t="n">
        <f aca="false">березень!I108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3860.24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березень!B109</f>
        <v>Чернова Н.І.</v>
      </c>
      <c r="C109" s="18" t="str">
        <f aca="false">березень!C109</f>
        <v>30101</v>
      </c>
      <c r="D109" s="19" t="n">
        <f aca="false">березень!P109</f>
        <v>3724.13</v>
      </c>
      <c r="E109" s="19" t="n">
        <f aca="false">березень!Q109</f>
        <v>0</v>
      </c>
      <c r="F109" s="20" t="n">
        <f aca="false">березень!F109</f>
        <v>0</v>
      </c>
      <c r="G109" s="21" t="n">
        <f aca="false">березень!G109</f>
        <v>66.29</v>
      </c>
      <c r="H109" s="21" t="n">
        <f aca="false">березень!H109</f>
        <v>0</v>
      </c>
      <c r="I109" s="22" t="n">
        <f aca="false">березень!I109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3995.92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березень!B110</f>
        <v>Кошева Н.П</v>
      </c>
      <c r="C110" s="18" t="str">
        <f aca="false">березень!C110</f>
        <v>30102</v>
      </c>
      <c r="D110" s="19" t="n">
        <f aca="false">березень!P110</f>
        <v>2484</v>
      </c>
      <c r="E110" s="19" t="n">
        <f aca="false">березень!Q110</f>
        <v>0</v>
      </c>
      <c r="F110" s="20" t="n">
        <f aca="false">березень!F110</f>
        <v>0</v>
      </c>
      <c r="G110" s="21" t="n">
        <f aca="false">березень!G110</f>
        <v>50</v>
      </c>
      <c r="H110" s="21" t="n">
        <f aca="false">березень!H110</f>
        <v>0</v>
      </c>
      <c r="I110" s="22" t="n">
        <f aca="false">березень!I110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2689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березень!B111</f>
        <v>Уривський Д.Б.</v>
      </c>
      <c r="C111" s="18" t="str">
        <f aca="false">березень!C111</f>
        <v>30103</v>
      </c>
      <c r="D111" s="19" t="n">
        <f aca="false">березень!P111</f>
        <v>2085.59</v>
      </c>
      <c r="E111" s="19" t="n">
        <f aca="false">березень!Q111</f>
        <v>0</v>
      </c>
      <c r="F111" s="20" t="n">
        <f aca="false">березень!F111</f>
        <v>0</v>
      </c>
      <c r="G111" s="21" t="n">
        <f aca="false">березень!G111</f>
        <v>35</v>
      </c>
      <c r="H111" s="21" t="n">
        <f aca="false">березень!H111</f>
        <v>0</v>
      </c>
      <c r="I111" s="22" t="n">
        <f aca="false">березень!I111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2229.09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березень!B112</f>
        <v>АДПСУ (Чорноморець В.М.)</v>
      </c>
      <c r="C112" s="18" t="str">
        <f aca="false">березень!C112</f>
        <v>30104</v>
      </c>
      <c r="D112" s="19" t="n">
        <f aca="false">березень!P112</f>
        <v>2028.85</v>
      </c>
      <c r="E112" s="19" t="n">
        <f aca="false">березень!Q112</f>
        <v>0</v>
      </c>
      <c r="F112" s="20" t="n">
        <f aca="false">березень!F112</f>
        <v>0</v>
      </c>
      <c r="G112" s="21" t="n">
        <f aca="false">березень!G112</f>
        <v>61.1</v>
      </c>
      <c r="H112" s="21" t="n">
        <f aca="false">березень!H112</f>
        <v>0</v>
      </c>
      <c r="I112" s="22" t="n">
        <f aca="false">березень!I112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2279.36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березень!B113</f>
        <v>Дмитренко Г.В.</v>
      </c>
      <c r="C113" s="18" t="str">
        <f aca="false">березень!C113</f>
        <v>30105</v>
      </c>
      <c r="D113" s="19" t="n">
        <f aca="false">березень!P113</f>
        <v>2706.12</v>
      </c>
      <c r="E113" s="19" t="n">
        <f aca="false">березень!Q113</f>
        <v>0</v>
      </c>
      <c r="F113" s="20" t="n">
        <f aca="false">березень!F113</f>
        <v>0</v>
      </c>
      <c r="G113" s="21" t="n">
        <f aca="false">березень!G113</f>
        <v>64.89</v>
      </c>
      <c r="H113" s="21" t="n">
        <f aca="false">березень!H113</f>
        <v>0</v>
      </c>
      <c r="I113" s="22" t="n">
        <f aca="false">березень!I113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2972.17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березень!B114</f>
        <v>Номерова Т.В.</v>
      </c>
      <c r="C114" s="18" t="str">
        <f aca="false">березень!C114</f>
        <v>30106</v>
      </c>
      <c r="D114" s="19" t="n">
        <f aca="false">березень!P114</f>
        <v>265.32</v>
      </c>
      <c r="E114" s="19" t="n">
        <f aca="false">березень!Q114</f>
        <v>0</v>
      </c>
      <c r="F114" s="20" t="n">
        <f aca="false">березень!F114</f>
        <v>0</v>
      </c>
      <c r="G114" s="21" t="n">
        <f aca="false">березень!G114</f>
        <v>49.96</v>
      </c>
      <c r="H114" s="21" t="n">
        <f aca="false">березень!H114</f>
        <v>0</v>
      </c>
      <c r="I114" s="22" t="n">
        <f aca="false">березень!I114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470.16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березень!B115</f>
        <v>Самойлова О.В.</v>
      </c>
      <c r="C115" s="18" t="str">
        <f aca="false">березень!C115</f>
        <v>30107</v>
      </c>
      <c r="D115" s="19" t="n">
        <f aca="false">березень!P115</f>
        <v>141.45</v>
      </c>
      <c r="E115" s="19" t="n">
        <f aca="false">березень!Q115</f>
        <v>0</v>
      </c>
      <c r="F115" s="20" t="n">
        <f aca="false">березень!F115</f>
        <v>0</v>
      </c>
      <c r="G115" s="21" t="n">
        <f aca="false">березень!G115</f>
        <v>34.5</v>
      </c>
      <c r="H115" s="21" t="n">
        <f aca="false">березень!H115</f>
        <v>0</v>
      </c>
      <c r="I115" s="22" t="n">
        <f aca="false">березень!I115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 t="n">
        <v>141.45</v>
      </c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березень!B116</f>
        <v>Випенко О.І.</v>
      </c>
      <c r="C116" s="18" t="str">
        <f aca="false">березень!C116</f>
        <v>30108</v>
      </c>
      <c r="D116" s="19" t="n">
        <f aca="false">березень!P116</f>
        <v>6930.67</v>
      </c>
      <c r="E116" s="19" t="n">
        <f aca="false">березень!Q116</f>
        <v>0</v>
      </c>
      <c r="F116" s="20" t="n">
        <f aca="false">березень!F116</f>
        <v>0</v>
      </c>
      <c r="G116" s="21" t="n">
        <f aca="false">березень!G116</f>
        <v>62.9</v>
      </c>
      <c r="H116" s="21" t="n">
        <f aca="false">березень!H116</f>
        <v>0</v>
      </c>
      <c r="I116" s="22" t="n">
        <f aca="false">березень!I116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7188.56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березень!B117</f>
        <v>Саприкін Ю.О.</v>
      </c>
      <c r="C117" s="18" t="str">
        <f aca="false">березень!C117</f>
        <v>40109</v>
      </c>
      <c r="D117" s="19" t="n">
        <f aca="false">березень!P117</f>
        <v>1195.56</v>
      </c>
      <c r="E117" s="19" t="n">
        <f aca="false">березень!Q117</f>
        <v>0</v>
      </c>
      <c r="F117" s="20" t="n">
        <f aca="false">березень!F117</f>
        <v>0</v>
      </c>
      <c r="G117" s="21" t="n">
        <f aca="false">березень!G117</f>
        <v>97.2</v>
      </c>
      <c r="H117" s="21" t="n">
        <f aca="false">березень!H117</f>
        <v>0</v>
      </c>
      <c r="I117" s="22" t="n">
        <f aca="false">березень!I117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 t="n">
        <v>1195.56</v>
      </c>
      <c r="P117" s="25" t="n">
        <f aca="false">IF(D117=0,IF((N117-E117-O117)&gt;0,(N117-E117-O117),0),IF((D117+N117-O117)&gt;0,(D117+N117-O117),0))</f>
        <v>398.52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березень!B118</f>
        <v>Мовчан В.М.</v>
      </c>
      <c r="C118" s="18" t="str">
        <f aca="false">березень!C118</f>
        <v>40110</v>
      </c>
      <c r="D118" s="19" t="n">
        <f aca="false">березень!P118</f>
        <v>398.73</v>
      </c>
      <c r="E118" s="19" t="n">
        <f aca="false">березень!Q118</f>
        <v>0</v>
      </c>
      <c r="F118" s="20" t="n">
        <f aca="false">березень!F118</f>
        <v>0</v>
      </c>
      <c r="G118" s="21" t="n">
        <f aca="false">березень!G118</f>
        <v>48.75</v>
      </c>
      <c r="H118" s="21" t="n">
        <f aca="false">березень!H118</f>
        <v>0</v>
      </c>
      <c r="I118" s="22" t="n">
        <f aca="false">березень!I118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 t="n">
        <v>399.76</v>
      </c>
      <c r="P118" s="25" t="n">
        <f aca="false">IF(D118=0,IF((N118-E118-O118)&gt;0,(N118-E118-O118),0),IF((D118+N118-O118)&gt;0,(D118+N118-O118),0))</f>
        <v>198.85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березень!B119</f>
        <v>Величко Н.М.</v>
      </c>
      <c r="C119" s="18" t="str">
        <f aca="false">березень!C119</f>
        <v>40111</v>
      </c>
      <c r="D119" s="19" t="n">
        <f aca="false">березень!P119</f>
        <v>2874.16</v>
      </c>
      <c r="E119" s="19" t="n">
        <f aca="false">березень!Q119</f>
        <v>0</v>
      </c>
      <c r="F119" s="20" t="n">
        <f aca="false">березень!F119</f>
        <v>0</v>
      </c>
      <c r="G119" s="21" t="n">
        <f aca="false">березень!G119</f>
        <v>63.8</v>
      </c>
      <c r="H119" s="21" t="n">
        <f aca="false">березень!H119</f>
        <v>0</v>
      </c>
      <c r="I119" s="22" t="n">
        <f aca="false">березень!I119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3135.74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березень!B120</f>
        <v>Бухлов С.В.</v>
      </c>
      <c r="C120" s="18" t="str">
        <f aca="false">березень!C120</f>
        <v>40112</v>
      </c>
      <c r="D120" s="19" t="n">
        <f aca="false">березень!P120</f>
        <v>8764.47</v>
      </c>
      <c r="E120" s="19" t="n">
        <f aca="false">березень!Q120</f>
        <v>0</v>
      </c>
      <c r="F120" s="20" t="n">
        <f aca="false">березень!F120</f>
        <v>0</v>
      </c>
      <c r="G120" s="21" t="n">
        <f aca="false">березень!G120</f>
        <v>62.6</v>
      </c>
      <c r="H120" s="21" t="n">
        <f aca="false">березень!H120</f>
        <v>0</v>
      </c>
      <c r="I120" s="22" t="n">
        <f aca="false">березень!I120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9021.13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березень!B121</f>
        <v>Перепеліцина Т.Ю.</v>
      </c>
      <c r="C121" s="18" t="str">
        <f aca="false">березень!C121</f>
        <v>40113</v>
      </c>
      <c r="D121" s="19" t="n">
        <f aca="false">березень!P121</f>
        <v>0</v>
      </c>
      <c r="E121" s="19" t="n">
        <f aca="false">березень!Q121</f>
        <v>191.72</v>
      </c>
      <c r="F121" s="20" t="n">
        <f aca="false">березень!F121</f>
        <v>0</v>
      </c>
      <c r="G121" s="21" t="n">
        <f aca="false">березень!G121</f>
        <v>34.7</v>
      </c>
      <c r="H121" s="21" t="n">
        <f aca="false">березень!H121</f>
        <v>0</v>
      </c>
      <c r="I121" s="22" t="n">
        <f aca="false">березень!I121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0</v>
      </c>
      <c r="Q121" s="25" t="n">
        <f aca="false">IF(E121=0,IF((D121+N121-O121)&lt;0,ABS(D121+N121-O121),0),IF((N121-E121-O121)&lt;0,ABS(N121-E121-O121),0))</f>
        <v>49.4499999999999</v>
      </c>
    </row>
    <row r="122" customFormat="false" ht="15" hidden="false" customHeight="false" outlineLevel="0" collapsed="false">
      <c r="A122" s="17" t="s">
        <v>362</v>
      </c>
      <c r="B122" s="18" t="str">
        <f aca="false">березень!B122</f>
        <v>Свєтлова Т.Ю.</v>
      </c>
      <c r="C122" s="18" t="str">
        <f aca="false">березень!C122</f>
        <v>40114</v>
      </c>
      <c r="D122" s="19" t="n">
        <f aca="false">березень!P122</f>
        <v>613.15</v>
      </c>
      <c r="E122" s="19" t="n">
        <f aca="false">березень!Q122</f>
        <v>0</v>
      </c>
      <c r="F122" s="20" t="n">
        <f aca="false">березень!F122</f>
        <v>0</v>
      </c>
      <c r="G122" s="21" t="n">
        <f aca="false">березень!G122</f>
        <v>49.72</v>
      </c>
      <c r="H122" s="21" t="n">
        <f aca="false">березень!H122</f>
        <v>0</v>
      </c>
      <c r="I122" s="22" t="n">
        <f aca="false">березень!I122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817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березень!B123</f>
        <v>Маркова О.М.</v>
      </c>
      <c r="C123" s="18" t="str">
        <f aca="false">березень!C123</f>
        <v>40115</v>
      </c>
      <c r="D123" s="19" t="n">
        <f aca="false">березень!P123</f>
        <v>3756.74</v>
      </c>
      <c r="E123" s="19" t="n">
        <f aca="false">березень!Q123</f>
        <v>0</v>
      </c>
      <c r="F123" s="20" t="n">
        <f aca="false">березень!F123</f>
        <v>0</v>
      </c>
      <c r="G123" s="21" t="n">
        <f aca="false">березень!G123</f>
        <v>65.1</v>
      </c>
      <c r="H123" s="21" t="n">
        <f aca="false">березень!H123</f>
        <v>0</v>
      </c>
      <c r="I123" s="22" t="n">
        <f aca="false">березень!I123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4023.65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березень!B124</f>
        <v>Ракитська А.М.</v>
      </c>
      <c r="C124" s="18" t="str">
        <f aca="false">березень!C124</f>
        <v>40116</v>
      </c>
      <c r="D124" s="19" t="n">
        <f aca="false">березень!P124</f>
        <v>2219.66</v>
      </c>
      <c r="E124" s="19" t="n">
        <f aca="false">березень!Q124</f>
        <v>0</v>
      </c>
      <c r="F124" s="20" t="n">
        <f aca="false">березень!F124</f>
        <v>0</v>
      </c>
      <c r="G124" s="21" t="n">
        <f aca="false">березень!G124</f>
        <v>62.18</v>
      </c>
      <c r="H124" s="21" t="n">
        <f aca="false">березень!H124</f>
        <v>0</v>
      </c>
      <c r="I124" s="22" t="n">
        <f aca="false">березень!I124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2474.6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березень!B125</f>
        <v>Гусак К.С.</v>
      </c>
      <c r="C125" s="18" t="str">
        <f aca="false">березень!C125</f>
        <v>40117</v>
      </c>
      <c r="D125" s="19" t="n">
        <f aca="false">березень!P125</f>
        <v>1931.97</v>
      </c>
      <c r="E125" s="19" t="n">
        <f aca="false">березень!Q125</f>
        <v>0</v>
      </c>
      <c r="F125" s="20" t="n">
        <f aca="false">березень!F125</f>
        <v>0</v>
      </c>
      <c r="G125" s="21" t="n">
        <f aca="false">березень!G125</f>
        <v>35.1</v>
      </c>
      <c r="H125" s="21" t="n">
        <f aca="false">березень!H125</f>
        <v>0</v>
      </c>
      <c r="I125" s="22" t="n">
        <f aca="false">березень!I125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2075.88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березень!B126</f>
        <v>Пісоченко М.Г.</v>
      </c>
      <c r="C126" s="18" t="str">
        <f aca="false">березень!C126</f>
        <v>40118</v>
      </c>
      <c r="D126" s="19" t="n">
        <f aca="false">березень!P126</f>
        <v>2168.76</v>
      </c>
      <c r="E126" s="19" t="n">
        <f aca="false">березень!Q126</f>
        <v>0</v>
      </c>
      <c r="F126" s="20" t="n">
        <f aca="false">березень!F126</f>
        <v>0</v>
      </c>
      <c r="G126" s="21" t="n">
        <f aca="false">березень!G126</f>
        <v>49.8</v>
      </c>
      <c r="H126" s="21" t="n">
        <f aca="false">березень!H126</f>
        <v>0</v>
      </c>
      <c r="I126" s="22" t="n">
        <f aca="false">березень!I126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2372.94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березень!B127</f>
        <v>Столяр О.М.</v>
      </c>
      <c r="C127" s="18" t="str">
        <f aca="false">березень!C127</f>
        <v>40119</v>
      </c>
      <c r="D127" s="19" t="n">
        <f aca="false">березень!P127</f>
        <v>7302.65</v>
      </c>
      <c r="E127" s="19" t="n">
        <f aca="false">березень!Q127</f>
        <v>0</v>
      </c>
      <c r="F127" s="20" t="n">
        <f aca="false">березень!F127</f>
        <v>0</v>
      </c>
      <c r="G127" s="21" t="n">
        <f aca="false">березень!G127</f>
        <v>65.3</v>
      </c>
      <c r="H127" s="21" t="n">
        <f aca="false">березень!H127</f>
        <v>0</v>
      </c>
      <c r="I127" s="22" t="n">
        <f aca="false">березень!I127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7570.38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березень!B128</f>
        <v>Рєзніков В.П.</v>
      </c>
      <c r="C128" s="18" t="str">
        <f aca="false">березень!C128</f>
        <v>40120</v>
      </c>
      <c r="D128" s="19" t="n">
        <f aca="false">березень!P128</f>
        <v>218.690000000001</v>
      </c>
      <c r="E128" s="19" t="n">
        <f aca="false">березень!Q128</f>
        <v>0</v>
      </c>
      <c r="F128" s="20" t="n">
        <f aca="false">березень!F128</f>
        <v>0</v>
      </c>
      <c r="G128" s="21" t="n">
        <f aca="false">березень!G128</f>
        <v>62.44</v>
      </c>
      <c r="H128" s="21" t="n">
        <f aca="false">березень!H128</f>
        <v>0</v>
      </c>
      <c r="I128" s="22" t="n">
        <f aca="false">березень!I128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474.690000000001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n">
        <v>121</v>
      </c>
      <c r="B129" s="18" t="str">
        <f aca="false">березень!B129</f>
        <v>Золотоверха Я.І.</v>
      </c>
      <c r="C129" s="18" t="str">
        <f aca="false">березень!C129</f>
        <v>40121</v>
      </c>
      <c r="D129" s="19" t="n">
        <f aca="false">березень!P129</f>
        <v>8.5265128291212E-014</v>
      </c>
      <c r="E129" s="19" t="n">
        <f aca="false">березень!Q129</f>
        <v>0</v>
      </c>
      <c r="F129" s="20" t="n">
        <f aca="false">березень!F129</f>
        <v>0</v>
      </c>
      <c r="G129" s="21" t="n">
        <f aca="false">березень!G129</f>
        <v>35.6</v>
      </c>
      <c r="H129" s="21" t="n">
        <f aca="false">березень!H129</f>
        <v>0</v>
      </c>
      <c r="I129" s="22" t="n">
        <f aca="false">березень!I129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березень!B130</f>
        <v>Бурлаков А.В.</v>
      </c>
      <c r="C130" s="18" t="str">
        <f aca="false">березень!C130</f>
        <v>40122</v>
      </c>
      <c r="D130" s="19" t="n">
        <f aca="false">березень!P130</f>
        <v>65.1000000000002</v>
      </c>
      <c r="E130" s="19" t="n">
        <f aca="false">березень!Q130</f>
        <v>0</v>
      </c>
      <c r="F130" s="20" t="n">
        <f aca="false">березень!F130</f>
        <v>0</v>
      </c>
      <c r="G130" s="21" t="n">
        <f aca="false">березень!G130</f>
        <v>49.7</v>
      </c>
      <c r="H130" s="21" t="n">
        <f aca="false">березень!H130</f>
        <v>0</v>
      </c>
      <c r="I130" s="22" t="n">
        <f aca="false">березень!I130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204</v>
      </c>
      <c r="P130" s="25" t="n">
        <f aca="false">IF(D130=0,IF((N130-E130-O130)&gt;0,(N130-E130-O130),0),IF((D130+N130-O130)&gt;0,(D130+N130-O130),0))</f>
        <v>64.8700000000002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березень!B131</f>
        <v>Сикула О.Ю.</v>
      </c>
      <c r="C131" s="18" t="str">
        <f aca="false">березень!C131</f>
        <v>40123</v>
      </c>
      <c r="D131" s="19" t="n">
        <f aca="false">березень!P131</f>
        <v>3059.54</v>
      </c>
      <c r="E131" s="19" t="n">
        <f aca="false">березень!Q131</f>
        <v>0</v>
      </c>
      <c r="F131" s="20" t="n">
        <f aca="false">березень!F131</f>
        <v>0</v>
      </c>
      <c r="G131" s="21" t="n">
        <f aca="false">березень!G131</f>
        <v>65.15</v>
      </c>
      <c r="H131" s="21" t="n">
        <f aca="false">березень!H131</f>
        <v>0</v>
      </c>
      <c r="I131" s="22" t="n">
        <f aca="false">березень!I131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3326.66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березень!B132</f>
        <v>Арістов О.О.</v>
      </c>
      <c r="C132" s="18" t="str">
        <f aca="false">березень!C132</f>
        <v>40124</v>
      </c>
      <c r="D132" s="19" t="n">
        <f aca="false">березень!P132</f>
        <v>877.55</v>
      </c>
      <c r="E132" s="19" t="n">
        <f aca="false">березень!Q132</f>
        <v>0</v>
      </c>
      <c r="F132" s="20" t="n">
        <f aca="false">березень!F132</f>
        <v>0</v>
      </c>
      <c r="G132" s="21" t="n">
        <f aca="false">березень!G132</f>
        <v>63</v>
      </c>
      <c r="H132" s="21" t="n">
        <f aca="false">березень!H132</f>
        <v>0</v>
      </c>
      <c r="I132" s="22" t="n">
        <f aca="false">березень!I132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 t="n">
        <v>500</v>
      </c>
      <c r="P132" s="25" t="n">
        <f aca="false">IF(D132=0,IF((N132-E132-O132)&gt;0,(N132-E132-O132),0),IF((D132+N132-O132)&gt;0,(D132+N132-O132),0))</f>
        <v>635.85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березень!B133</f>
        <v>Бондаренко Т.О.</v>
      </c>
      <c r="C133" s="18" t="str">
        <f aca="false">березень!C133</f>
        <v>40125</v>
      </c>
      <c r="D133" s="19" t="n">
        <f aca="false">березень!P133</f>
        <v>1521.13</v>
      </c>
      <c r="E133" s="19" t="n">
        <f aca="false">березень!Q133</f>
        <v>0</v>
      </c>
      <c r="F133" s="20" t="n">
        <f aca="false">березень!F133</f>
        <v>0</v>
      </c>
      <c r="G133" s="21" t="n">
        <f aca="false">березень!G133</f>
        <v>34.7</v>
      </c>
      <c r="H133" s="21" t="n">
        <f aca="false">березень!H133</f>
        <v>0</v>
      </c>
      <c r="I133" s="22" t="n">
        <f aca="false">березень!I133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1663.4</v>
      </c>
      <c r="Q133" s="25" t="n">
        <f aca="false">IF(E133=0,IF((D133+N133-O133)&lt;0,ABS(D133+N133-O133),0),IF((N133-E133-O133)&lt;0,ABS(N133-E133-O133),0))</f>
        <v>0</v>
      </c>
      <c r="S133" s="3"/>
      <c r="T133" s="3"/>
    </row>
    <row r="134" customFormat="false" ht="15" hidden="false" customHeight="false" outlineLevel="0" collapsed="false">
      <c r="A134" s="17" t="s">
        <v>398</v>
      </c>
      <c r="B134" s="18" t="str">
        <f aca="false">березень!B134</f>
        <v>Гайчев П.В.</v>
      </c>
      <c r="C134" s="18" t="str">
        <f aca="false">березень!C134</f>
        <v>40126</v>
      </c>
      <c r="D134" s="19" t="n">
        <f aca="false">березень!P134</f>
        <v>2004.48</v>
      </c>
      <c r="E134" s="19" t="n">
        <f aca="false">березень!Q134</f>
        <v>0</v>
      </c>
      <c r="F134" s="20" t="n">
        <f aca="false">березень!F134</f>
        <v>0</v>
      </c>
      <c r="G134" s="21" t="n">
        <f aca="false">березень!G134</f>
        <v>49.2</v>
      </c>
      <c r="H134" s="21" t="n">
        <f aca="false">березень!H134</f>
        <v>0</v>
      </c>
      <c r="I134" s="22" t="n">
        <f aca="false">березень!I134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 t="n">
        <v>1000</v>
      </c>
      <c r="P134" s="25" t="n">
        <f aca="false">IF(D134=0,IF((N134-E134-O134)&gt;0,(N134-E134-O134),0),IF((D134+N134-O134)&gt;0,(D134+N134-O134),0))</f>
        <v>1206.2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березень!B135</f>
        <v>Радченко О.С.</v>
      </c>
      <c r="C135" s="18" t="str">
        <f aca="false">березень!C135</f>
        <v>40127</v>
      </c>
      <c r="D135" s="19" t="n">
        <f aca="false">березень!P135</f>
        <v>795.539999999999</v>
      </c>
      <c r="E135" s="19" t="n">
        <f aca="false">березень!Q135</f>
        <v>0</v>
      </c>
      <c r="F135" s="20" t="n">
        <f aca="false">березень!F135</f>
        <v>0</v>
      </c>
      <c r="G135" s="21" t="n">
        <f aca="false">березень!G135</f>
        <v>65.15</v>
      </c>
      <c r="H135" s="21" t="n">
        <f aca="false">березень!H135</f>
        <v>0</v>
      </c>
      <c r="I135" s="22" t="n">
        <f aca="false">березень!I135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 t="n">
        <v>800</v>
      </c>
      <c r="P135" s="25" t="n">
        <f aca="false">IF(D135=0,IF((N135-E135-O135)&gt;0,(N135-E135-O135),0),IF((D135+N135-O135)&gt;0,(D135+N135-O135),0))</f>
        <v>262.659999999999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березень!B136</f>
        <v>Шилін С.М.</v>
      </c>
      <c r="C136" s="18" t="str">
        <f aca="false">березень!C136</f>
        <v>40128</v>
      </c>
      <c r="D136" s="19" t="n">
        <f aca="false">березень!P136</f>
        <v>2042.87</v>
      </c>
      <c r="E136" s="19" t="n">
        <f aca="false">березень!Q136</f>
        <v>0</v>
      </c>
      <c r="F136" s="20" t="n">
        <f aca="false">березень!F136</f>
        <v>0</v>
      </c>
      <c r="G136" s="21" t="n">
        <f aca="false">березень!G136</f>
        <v>62.3</v>
      </c>
      <c r="H136" s="21" t="n">
        <f aca="false">березень!H136</f>
        <v>0</v>
      </c>
      <c r="I136" s="22" t="n">
        <f aca="false">березень!I136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2298.3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березень!B137</f>
        <v>Петрулевич В.М.</v>
      </c>
      <c r="C137" s="18" t="str">
        <f aca="false">березень!C137</f>
        <v>40129</v>
      </c>
      <c r="D137" s="19" t="n">
        <f aca="false">березень!P137</f>
        <v>1547.45</v>
      </c>
      <c r="E137" s="19" t="n">
        <f aca="false">березень!Q137</f>
        <v>0</v>
      </c>
      <c r="F137" s="20" t="n">
        <f aca="false">березень!F137</f>
        <v>0</v>
      </c>
      <c r="G137" s="21" t="n">
        <f aca="false">березень!G137</f>
        <v>35.3</v>
      </c>
      <c r="H137" s="21" t="n">
        <f aca="false">березень!H137</f>
        <v>0</v>
      </c>
      <c r="I137" s="22" t="n">
        <f aca="false">березень!I137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1692.18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березень!B138</f>
        <v>Кривошеєва Л.М.</v>
      </c>
      <c r="C138" s="18" t="str">
        <f aca="false">березень!C138</f>
        <v>40130</v>
      </c>
      <c r="D138" s="19" t="n">
        <f aca="false">березень!P138</f>
        <v>2184.72</v>
      </c>
      <c r="E138" s="19" t="n">
        <f aca="false">березень!Q138</f>
        <v>0</v>
      </c>
      <c r="F138" s="20" t="n">
        <f aca="false">березень!F138</f>
        <v>0</v>
      </c>
      <c r="G138" s="21" t="n">
        <f aca="false">березень!G138</f>
        <v>49.78</v>
      </c>
      <c r="H138" s="21" t="n">
        <f aca="false">березень!H138</f>
        <v>0</v>
      </c>
      <c r="I138" s="22" t="n">
        <f aca="false">березень!I138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 t="n">
        <v>100</v>
      </c>
      <c r="P138" s="25" t="n">
        <f aca="false">IF(D138=0,IF((N138-E138-O138)&gt;0,(N138-E138-O138),0),IF((D138+N138-O138)&gt;0,(D138+N138-O138),0))</f>
        <v>2288.82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березень!B139</f>
        <v>Харченко І.С.</v>
      </c>
      <c r="C139" s="18" t="str">
        <f aca="false">березень!C139</f>
        <v>40131</v>
      </c>
      <c r="D139" s="19" t="n">
        <f aca="false">березень!P139</f>
        <v>1575.64</v>
      </c>
      <c r="E139" s="19" t="n">
        <f aca="false">березень!Q139</f>
        <v>0</v>
      </c>
      <c r="F139" s="20" t="n">
        <f aca="false">березень!F139</f>
        <v>0</v>
      </c>
      <c r="G139" s="21" t="n">
        <f aca="false">березень!G139</f>
        <v>65.93</v>
      </c>
      <c r="H139" s="21" t="n">
        <f aca="false">березень!H139</f>
        <v>0</v>
      </c>
      <c r="I139" s="22" t="n">
        <f aca="false">березень!I139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v>700</v>
      </c>
      <c r="P139" s="25" t="n">
        <f aca="false">IF(D139=0,IF((N139-E139-O139)&gt;0,(N139-E139-O139),0),IF((D139+N139-O139)&gt;0,(D139+N139-O139),0))</f>
        <v>1145.95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березень!B140</f>
        <v>Куриленко І.О.</v>
      </c>
      <c r="C140" s="18" t="str">
        <f aca="false">березень!C140</f>
        <v>40132</v>
      </c>
      <c r="D140" s="19" t="n">
        <f aca="false">березень!P140</f>
        <v>3833.49</v>
      </c>
      <c r="E140" s="19" t="n">
        <f aca="false">березень!Q140</f>
        <v>0</v>
      </c>
      <c r="F140" s="20" t="n">
        <f aca="false">березень!F140</f>
        <v>0</v>
      </c>
      <c r="G140" s="21" t="n">
        <f aca="false">березень!G140</f>
        <v>62.36</v>
      </c>
      <c r="H140" s="21" t="n">
        <f aca="false">березень!H140</f>
        <v>0</v>
      </c>
      <c r="I140" s="22" t="n">
        <f aca="false">березень!I140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4089.17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березень!B141</f>
        <v>Єлсукова В.М.</v>
      </c>
      <c r="C141" s="18" t="str">
        <f aca="false">березень!C141</f>
        <v>40133</v>
      </c>
      <c r="D141" s="19" t="n">
        <f aca="false">березень!P141</f>
        <v>2158.65</v>
      </c>
      <c r="E141" s="19" t="n">
        <f aca="false">березень!Q141</f>
        <v>0</v>
      </c>
      <c r="F141" s="20" t="n">
        <f aca="false">березень!F141</f>
        <v>0</v>
      </c>
      <c r="G141" s="21" t="n">
        <f aca="false">березень!G141</f>
        <v>35.1</v>
      </c>
      <c r="H141" s="21" t="n">
        <f aca="false">березень!H141</f>
        <v>0</v>
      </c>
      <c r="I141" s="22" t="n">
        <f aca="false">березень!I141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2302.56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березень!B142</f>
        <v>Пімонова М.В.</v>
      </c>
      <c r="C142" s="18" t="str">
        <f aca="false">березень!C142</f>
        <v>40134</v>
      </c>
      <c r="D142" s="19" t="n">
        <f aca="false">березень!P142</f>
        <v>4581.12</v>
      </c>
      <c r="E142" s="19" t="n">
        <f aca="false">березень!Q142</f>
        <v>0</v>
      </c>
      <c r="F142" s="20" t="n">
        <f aca="false">березень!F142</f>
        <v>0</v>
      </c>
      <c r="G142" s="21" t="n">
        <f aca="false">березень!G142</f>
        <v>49.47</v>
      </c>
      <c r="H142" s="21" t="n">
        <f aca="false">березень!H142</f>
        <v>0</v>
      </c>
      <c r="I142" s="22" t="n">
        <f aca="false">березень!I142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4783.95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березень!B143</f>
        <v>Осипенко В.В.</v>
      </c>
      <c r="C143" s="18" t="str">
        <f aca="false">березень!C143</f>
        <v>40135</v>
      </c>
      <c r="D143" s="19" t="n">
        <f aca="false">березень!P143</f>
        <v>1882.38</v>
      </c>
      <c r="E143" s="19" t="n">
        <f aca="false">березень!Q143</f>
        <v>0</v>
      </c>
      <c r="F143" s="20" t="n">
        <f aca="false">березень!F143</f>
        <v>0</v>
      </c>
      <c r="G143" s="21" t="n">
        <f aca="false">березень!G143</f>
        <v>65.65</v>
      </c>
      <c r="H143" s="21" t="n">
        <f aca="false">березень!H143</f>
        <v>0</v>
      </c>
      <c r="I143" s="22" t="n">
        <f aca="false">березень!I143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2151.55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березень!B144</f>
        <v>Друзь О.О.</v>
      </c>
      <c r="C144" s="18" t="str">
        <f aca="false">березень!C144</f>
        <v>40136</v>
      </c>
      <c r="D144" s="19" t="n">
        <f aca="false">березень!P144</f>
        <v>2545.42</v>
      </c>
      <c r="E144" s="19" t="n">
        <f aca="false">березень!Q144</f>
        <v>0</v>
      </c>
      <c r="F144" s="20" t="n">
        <f aca="false">березень!F144</f>
        <v>0</v>
      </c>
      <c r="G144" s="21" t="n">
        <f aca="false">березень!G144</f>
        <v>62.1</v>
      </c>
      <c r="H144" s="21" t="n">
        <f aca="false">березень!H144</f>
        <v>0</v>
      </c>
      <c r="I144" s="22" t="n">
        <f aca="false">березень!I144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2800.03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березень!B145</f>
        <v>Вовченко Р.І.</v>
      </c>
      <c r="C145" s="18" t="str">
        <f aca="false">березень!C145</f>
        <v>40137</v>
      </c>
      <c r="D145" s="19" t="n">
        <f aca="false">березень!P145</f>
        <v>476.159999999999</v>
      </c>
      <c r="E145" s="19" t="n">
        <f aca="false">березень!Q145</f>
        <v>0</v>
      </c>
      <c r="F145" s="20" t="n">
        <f aca="false">березень!F145</f>
        <v>0</v>
      </c>
      <c r="G145" s="21" t="n">
        <f aca="false">березень!G145</f>
        <v>35.2</v>
      </c>
      <c r="H145" s="21" t="n">
        <f aca="false">березень!H145</f>
        <v>0</v>
      </c>
      <c r="I145" s="22" t="n">
        <f aca="false">березень!I145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 t="n">
        <v>700</v>
      </c>
      <c r="P145" s="25" t="n">
        <f aca="false">IF(D145=0,IF((N145-E145-O145)&gt;0,(N145-E145-O145),0),IF((D145+N145-O145)&gt;0,(D145+N145-O145),0))</f>
        <v>0</v>
      </c>
      <c r="Q145" s="25" t="n">
        <f aca="false">IF(E145=0,IF((D145+N145-O145)&lt;0,ABS(D145+N145-O145),0),IF((N145-E145-O145)&lt;0,ABS(N145-E145-O145),0))</f>
        <v>79.5200000000011</v>
      </c>
    </row>
    <row r="146" customFormat="false" ht="15" hidden="false" customHeight="false" outlineLevel="0" collapsed="false">
      <c r="A146" s="17" t="s">
        <v>434</v>
      </c>
      <c r="B146" s="18" t="str">
        <f aca="false">березень!B146</f>
        <v>Плакун Д.В.</v>
      </c>
      <c r="C146" s="18" t="str">
        <f aca="false">березень!C146</f>
        <v>40138</v>
      </c>
      <c r="D146" s="19" t="n">
        <f aca="false">березень!P146</f>
        <v>613.45</v>
      </c>
      <c r="E146" s="19" t="n">
        <f aca="false">березень!Q146</f>
        <v>0</v>
      </c>
      <c r="F146" s="20" t="n">
        <f aca="false">березень!F146</f>
        <v>0</v>
      </c>
      <c r="G146" s="21" t="n">
        <f aca="false">березень!G146</f>
        <v>49.9</v>
      </c>
      <c r="H146" s="21" t="n">
        <f aca="false">березень!H146</f>
        <v>0</v>
      </c>
      <c r="I146" s="22" t="n">
        <f aca="false">березень!I146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818.04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березень!B147</f>
        <v>Гаврилова Ю.О.</v>
      </c>
      <c r="C147" s="18" t="str">
        <f aca="false">березень!C147</f>
        <v>40139</v>
      </c>
      <c r="D147" s="19" t="n">
        <f aca="false">березень!P147</f>
        <v>733</v>
      </c>
      <c r="E147" s="19" t="n">
        <f aca="false">березень!Q147</f>
        <v>0</v>
      </c>
      <c r="F147" s="20" t="n">
        <f aca="false">березень!F147</f>
        <v>0</v>
      </c>
      <c r="G147" s="21" t="n">
        <f aca="false">березень!G147</f>
        <v>65.8</v>
      </c>
      <c r="H147" s="21" t="n">
        <f aca="false">березень!H147</f>
        <v>0</v>
      </c>
      <c r="I147" s="22" t="n">
        <f aca="false">березень!I147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 t="n">
        <v>1200</v>
      </c>
      <c r="P147" s="25" t="n">
        <f aca="false">IF(D147=0,IF((N147-E147-O147)&gt;0,(N147-E147-O147),0),IF((D147+N147-O147)&gt;0,(D147+N147-O147),0))</f>
        <v>0</v>
      </c>
      <c r="Q147" s="25" t="n">
        <f aca="false">IF(E147=0,IF((D147+N147-O147)&lt;0,ABS(D147+N147-O147),0),IF((N147-E147-O147)&lt;0,ABS(N147-E147-O147),0))</f>
        <v>197.22</v>
      </c>
    </row>
    <row r="148" customFormat="false" ht="15" hidden="false" customHeight="false" outlineLevel="0" collapsed="false">
      <c r="A148" s="17" t="s">
        <v>440</v>
      </c>
      <c r="B148" s="18" t="str">
        <f aca="false">березень!B148</f>
        <v>Корзун Г.М.</v>
      </c>
      <c r="C148" s="18" t="str">
        <f aca="false">березень!C148</f>
        <v>40140</v>
      </c>
      <c r="D148" s="19" t="n">
        <f aca="false">березень!P148</f>
        <v>0</v>
      </c>
      <c r="E148" s="19" t="n">
        <f aca="false">березень!Q148</f>
        <v>164.120000000002</v>
      </c>
      <c r="F148" s="20" t="n">
        <f aca="false">березень!F148</f>
        <v>0</v>
      </c>
      <c r="G148" s="21" t="n">
        <f aca="false">березень!G148</f>
        <v>63.2</v>
      </c>
      <c r="H148" s="21" t="n">
        <f aca="false">березень!H148</f>
        <v>0</v>
      </c>
      <c r="I148" s="22" t="n">
        <f aca="false">березень!I148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94.9999999999978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березень!B149</f>
        <v>Бондаренко Л.Л.</v>
      </c>
      <c r="C149" s="18" t="str">
        <f aca="false">березень!C149</f>
        <v>40141</v>
      </c>
      <c r="D149" s="19" t="n">
        <f aca="false">березень!P149</f>
        <v>715.72</v>
      </c>
      <c r="E149" s="19" t="n">
        <f aca="false">березень!Q149</f>
        <v>0</v>
      </c>
      <c r="F149" s="20" t="n">
        <f aca="false">березень!F149</f>
        <v>0</v>
      </c>
      <c r="G149" s="21" t="n">
        <f aca="false">березень!G149</f>
        <v>34.9</v>
      </c>
      <c r="H149" s="21" t="n">
        <f aca="false">березень!H149</f>
        <v>0</v>
      </c>
      <c r="I149" s="22" t="n">
        <f aca="false">березень!I149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 t="n">
        <v>683</v>
      </c>
      <c r="P149" s="25" t="n">
        <f aca="false">IF(D149=0,IF((N149-E149-O149)&gt;0,(N149-E149-O149),0),IF((D149+N149-O149)&gt;0,(D149+N149-O149),0))</f>
        <v>175.81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березень!B150</f>
        <v>Капелюш Н.А.</v>
      </c>
      <c r="C150" s="18" t="str">
        <f aca="false">березень!C150</f>
        <v>40142</v>
      </c>
      <c r="D150" s="19" t="n">
        <f aca="false">березень!P150</f>
        <v>2686.32</v>
      </c>
      <c r="E150" s="19" t="n">
        <f aca="false">березень!Q150</f>
        <v>0</v>
      </c>
      <c r="F150" s="20" t="n">
        <f aca="false">березень!F150</f>
        <v>0</v>
      </c>
      <c r="G150" s="21" t="n">
        <f aca="false">березень!G150</f>
        <v>50.4</v>
      </c>
      <c r="H150" s="21" t="n">
        <f aca="false">березень!H150</f>
        <v>0</v>
      </c>
      <c r="I150" s="22" t="n">
        <f aca="false">березень!I150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2892.96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березень!B151</f>
        <v>Кістрінь Л.П.</v>
      </c>
      <c r="C151" s="18" t="str">
        <f aca="false">березень!C151</f>
        <v>40143</v>
      </c>
      <c r="D151" s="19" t="n">
        <f aca="false">березень!P151</f>
        <v>4797.21</v>
      </c>
      <c r="E151" s="19" t="n">
        <f aca="false">березень!Q151</f>
        <v>0</v>
      </c>
      <c r="F151" s="20" t="n">
        <f aca="false">березень!F151</f>
        <v>0</v>
      </c>
      <c r="G151" s="21" t="n">
        <f aca="false">березень!G151</f>
        <v>65.2</v>
      </c>
      <c r="H151" s="21" t="n">
        <f aca="false">березень!H151</f>
        <v>0</v>
      </c>
      <c r="I151" s="22" t="n">
        <f aca="false">березень!I151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5064.53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березень!B152</f>
        <v>Козьміна І.В.</v>
      </c>
      <c r="C152" s="18" t="str">
        <f aca="false">березень!C152</f>
        <v>50144</v>
      </c>
      <c r="D152" s="19" t="n">
        <f aca="false">березень!P152</f>
        <v>794.22</v>
      </c>
      <c r="E152" s="19" t="n">
        <f aca="false">березень!Q152</f>
        <v>0</v>
      </c>
      <c r="F152" s="20" t="n">
        <f aca="false">березень!F152</f>
        <v>0</v>
      </c>
      <c r="G152" s="21" t="n">
        <f aca="false">березень!G152</f>
        <v>64.57</v>
      </c>
      <c r="H152" s="21" t="n">
        <f aca="false">березень!H152</f>
        <v>0</v>
      </c>
      <c r="I152" s="22" t="n">
        <f aca="false">березень!I152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1058.96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березень!B153</f>
        <v>Чала С.С.</v>
      </c>
      <c r="C153" s="18" t="str">
        <f aca="false">березень!C153</f>
        <v>50145</v>
      </c>
      <c r="D153" s="19" t="n">
        <f aca="false">березень!P153</f>
        <v>4451.1</v>
      </c>
      <c r="E153" s="19" t="n">
        <f aca="false">березень!Q153</f>
        <v>0</v>
      </c>
      <c r="F153" s="20" t="n">
        <f aca="false">березень!F153</f>
        <v>0</v>
      </c>
      <c r="G153" s="21" t="n">
        <f aca="false">березень!G153</f>
        <v>48.7</v>
      </c>
      <c r="H153" s="21" t="n">
        <f aca="false">березень!H153</f>
        <v>0</v>
      </c>
      <c r="I153" s="22" t="n">
        <f aca="false">березень!I153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4650.77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березень!B154</f>
        <v>Свєтайлова І.М.</v>
      </c>
      <c r="C154" s="18" t="str">
        <f aca="false">березень!C154</f>
        <v>50146</v>
      </c>
      <c r="D154" s="19" t="n">
        <f aca="false">березень!P154</f>
        <v>2014.74</v>
      </c>
      <c r="E154" s="19" t="n">
        <f aca="false">березень!Q154</f>
        <v>0</v>
      </c>
      <c r="F154" s="20" t="n">
        <f aca="false">березень!F154</f>
        <v>0</v>
      </c>
      <c r="G154" s="21" t="n">
        <f aca="false">березень!G154</f>
        <v>35.1</v>
      </c>
      <c r="H154" s="21" t="n">
        <f aca="false">березень!H154</f>
        <v>0</v>
      </c>
      <c r="I154" s="22" t="n">
        <f aca="false">березень!I154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2158.65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березень!B155</f>
        <v>Неделько Д.І.</v>
      </c>
      <c r="C155" s="18" t="str">
        <f aca="false">березень!C155</f>
        <v>50147</v>
      </c>
      <c r="D155" s="19" t="n">
        <f aca="false">березень!P155</f>
        <v>0</v>
      </c>
      <c r="E155" s="19" t="n">
        <f aca="false">березень!Q155</f>
        <v>219.64</v>
      </c>
      <c r="F155" s="20" t="n">
        <f aca="false">березень!F155</f>
        <v>0</v>
      </c>
      <c r="G155" s="21" t="n">
        <f aca="false">березень!G155</f>
        <v>53.57</v>
      </c>
      <c r="H155" s="21" t="n">
        <f aca="false">березень!H155</f>
        <v>0</v>
      </c>
      <c r="I155" s="22" t="n">
        <f aca="false">березень!I155</f>
        <v>4.1</v>
      </c>
      <c r="J155" s="23" t="n">
        <f aca="false">ROUND(G155*I155,2)</f>
        <v>219.64</v>
      </c>
      <c r="K155" s="19"/>
      <c r="L155" s="19" t="n">
        <v>219.64</v>
      </c>
      <c r="M155" s="19"/>
      <c r="N155" s="19" t="n">
        <f aca="false">ROUND((G155*I155)-K155-L155-M155,2)</f>
        <v>-0</v>
      </c>
      <c r="O155" s="19"/>
      <c r="P155" s="25" t="n">
        <f aca="false">IF(D155=0,IF((N155-E155-O155)&gt;0,(N155-E155-O155),0),IF((D155+N155-O155)&gt;0,(D155+N155-O155),0))</f>
        <v>0</v>
      </c>
      <c r="Q155" s="25" t="n">
        <f aca="false">IF(E155=0,IF((D155+N155-O155)&lt;0,ABS(D155+N155-O155),0),IF((N155-E155-O155)&lt;0,ABS(N155-E155-O155),0))</f>
        <v>219.64</v>
      </c>
    </row>
    <row r="156" customFormat="false" ht="15" hidden="false" customHeight="false" outlineLevel="0" collapsed="false">
      <c r="A156" s="17" t="s">
        <v>464</v>
      </c>
      <c r="B156" s="18" t="str">
        <f aca="false">березень!B156</f>
        <v>Самойленко Л.К.</v>
      </c>
      <c r="C156" s="18" t="str">
        <f aca="false">березень!C156</f>
        <v>50148</v>
      </c>
      <c r="D156" s="19" t="n">
        <f aca="false">березень!P156</f>
        <v>0</v>
      </c>
      <c r="E156" s="19" t="n">
        <f aca="false">березень!Q156</f>
        <v>842.91</v>
      </c>
      <c r="F156" s="20" t="n">
        <f aca="false">березень!F156</f>
        <v>0</v>
      </c>
      <c r="G156" s="21" t="n">
        <f aca="false">березень!G156</f>
        <v>65.7</v>
      </c>
      <c r="H156" s="21" t="n">
        <f aca="false">березень!H156</f>
        <v>0</v>
      </c>
      <c r="I156" s="22" t="n">
        <f aca="false">березень!I156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879.56</v>
      </c>
    </row>
    <row r="157" customFormat="false" ht="15" hidden="false" customHeight="false" outlineLevel="0" collapsed="false">
      <c r="A157" s="17" t="s">
        <v>467</v>
      </c>
      <c r="B157" s="18" t="str">
        <f aca="false">березень!B157</f>
        <v>Павлов Ю.В.</v>
      </c>
      <c r="C157" s="18" t="str">
        <f aca="false">березень!C157</f>
        <v>50149</v>
      </c>
      <c r="D157" s="19" t="n">
        <f aca="false">березень!P157</f>
        <v>2162.08</v>
      </c>
      <c r="E157" s="19" t="n">
        <f aca="false">березень!Q157</f>
        <v>0</v>
      </c>
      <c r="F157" s="20" t="n">
        <f aca="false">березень!F157</f>
        <v>0</v>
      </c>
      <c r="G157" s="21" t="n">
        <f aca="false">березень!G157</f>
        <v>49.78</v>
      </c>
      <c r="H157" s="21" t="n">
        <f aca="false">березень!H157</f>
        <v>0</v>
      </c>
      <c r="I157" s="22" t="n">
        <f aca="false">березень!I157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2366.18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березень!B158</f>
        <v>Коваленко Т.М.</v>
      </c>
      <c r="C158" s="18" t="str">
        <f aca="false">березень!C158</f>
        <v>50150</v>
      </c>
      <c r="D158" s="19" t="n">
        <f aca="false">березень!P158</f>
        <v>2152.5</v>
      </c>
      <c r="E158" s="19" t="n">
        <f aca="false">березень!Q158</f>
        <v>0</v>
      </c>
      <c r="F158" s="20" t="n">
        <f aca="false">березень!F158</f>
        <v>0</v>
      </c>
      <c r="G158" s="21" t="n">
        <f aca="false">березень!G158</f>
        <v>35</v>
      </c>
      <c r="H158" s="21" t="n">
        <f aca="false">березень!H158</f>
        <v>0</v>
      </c>
      <c r="I158" s="22" t="n">
        <f aca="false">березень!I158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2296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березень!B159</f>
        <v>Рощенко Л.Б.</v>
      </c>
      <c r="C159" s="18" t="str">
        <f aca="false">березень!C159</f>
        <v>50151</v>
      </c>
      <c r="D159" s="19" t="n">
        <f aca="false">березень!P159</f>
        <v>2795.48</v>
      </c>
      <c r="E159" s="19" t="n">
        <f aca="false">березень!Q159</f>
        <v>0</v>
      </c>
      <c r="F159" s="20" t="n">
        <f aca="false">березень!F159</f>
        <v>0</v>
      </c>
      <c r="G159" s="21" t="n">
        <f aca="false">березень!G159</f>
        <v>62.08</v>
      </c>
      <c r="H159" s="21" t="n">
        <f aca="false">березень!H159</f>
        <v>0</v>
      </c>
      <c r="I159" s="22" t="n">
        <f aca="false">березень!I159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 t="n">
        <v>1300</v>
      </c>
      <c r="P159" s="25" t="n">
        <f aca="false">IF(D159=0,IF((N159-E159-O159)&gt;0,(N159-E159-O159),0),IF((D159+N159-O159)&gt;0,(D159+N159-O159),0))</f>
        <v>1750.01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березень!B160</f>
        <v>Галушко С.Т.</v>
      </c>
      <c r="C160" s="18" t="str">
        <f aca="false">березень!C160</f>
        <v>50152</v>
      </c>
      <c r="D160" s="19" t="n">
        <f aca="false">березень!P160</f>
        <v>270.03</v>
      </c>
      <c r="E160" s="19" t="n">
        <f aca="false">березень!Q160</f>
        <v>0</v>
      </c>
      <c r="F160" s="20" t="n">
        <f aca="false">березень!F160</f>
        <v>0</v>
      </c>
      <c r="G160" s="21" t="n">
        <f aca="false">березень!G160</f>
        <v>65.86</v>
      </c>
      <c r="H160" s="21" t="n">
        <f aca="false">березень!H160</f>
        <v>0</v>
      </c>
      <c r="I160" s="22" t="n">
        <f aca="false">березень!I160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 t="n">
        <v>540.06</v>
      </c>
      <c r="P160" s="25" t="n">
        <f aca="false">IF(D160=0,IF((N160-E160-O160)&gt;0,(N160-E160-O160),0),IF((D160+N160-O160)&gt;0,(D160+N160-O160),0))</f>
        <v>0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березень!B161</f>
        <v>Наумова Л.Я.</v>
      </c>
      <c r="C161" s="18" t="str">
        <f aca="false">березень!C161</f>
        <v>50153</v>
      </c>
      <c r="D161" s="19" t="n">
        <f aca="false">березень!P161</f>
        <v>2616</v>
      </c>
      <c r="E161" s="19" t="n">
        <f aca="false">березень!Q161</f>
        <v>0</v>
      </c>
      <c r="F161" s="20" t="n">
        <f aca="false">березень!F161</f>
        <v>0</v>
      </c>
      <c r="G161" s="21" t="n">
        <f aca="false">березень!G161</f>
        <v>49.95</v>
      </c>
      <c r="H161" s="21" t="n">
        <f aca="false">березень!H161</f>
        <v>0</v>
      </c>
      <c r="I161" s="22" t="n">
        <f aca="false">березень!I161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2820.8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березень!B162</f>
        <v>Грєк В.С.</v>
      </c>
      <c r="C162" s="18" t="str">
        <f aca="false">березень!C162</f>
        <v>50154</v>
      </c>
      <c r="D162" s="19" t="n">
        <f aca="false">березень!P162</f>
        <v>272.43</v>
      </c>
      <c r="E162" s="19" t="n">
        <f aca="false">березень!Q162</f>
        <v>0</v>
      </c>
      <c r="F162" s="20" t="n">
        <f aca="false">березень!F162</f>
        <v>0</v>
      </c>
      <c r="G162" s="21" t="n">
        <f aca="false">березень!G162</f>
        <v>33.9</v>
      </c>
      <c r="H162" s="21" t="n">
        <f aca="false">березень!H162</f>
        <v>0</v>
      </c>
      <c r="I162" s="22" t="n">
        <f aca="false">березень!I162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411.42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березень!B163</f>
        <v>Пермінов О.А.</v>
      </c>
      <c r="C163" s="18" t="str">
        <f aca="false">березень!C163</f>
        <v>50155</v>
      </c>
      <c r="D163" s="19" t="n">
        <f aca="false">березень!P163</f>
        <v>0</v>
      </c>
      <c r="E163" s="19" t="n">
        <f aca="false">березень!Q163</f>
        <v>27.0799999999995</v>
      </c>
      <c r="F163" s="20" t="n">
        <f aca="false">березень!F163</f>
        <v>0</v>
      </c>
      <c r="G163" s="21" t="n">
        <f aca="false">березень!G163</f>
        <v>62.43</v>
      </c>
      <c r="H163" s="21" t="n">
        <f aca="false">березень!H163</f>
        <v>0</v>
      </c>
      <c r="I163" s="22" t="n">
        <f aca="false">березень!I163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228.880000000001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березень!B164</f>
        <v>Рябчук Л.П.</v>
      </c>
      <c r="C164" s="18" t="str">
        <f aca="false">березень!C164</f>
        <v>50156</v>
      </c>
      <c r="D164" s="19" t="n">
        <f aca="false">березень!P164</f>
        <v>1752.4</v>
      </c>
      <c r="E164" s="19" t="n">
        <f aca="false">березень!Q164</f>
        <v>0</v>
      </c>
      <c r="F164" s="20" t="n">
        <f aca="false">березень!F164</f>
        <v>0</v>
      </c>
      <c r="G164" s="21" t="n">
        <f aca="false">березень!G164</f>
        <v>64.8</v>
      </c>
      <c r="H164" s="21" t="n">
        <f aca="false">березень!H164</f>
        <v>0</v>
      </c>
      <c r="I164" s="22" t="n">
        <f aca="false">березень!I164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 t="n">
        <v>270</v>
      </c>
      <c r="P164" s="25" t="n">
        <f aca="false">IF(D164=0,IF((N164-E164-O164)&gt;0,(N164-E164-O164),0),IF((D164+N164-O164)&gt;0,(D164+N164-O164),0))</f>
        <v>1748.08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березень!B165</f>
        <v>Копасова Л.Б.</v>
      </c>
      <c r="C165" s="18" t="str">
        <f aca="false">березень!C165</f>
        <v>50157</v>
      </c>
      <c r="D165" s="19" t="n">
        <f aca="false">березень!P165</f>
        <v>2019.22</v>
      </c>
      <c r="E165" s="19" t="n">
        <f aca="false">березень!Q165</f>
        <v>0</v>
      </c>
      <c r="F165" s="20" t="n">
        <f aca="false">березень!F165</f>
        <v>0</v>
      </c>
      <c r="G165" s="21" t="n">
        <f aca="false">березень!G165</f>
        <v>49.4</v>
      </c>
      <c r="H165" s="21" t="n">
        <f aca="false">березень!H165</f>
        <v>0</v>
      </c>
      <c r="I165" s="22" t="n">
        <f aca="false">березень!I165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2221.76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березень!B166</f>
        <v>Киричинська Г.Я.</v>
      </c>
      <c r="C166" s="18" t="str">
        <f aca="false">березень!C166</f>
        <v>50158</v>
      </c>
      <c r="D166" s="19" t="n">
        <f aca="false">березень!P166</f>
        <v>876.119999999997</v>
      </c>
      <c r="E166" s="19" t="n">
        <f aca="false">березень!Q166</f>
        <v>0</v>
      </c>
      <c r="F166" s="20" t="n">
        <f aca="false">березень!F166</f>
        <v>0</v>
      </c>
      <c r="G166" s="21" t="n">
        <f aca="false">березень!G166</f>
        <v>35.1</v>
      </c>
      <c r="H166" s="21" t="n">
        <f aca="false">березень!H166</f>
        <v>0</v>
      </c>
      <c r="I166" s="22" t="n">
        <f aca="false">березень!I166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1020.03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березень!B167</f>
        <v>Бутрій К.В.</v>
      </c>
      <c r="C167" s="18" t="str">
        <f aca="false">березень!C167</f>
        <v>50159</v>
      </c>
      <c r="D167" s="19" t="n">
        <f aca="false">березень!P167</f>
        <v>2433.09</v>
      </c>
      <c r="E167" s="19" t="n">
        <f aca="false">березень!Q167</f>
        <v>0</v>
      </c>
      <c r="F167" s="20" t="n">
        <f aca="false">березень!F167</f>
        <v>0</v>
      </c>
      <c r="G167" s="21" t="n">
        <f aca="false">березень!G167</f>
        <v>62.4</v>
      </c>
      <c r="H167" s="21" t="n">
        <f aca="false">березень!H167</f>
        <v>0</v>
      </c>
      <c r="I167" s="22" t="n">
        <f aca="false">березень!I167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2688.93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березень!B168</f>
        <v>Кузьома Г.І.</v>
      </c>
      <c r="C168" s="18" t="str">
        <f aca="false">березень!C168</f>
        <v>50160</v>
      </c>
      <c r="D168" s="19" t="n">
        <f aca="false">березень!P168</f>
        <v>0</v>
      </c>
      <c r="E168" s="19" t="n">
        <f aca="false">березень!Q168</f>
        <v>377.52</v>
      </c>
      <c r="F168" s="20" t="n">
        <f aca="false">березень!F168</f>
        <v>0</v>
      </c>
      <c r="G168" s="21" t="n">
        <f aca="false">березень!G168</f>
        <v>65.5</v>
      </c>
      <c r="H168" s="21" t="n">
        <f aca="false">березень!H168</f>
        <v>0</v>
      </c>
      <c r="I168" s="22" t="n">
        <f aca="false">березень!I168</f>
        <v>4.1</v>
      </c>
      <c r="J168" s="23" t="n">
        <f aca="false">ROUND(G168*I168,2)</f>
        <v>268.55</v>
      </c>
      <c r="K168" s="19"/>
      <c r="L168" s="19" t="n">
        <v>268.55</v>
      </c>
      <c r="M168" s="19"/>
      <c r="N168" s="19" t="n">
        <f aca="false">ROUND((G168*I168)-K168-L168-M168,2)</f>
        <v>0</v>
      </c>
      <c r="O168" s="19"/>
      <c r="P168" s="25" t="n">
        <f aca="false">IF(D168=0,IF((N168-E168-O168)&gt;0,(N168-E168-O168),0),IF((D168+N168-O168)&gt;0,(D168+N168-O168),0))</f>
        <v>0</v>
      </c>
      <c r="Q168" s="25" t="n">
        <f aca="false">IF(E168=0,IF((D168+N168-O168)&lt;0,ABS(D168+N168-O168),0),IF((N168-E168-O168)&lt;0,ABS(N168-E168-O168),0))</f>
        <v>377.52</v>
      </c>
    </row>
    <row r="169" customFormat="false" ht="15" hidden="false" customHeight="false" outlineLevel="0" collapsed="false">
      <c r="A169" s="17" t="s">
        <v>503</v>
      </c>
      <c r="B169" s="18" t="str">
        <f aca="false">березень!B169</f>
        <v>Павленко В.М.</v>
      </c>
      <c r="C169" s="18" t="str">
        <f aca="false">березень!C169</f>
        <v>50161</v>
      </c>
      <c r="D169" s="19" t="n">
        <f aca="false">березень!P169</f>
        <v>3071.25</v>
      </c>
      <c r="E169" s="19" t="n">
        <f aca="false">березень!Q169</f>
        <v>0</v>
      </c>
      <c r="F169" s="20" t="n">
        <f aca="false">березень!F169</f>
        <v>0</v>
      </c>
      <c r="G169" s="21" t="n">
        <f aca="false">березень!G169</f>
        <v>49.94</v>
      </c>
      <c r="H169" s="21" t="n">
        <f aca="false">березень!H169</f>
        <v>0</v>
      </c>
      <c r="I169" s="22" t="n">
        <f aca="false">березень!I169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3276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березень!B170</f>
        <v>Качуровська С.А.</v>
      </c>
      <c r="C170" s="18" t="str">
        <f aca="false">березень!C170</f>
        <v>50162</v>
      </c>
      <c r="D170" s="19" t="n">
        <f aca="false">березень!P170</f>
        <v>0</v>
      </c>
      <c r="E170" s="19" t="n">
        <f aca="false">березень!Q170</f>
        <v>4.84000000000003</v>
      </c>
      <c r="F170" s="20" t="n">
        <f aca="false">березень!F170</f>
        <v>0</v>
      </c>
      <c r="G170" s="21" t="n">
        <f aca="false">березень!G170</f>
        <v>35</v>
      </c>
      <c r="H170" s="21" t="n">
        <f aca="false">березень!H170</f>
        <v>0</v>
      </c>
      <c r="I170" s="22" t="n">
        <f aca="false">березень!I170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/>
      <c r="P170" s="25" t="n">
        <f aca="false">IF(D170=0,IF((N170-E170-O170)&gt;0,(N170-E170-O170),0),IF((D170+N170-O170)&gt;0,(D170+N170-O170),0))</f>
        <v>138.66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березень!B171</f>
        <v>Білецький Б.Г.</v>
      </c>
      <c r="C171" s="18" t="str">
        <f aca="false">березень!C171</f>
        <v>50163</v>
      </c>
      <c r="D171" s="19" t="n">
        <f aca="false">березень!P171</f>
        <v>255.68</v>
      </c>
      <c r="E171" s="19" t="n">
        <f aca="false">березень!Q171</f>
        <v>0</v>
      </c>
      <c r="F171" s="20" t="n">
        <f aca="false">березень!F171</f>
        <v>0</v>
      </c>
      <c r="G171" s="21" t="n">
        <f aca="false">березень!G171</f>
        <v>62.36</v>
      </c>
      <c r="H171" s="21" t="n">
        <f aca="false">березень!H171</f>
        <v>0</v>
      </c>
      <c r="I171" s="22" t="n">
        <f aca="false">березень!I171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березень!B172</f>
        <v>Кузнєцова В.В.</v>
      </c>
      <c r="C172" s="18" t="str">
        <f aca="false">березень!C172</f>
        <v>50164</v>
      </c>
      <c r="D172" s="19" t="n">
        <f aca="false">березень!P172</f>
        <v>1345.48</v>
      </c>
      <c r="E172" s="19" t="n">
        <f aca="false">березень!Q172</f>
        <v>0</v>
      </c>
      <c r="F172" s="20" t="n">
        <f aca="false">березень!F172</f>
        <v>0</v>
      </c>
      <c r="G172" s="21" t="n">
        <f aca="false">березень!G172</f>
        <v>65.63</v>
      </c>
      <c r="H172" s="21" t="n">
        <f aca="false">березень!H172</f>
        <v>0</v>
      </c>
      <c r="I172" s="22" t="n">
        <f aca="false">березень!I172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1614.56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березень!B173</f>
        <v>Сидоренко Б.Й.</v>
      </c>
      <c r="C173" s="18" t="str">
        <f aca="false">березень!C173</f>
        <v>50165</v>
      </c>
      <c r="D173" s="19" t="n">
        <f aca="false">березень!P173</f>
        <v>9440.21</v>
      </c>
      <c r="E173" s="19" t="n">
        <f aca="false">березень!Q173</f>
        <v>0</v>
      </c>
      <c r="F173" s="20" t="n">
        <f aca="false">березень!F173</f>
        <v>0</v>
      </c>
      <c r="G173" s="21" t="n">
        <f aca="false">березень!G173</f>
        <v>49.8</v>
      </c>
      <c r="H173" s="21" t="n">
        <f aca="false">березень!H173</f>
        <v>0</v>
      </c>
      <c r="I173" s="22" t="n">
        <f aca="false">березень!I173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9644.39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березень!B174</f>
        <v>Кузнєцова О.А.</v>
      </c>
      <c r="C174" s="18" t="str">
        <f aca="false">березень!C174</f>
        <v>50166</v>
      </c>
      <c r="D174" s="19" t="n">
        <f aca="false">березень!P174</f>
        <v>574</v>
      </c>
      <c r="E174" s="19" t="n">
        <f aca="false">березень!Q174</f>
        <v>0</v>
      </c>
      <c r="F174" s="20" t="n">
        <f aca="false">березень!F174</f>
        <v>0</v>
      </c>
      <c r="G174" s="21" t="n">
        <f aca="false">березень!G174</f>
        <v>35</v>
      </c>
      <c r="H174" s="21" t="n">
        <f aca="false">березень!H174</f>
        <v>0</v>
      </c>
      <c r="I174" s="22" t="n">
        <f aca="false">березень!I174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717.5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березень!B175</f>
        <v>Васильєва О.Г.</v>
      </c>
      <c r="C175" s="18" t="str">
        <f aca="false">березень!C175</f>
        <v>50167</v>
      </c>
      <c r="D175" s="19" t="n">
        <f aca="false">березень!P175</f>
        <v>3777.64</v>
      </c>
      <c r="E175" s="19" t="n">
        <f aca="false">березень!Q175</f>
        <v>0</v>
      </c>
      <c r="F175" s="20" t="n">
        <f aca="false">березень!F175</f>
        <v>0</v>
      </c>
      <c r="G175" s="21" t="n">
        <f aca="false">березень!G175</f>
        <v>61.7</v>
      </c>
      <c r="H175" s="21" t="n">
        <f aca="false">березень!H175</f>
        <v>0</v>
      </c>
      <c r="I175" s="22" t="n">
        <f aca="false">березень!I175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4030.61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березень!B176</f>
        <v>Кудінова Л.М.</v>
      </c>
      <c r="C176" s="18" t="str">
        <f aca="false">березень!C176</f>
        <v>50168</v>
      </c>
      <c r="D176" s="19" t="n">
        <f aca="false">березень!P176</f>
        <v>1049.79</v>
      </c>
      <c r="E176" s="19" t="n">
        <f aca="false">березень!Q176</f>
        <v>0</v>
      </c>
      <c r="F176" s="20" t="n">
        <f aca="false">березень!F176</f>
        <v>0</v>
      </c>
      <c r="G176" s="21" t="n">
        <f aca="false">березень!G176</f>
        <v>65.58</v>
      </c>
      <c r="H176" s="21" t="n">
        <f aca="false">березень!H176</f>
        <v>0</v>
      </c>
      <c r="I176" s="22" t="n">
        <f aca="false">березень!I176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1318.67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березень!B177</f>
        <v>Спільний І.В.</v>
      </c>
      <c r="C177" s="18" t="str">
        <f aca="false">березень!C177</f>
        <v>50169</v>
      </c>
      <c r="D177" s="19" t="n">
        <f aca="false">березень!P177</f>
        <v>2957.12</v>
      </c>
      <c r="E177" s="19" t="n">
        <f aca="false">березень!Q177</f>
        <v>0</v>
      </c>
      <c r="F177" s="20" t="n">
        <f aca="false">березень!F177</f>
        <v>0</v>
      </c>
      <c r="G177" s="21" t="n">
        <f aca="false">березень!G177</f>
        <v>49.5</v>
      </c>
      <c r="H177" s="21" t="n">
        <f aca="false">березень!H177</f>
        <v>0</v>
      </c>
      <c r="I177" s="22" t="n">
        <f aca="false">березень!I177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 t="n">
        <v>4000</v>
      </c>
      <c r="P177" s="25" t="n">
        <f aca="false">IF(D177=0,IF((N177-E177-O177)&gt;0,(N177-E177-O177),0),IF((D177+N177-O177)&gt;0,(D177+N177-O177),0))</f>
        <v>0</v>
      </c>
      <c r="Q177" s="25" t="n">
        <f aca="false">IF(E177=0,IF((D177+N177-O177)&lt;0,ABS(D177+N177-O177),0),IF((N177-E177-O177)&lt;0,ABS(N177-E177-O177),0))</f>
        <v>839.93</v>
      </c>
    </row>
    <row r="178" customFormat="false" ht="15" hidden="false" customHeight="false" outlineLevel="0" collapsed="false">
      <c r="A178" s="17" t="s">
        <v>530</v>
      </c>
      <c r="B178" s="18" t="str">
        <f aca="false">березень!B178</f>
        <v>Кружаліна Т.А.</v>
      </c>
      <c r="C178" s="18" t="str">
        <f aca="false">березень!C178</f>
        <v>50170</v>
      </c>
      <c r="D178" s="19" t="n">
        <f aca="false">березень!P178</f>
        <v>1158.8</v>
      </c>
      <c r="E178" s="19" t="n">
        <f aca="false">березень!Q178</f>
        <v>0</v>
      </c>
      <c r="F178" s="20" t="n">
        <f aca="false">березень!F178</f>
        <v>0</v>
      </c>
      <c r="G178" s="21" t="n">
        <f aca="false">березень!G178</f>
        <v>35.1</v>
      </c>
      <c r="H178" s="21" t="n">
        <f aca="false">березень!H178</f>
        <v>0</v>
      </c>
      <c r="I178" s="22" t="n">
        <f aca="false">березень!I178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 t="n">
        <v>1158.8</v>
      </c>
      <c r="P178" s="25" t="n">
        <f aca="false">IF(D178=0,IF((N178-E178-O178)&gt;0,(N178-E178-O178),0),IF((D178+N178-O178)&gt;0,(D178+N178-O178),0))</f>
        <v>143.910000000001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березень!B179</f>
        <v>Григоренко Н.Е.</v>
      </c>
      <c r="C179" s="18" t="str">
        <f aca="false">березень!C179</f>
        <v>50171</v>
      </c>
      <c r="D179" s="19" t="n">
        <f aca="false">березень!P179</f>
        <v>2768.02</v>
      </c>
      <c r="E179" s="19" t="n">
        <f aca="false">березень!Q179</f>
        <v>0</v>
      </c>
      <c r="F179" s="20" t="n">
        <f aca="false">березень!F179</f>
        <v>0</v>
      </c>
      <c r="G179" s="21" t="n">
        <f aca="false">березень!G179</f>
        <v>62.91</v>
      </c>
      <c r="H179" s="21" t="n">
        <f aca="false">березень!H179</f>
        <v>0</v>
      </c>
      <c r="I179" s="22" t="n">
        <f aca="false">березень!I179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3025.95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березень!B180</f>
        <v>Бондарчук В.В.</v>
      </c>
      <c r="C180" s="18" t="str">
        <f aca="false">березень!C180</f>
        <v>50172</v>
      </c>
      <c r="D180" s="19" t="n">
        <f aca="false">березень!P180</f>
        <v>0</v>
      </c>
      <c r="E180" s="19" t="n">
        <f aca="false">березень!Q180</f>
        <v>812.159999999999</v>
      </c>
      <c r="F180" s="20" t="n">
        <f aca="false">березень!F180</f>
        <v>0</v>
      </c>
      <c r="G180" s="21" t="n">
        <f aca="false">березень!G180</f>
        <v>66.03</v>
      </c>
      <c r="H180" s="21" t="n">
        <f aca="false">березень!H180</f>
        <v>0</v>
      </c>
      <c r="I180" s="22" t="n">
        <f aca="false">березень!I180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541.439999999999</v>
      </c>
    </row>
    <row r="181" customFormat="false" ht="15" hidden="false" customHeight="false" outlineLevel="0" collapsed="false">
      <c r="A181" s="17" t="s">
        <v>539</v>
      </c>
      <c r="B181" s="18" t="str">
        <f aca="false">березень!B181</f>
        <v>Рябініна Н.І.</v>
      </c>
      <c r="C181" s="18" t="str">
        <f aca="false">березень!C181</f>
        <v>50173</v>
      </c>
      <c r="D181" s="19" t="n">
        <f aca="false">березень!P181</f>
        <v>2364.26</v>
      </c>
      <c r="E181" s="19" t="n">
        <f aca="false">березень!Q181</f>
        <v>0</v>
      </c>
      <c r="F181" s="20" t="n">
        <f aca="false">березень!F181</f>
        <v>0</v>
      </c>
      <c r="G181" s="21" t="n">
        <f aca="false">березень!G181</f>
        <v>49.9</v>
      </c>
      <c r="H181" s="21" t="n">
        <f aca="false">березень!H181</f>
        <v>0</v>
      </c>
      <c r="I181" s="22" t="n">
        <f aca="false">березень!I181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 t="n">
        <v>500</v>
      </c>
      <c r="P181" s="25" t="n">
        <f aca="false">IF(D181=0,IF((N181-E181-O181)&gt;0,(N181-E181-O181),0),IF((D181+N181-O181)&gt;0,(D181+N181-O181),0))</f>
        <v>2068.85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березень!B182</f>
        <v>Шапіро В.І.</v>
      </c>
      <c r="C182" s="18" t="str">
        <f aca="false">березень!C182</f>
        <v>50174</v>
      </c>
      <c r="D182" s="19" t="n">
        <f aca="false">березень!P182</f>
        <v>143.17</v>
      </c>
      <c r="E182" s="19" t="n">
        <f aca="false">березень!Q182</f>
        <v>0</v>
      </c>
      <c r="F182" s="20" t="n">
        <f aca="false">березень!F182</f>
        <v>0</v>
      </c>
      <c r="G182" s="21" t="n">
        <f aca="false">березень!G182</f>
        <v>34.92</v>
      </c>
      <c r="H182" s="21" t="n">
        <f aca="false">березень!H182</f>
        <v>0</v>
      </c>
      <c r="I182" s="22" t="n">
        <f aca="false">березень!I182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березень!B183</f>
        <v>Крамаренко О.О.</v>
      </c>
      <c r="C183" s="18" t="str">
        <f aca="false">березень!C183</f>
        <v>50175</v>
      </c>
      <c r="D183" s="19" t="n">
        <f aca="false">березень!P183</f>
        <v>1055.39</v>
      </c>
      <c r="E183" s="19" t="n">
        <f aca="false">березень!Q183</f>
        <v>0</v>
      </c>
      <c r="F183" s="20" t="n">
        <f aca="false">березень!F183</f>
        <v>0</v>
      </c>
      <c r="G183" s="21" t="n">
        <f aca="false">березень!G183</f>
        <v>61.91</v>
      </c>
      <c r="H183" s="21" t="n">
        <f aca="false">березень!H183</f>
        <v>0</v>
      </c>
      <c r="I183" s="22" t="n">
        <f aca="false">березень!I183</f>
        <v>4.1</v>
      </c>
      <c r="J183" s="23" t="n">
        <f aca="false">ROUND(G183*I183,2)</f>
        <v>253.83</v>
      </c>
      <c r="K183" s="19"/>
      <c r="L183" s="19" t="n">
        <v>253.83</v>
      </c>
      <c r="M183" s="19"/>
      <c r="N183" s="19" t="n">
        <f aca="false">ROUND((G183*I183)-K183-L183-M183,2)</f>
        <v>0</v>
      </c>
      <c r="O183" s="19"/>
      <c r="P183" s="25" t="n">
        <f aca="false">IF(D183=0,IF((N183-E183-O183)&gt;0,(N183-E183-O183),0),IF((D183+N183-O183)&gt;0,(D183+N183-O183),0))</f>
        <v>1055.39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березень!B184</f>
        <v>Свиридов В.Ф.</v>
      </c>
      <c r="C184" s="18" t="str">
        <f aca="false">березень!C184</f>
        <v>50176</v>
      </c>
      <c r="D184" s="19" t="n">
        <f aca="false">березень!P184</f>
        <v>3259.15</v>
      </c>
      <c r="E184" s="19" t="n">
        <f aca="false">березень!Q184</f>
        <v>0</v>
      </c>
      <c r="F184" s="20" t="n">
        <f aca="false">березень!F184</f>
        <v>0</v>
      </c>
      <c r="G184" s="21" t="n">
        <f aca="false">березень!G184</f>
        <v>65.15</v>
      </c>
      <c r="H184" s="21" t="n">
        <f aca="false">березень!H184</f>
        <v>0</v>
      </c>
      <c r="I184" s="22" t="n">
        <f aca="false">березень!I184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3526.27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березень!B185</f>
        <v>Домацький В.А.</v>
      </c>
      <c r="C185" s="18" t="str">
        <f aca="false">березень!C185</f>
        <v>50177</v>
      </c>
      <c r="D185" s="19" t="n">
        <f aca="false">березень!P185</f>
        <v>2254.98</v>
      </c>
      <c r="E185" s="19" t="n">
        <f aca="false">березень!Q185</f>
        <v>0</v>
      </c>
      <c r="F185" s="20" t="n">
        <f aca="false">березень!F185</f>
        <v>0</v>
      </c>
      <c r="G185" s="21" t="n">
        <f aca="false">березень!G185</f>
        <v>50</v>
      </c>
      <c r="H185" s="21" t="n">
        <f aca="false">березень!H185</f>
        <v>0</v>
      </c>
      <c r="I185" s="22" t="n">
        <f aca="false">березень!I185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2459.98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березень!B186</f>
        <v>Шаповалова І.А.</v>
      </c>
      <c r="C186" s="18" t="str">
        <f aca="false">березень!C186</f>
        <v>50178</v>
      </c>
      <c r="D186" s="19" t="n">
        <f aca="false">березень!P186</f>
        <v>1438.38</v>
      </c>
      <c r="E186" s="19" t="n">
        <f aca="false">березень!Q186</f>
        <v>0</v>
      </c>
      <c r="F186" s="20" t="n">
        <f aca="false">березень!F186</f>
        <v>0</v>
      </c>
      <c r="G186" s="21" t="n">
        <f aca="false">березень!G186</f>
        <v>35.1</v>
      </c>
      <c r="H186" s="21" t="n">
        <f aca="false">березень!H186</f>
        <v>0</v>
      </c>
      <c r="I186" s="22" t="n">
        <f aca="false">березень!I186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1582.29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березень!B187</f>
        <v>Кононенко О.В.</v>
      </c>
      <c r="C187" s="18" t="str">
        <f aca="false">березень!C187</f>
        <v>50179</v>
      </c>
      <c r="D187" s="19" t="n">
        <f aca="false">березень!P187</f>
        <v>3800.09</v>
      </c>
      <c r="E187" s="19" t="n">
        <f aca="false">березень!Q187</f>
        <v>0</v>
      </c>
      <c r="F187" s="20" t="n">
        <f aca="false">березень!F187</f>
        <v>0</v>
      </c>
      <c r="G187" s="21" t="n">
        <f aca="false">березень!G187</f>
        <v>61.8</v>
      </c>
      <c r="H187" s="21" t="n">
        <f aca="false">березень!H187</f>
        <v>0</v>
      </c>
      <c r="I187" s="22" t="n">
        <f aca="false">березень!I187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4053.47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березень!B188</f>
        <v>Овчаренко Т.І.</v>
      </c>
      <c r="C188" s="18" t="str">
        <f aca="false">березень!C188</f>
        <v>60180</v>
      </c>
      <c r="D188" s="19" t="n">
        <f aca="false">березень!P188</f>
        <v>275.68</v>
      </c>
      <c r="E188" s="19" t="n">
        <f aca="false">березень!Q188</f>
        <v>0</v>
      </c>
      <c r="F188" s="20" t="n">
        <f aca="false">березень!F188</f>
        <v>0</v>
      </c>
      <c r="G188" s="21" t="n">
        <f aca="false">березень!G188</f>
        <v>71.06</v>
      </c>
      <c r="H188" s="21" t="n">
        <f aca="false">березень!H188</f>
        <v>0</v>
      </c>
      <c r="I188" s="22" t="n">
        <f aca="false">березень!I188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567.03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березень!B189</f>
        <v>Попукайло О.Г.</v>
      </c>
      <c r="C189" s="18" t="str">
        <f aca="false">березень!C189</f>
        <v>60181</v>
      </c>
      <c r="D189" s="19" t="n">
        <f aca="false">березень!P189</f>
        <v>604.56</v>
      </c>
      <c r="E189" s="19" t="n">
        <f aca="false">березень!Q189</f>
        <v>0</v>
      </c>
      <c r="F189" s="20" t="n">
        <f aca="false">березень!F189</f>
        <v>0</v>
      </c>
      <c r="G189" s="21" t="n">
        <f aca="false">березень!G189</f>
        <v>49.15</v>
      </c>
      <c r="H189" s="21" t="n">
        <f aca="false">березень!H189</f>
        <v>0</v>
      </c>
      <c r="I189" s="22" t="n">
        <f aca="false">березень!I189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806.08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березень!B190</f>
        <v>Онищенко А.В.</v>
      </c>
      <c r="C190" s="18" t="str">
        <f aca="false">березень!C190</f>
        <v>60182</v>
      </c>
      <c r="D190" s="19" t="n">
        <f aca="false">березень!P190</f>
        <v>706.03</v>
      </c>
      <c r="E190" s="19" t="n">
        <f aca="false">березень!Q190</f>
        <v>0</v>
      </c>
      <c r="F190" s="20" t="n">
        <f aca="false">березень!F190</f>
        <v>0</v>
      </c>
      <c r="G190" s="21" t="n">
        <f aca="false">березень!G190</f>
        <v>53.72</v>
      </c>
      <c r="H190" s="21" t="n">
        <f aca="false">березень!H190</f>
        <v>0</v>
      </c>
      <c r="I190" s="22" t="n">
        <f aca="false">березень!I190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926.28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березень!B191</f>
        <v>Соколова О.О.</v>
      </c>
      <c r="C191" s="18" t="str">
        <f aca="false">березень!C191</f>
        <v>60183</v>
      </c>
      <c r="D191" s="19" t="n">
        <f aca="false">березень!P191</f>
        <v>269.059999999999</v>
      </c>
      <c r="E191" s="19" t="n">
        <f aca="false">березень!Q191</f>
        <v>0</v>
      </c>
      <c r="F191" s="20" t="n">
        <f aca="false">березень!F191</f>
        <v>0</v>
      </c>
      <c r="G191" s="21" t="n">
        <f aca="false">березень!G191</f>
        <v>68.97</v>
      </c>
      <c r="H191" s="21" t="n">
        <f aca="false">березень!H191</f>
        <v>0</v>
      </c>
      <c r="I191" s="22" t="n">
        <f aca="false">березень!I191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551.839999999999</v>
      </c>
      <c r="Q191" s="25" t="n">
        <f aca="false">IF(E191=0,IF((D191+N191-O191)&lt;0,ABS(D191+N191-O191),0),IF((N191-E191-O191)&lt;0,ABS(N191-E191-O191),0))</f>
        <v>0</v>
      </c>
    </row>
    <row r="192" customFormat="false" ht="15" hidden="false" customHeight="false" outlineLevel="0" collapsed="false">
      <c r="A192" s="17" t="s">
        <v>572</v>
      </c>
      <c r="B192" s="18" t="str">
        <f aca="false">березень!B192</f>
        <v>Ільіна В.П.</v>
      </c>
      <c r="C192" s="18" t="str">
        <f aca="false">березень!C192</f>
        <v>60184</v>
      </c>
      <c r="D192" s="19" t="n">
        <f aca="false">березень!P192</f>
        <v>4701.89</v>
      </c>
      <c r="E192" s="19" t="n">
        <f aca="false">березень!Q192</f>
        <v>0</v>
      </c>
      <c r="F192" s="20" t="n">
        <f aca="false">березень!F192</f>
        <v>0</v>
      </c>
      <c r="G192" s="21" t="n">
        <f aca="false">березень!G192</f>
        <v>49.86</v>
      </c>
      <c r="H192" s="21" t="n">
        <f aca="false">березень!H192</f>
        <v>0</v>
      </c>
      <c r="I192" s="22" t="n">
        <f aca="false">березень!I192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4906.32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березень!B193</f>
        <v>Чешок Г.К.</v>
      </c>
      <c r="C193" s="18" t="str">
        <f aca="false">березень!C193</f>
        <v>60185</v>
      </c>
      <c r="D193" s="19" t="n">
        <f aca="false">березень!P193</f>
        <v>3651.96</v>
      </c>
      <c r="E193" s="19" t="n">
        <f aca="false">березень!Q193</f>
        <v>0</v>
      </c>
      <c r="F193" s="20" t="n">
        <f aca="false">березень!F193</f>
        <v>0</v>
      </c>
      <c r="G193" s="21" t="n">
        <f aca="false">березень!G193</f>
        <v>60.86</v>
      </c>
      <c r="H193" s="21" t="n">
        <f aca="false">березень!H193</f>
        <v>0</v>
      </c>
      <c r="I193" s="22" t="n">
        <f aca="false">березень!I193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3901.49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березень!B194</f>
        <v>Бердников В.А.</v>
      </c>
      <c r="C194" s="18" t="str">
        <f aca="false">березень!C194</f>
        <v>60186</v>
      </c>
      <c r="D194" s="19" t="n">
        <f aca="false">березень!P194</f>
        <v>1370.67</v>
      </c>
      <c r="E194" s="19" t="n">
        <f aca="false">березень!Q194</f>
        <v>0</v>
      </c>
      <c r="F194" s="20" t="n">
        <f aca="false">березень!F194</f>
        <v>0</v>
      </c>
      <c r="G194" s="21" t="n">
        <f aca="false">березень!G194</f>
        <v>66.75</v>
      </c>
      <c r="H194" s="21" t="n">
        <f aca="false">березень!H194</f>
        <v>0</v>
      </c>
      <c r="I194" s="22" t="n">
        <f aca="false">березень!I194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1644.35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березень!B195</f>
        <v>Щербак Н.В.</v>
      </c>
      <c r="C195" s="18" t="str">
        <f aca="false">березень!C195</f>
        <v>60187</v>
      </c>
      <c r="D195" s="19" t="n">
        <f aca="false">березень!P195</f>
        <v>3269.21</v>
      </c>
      <c r="E195" s="19" t="n">
        <f aca="false">березень!Q195</f>
        <v>0</v>
      </c>
      <c r="F195" s="20" t="n">
        <f aca="false">березень!F195</f>
        <v>0</v>
      </c>
      <c r="G195" s="21" t="n">
        <f aca="false">березень!G195</f>
        <v>72.49</v>
      </c>
      <c r="H195" s="21" t="n">
        <f aca="false">березень!H195</f>
        <v>0</v>
      </c>
      <c r="I195" s="22" t="n">
        <f aca="false">березень!I195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3566.42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березень!B196</f>
        <v>Рожков Ю.М.</v>
      </c>
      <c r="C196" s="18" t="str">
        <f aca="false">березень!C196</f>
        <v>60188</v>
      </c>
      <c r="D196" s="19" t="n">
        <f aca="false">березень!P196</f>
        <v>584.24</v>
      </c>
      <c r="E196" s="19" t="n">
        <f aca="false">березень!Q196</f>
        <v>0</v>
      </c>
      <c r="F196" s="20" t="n">
        <f aca="false">березень!F196</f>
        <v>0</v>
      </c>
      <c r="G196" s="21" t="n">
        <f aca="false">березень!G196</f>
        <v>49.8</v>
      </c>
      <c r="H196" s="21" t="n">
        <f aca="false">березень!H196</f>
        <v>0</v>
      </c>
      <c r="I196" s="22" t="n">
        <f aca="false">березень!I196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788.42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березень!B197</f>
        <v>Кобець В.В.</v>
      </c>
      <c r="C197" s="18" t="str">
        <f aca="false">березень!C197</f>
        <v>60189</v>
      </c>
      <c r="D197" s="19" t="n">
        <f aca="false">березень!P197</f>
        <v>1801.83</v>
      </c>
      <c r="E197" s="19" t="n">
        <f aca="false">березень!Q197</f>
        <v>0</v>
      </c>
      <c r="F197" s="20" t="n">
        <f aca="false">березень!F197</f>
        <v>0</v>
      </c>
      <c r="G197" s="21" t="n">
        <f aca="false">березень!G197</f>
        <v>62.36</v>
      </c>
      <c r="H197" s="21" t="n">
        <f aca="false">березень!H197</f>
        <v>0</v>
      </c>
      <c r="I197" s="22" t="n">
        <f aca="false">березень!I197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2057.51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березень!B198</f>
        <v>Щерба Л.О.</v>
      </c>
      <c r="C198" s="18" t="str">
        <f aca="false">березень!C198</f>
        <v>60190</v>
      </c>
      <c r="D198" s="19" t="n">
        <f aca="false">березень!P198</f>
        <v>3472.95</v>
      </c>
      <c r="E198" s="19" t="n">
        <f aca="false">березень!Q198</f>
        <v>0</v>
      </c>
      <c r="F198" s="20" t="n">
        <f aca="false">березень!F198</f>
        <v>0</v>
      </c>
      <c r="G198" s="21" t="n">
        <f aca="false">березень!G198</f>
        <v>68.5</v>
      </c>
      <c r="H198" s="21" t="n">
        <f aca="false">березень!H198</f>
        <v>0</v>
      </c>
      <c r="I198" s="22" t="n">
        <f aca="false">березень!I198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3753.8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березень!B199</f>
        <v>Сапунова І.В.</v>
      </c>
      <c r="C199" s="18" t="str">
        <f aca="false">березень!C199</f>
        <v>60191</v>
      </c>
      <c r="D199" s="19" t="n">
        <f aca="false">березень!P199</f>
        <v>1484.56</v>
      </c>
      <c r="E199" s="19" t="n">
        <f aca="false">березень!Q199</f>
        <v>0</v>
      </c>
      <c r="F199" s="20" t="n">
        <f aca="false">березень!F199</f>
        <v>0</v>
      </c>
      <c r="G199" s="21" t="n">
        <f aca="false">березень!G199</f>
        <v>70.42</v>
      </c>
      <c r="H199" s="21" t="n">
        <f aca="false">березень!H199</f>
        <v>0</v>
      </c>
      <c r="I199" s="22" t="n">
        <f aca="false">березень!I199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1773.28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березень!B200</f>
        <v>Саввідіс В.О.</v>
      </c>
      <c r="C200" s="18" t="str">
        <f aca="false">березень!C200</f>
        <v>60192</v>
      </c>
      <c r="D200" s="19" t="n">
        <f aca="false">березень!P200</f>
        <v>3354.33</v>
      </c>
      <c r="E200" s="19" t="n">
        <f aca="false">березень!Q200</f>
        <v>0</v>
      </c>
      <c r="F200" s="20" t="n">
        <f aca="false">березень!F200</f>
        <v>0</v>
      </c>
      <c r="G200" s="21" t="n">
        <f aca="false">березень!G200</f>
        <v>49.7</v>
      </c>
      <c r="H200" s="21" t="n">
        <f aca="false">березень!H200</f>
        <v>0</v>
      </c>
      <c r="I200" s="22" t="n">
        <f aca="false">березень!I200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3558.1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березень!B201</f>
        <v>Кашина Г.І.</v>
      </c>
      <c r="C201" s="18" t="str">
        <f aca="false">березень!C201</f>
        <v>60193</v>
      </c>
      <c r="D201" s="19" t="n">
        <f aca="false">березень!P201</f>
        <v>3593.24</v>
      </c>
      <c r="E201" s="19" t="n">
        <f aca="false">березень!Q201</f>
        <v>0</v>
      </c>
      <c r="F201" s="20" t="n">
        <f aca="false">березень!F201</f>
        <v>0</v>
      </c>
      <c r="G201" s="21" t="n">
        <f aca="false">березень!G201</f>
        <v>62.6</v>
      </c>
      <c r="H201" s="21" t="n">
        <f aca="false">березень!H201</f>
        <v>0</v>
      </c>
      <c r="I201" s="22" t="n">
        <f aca="false">березень!I201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3849.9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березень!B202</f>
        <v>Фадеєва Є.А.</v>
      </c>
      <c r="C202" s="18" t="str">
        <f aca="false">березень!C202</f>
        <v>60194</v>
      </c>
      <c r="D202" s="19" t="n">
        <f aca="false">березень!P202</f>
        <v>2886.4</v>
      </c>
      <c r="E202" s="19" t="n">
        <f aca="false">березень!Q202</f>
        <v>0</v>
      </c>
      <c r="F202" s="20" t="n">
        <f aca="false">березень!F202</f>
        <v>0</v>
      </c>
      <c r="G202" s="21" t="n">
        <f aca="false">березень!G202</f>
        <v>70.4</v>
      </c>
      <c r="H202" s="21" t="n">
        <f aca="false">березень!H202</f>
        <v>0</v>
      </c>
      <c r="I202" s="22" t="n">
        <f aca="false">березень!I202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3175.04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березень!B203</f>
        <v>Бойко О.А.</v>
      </c>
      <c r="C203" s="18" t="str">
        <f aca="false">березень!C203</f>
        <v>60195</v>
      </c>
      <c r="D203" s="19" t="n">
        <f aca="false">березень!P203</f>
        <v>3156.87</v>
      </c>
      <c r="E203" s="19" t="n">
        <f aca="false">березень!Q203</f>
        <v>0</v>
      </c>
      <c r="F203" s="20" t="n">
        <f aca="false">березень!F203</f>
        <v>0</v>
      </c>
      <c r="G203" s="21" t="n">
        <f aca="false">березень!G203</f>
        <v>70.2</v>
      </c>
      <c r="H203" s="21" t="n">
        <f aca="false">березень!H203</f>
        <v>0</v>
      </c>
      <c r="I203" s="22" t="n">
        <f aca="false">березень!I203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3444.69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березень!B204</f>
        <v>Дудник І.А.</v>
      </c>
      <c r="C204" s="18" t="str">
        <f aca="false">березень!C204</f>
        <v>60196</v>
      </c>
      <c r="D204" s="19" t="n">
        <f aca="false">березень!P204</f>
        <v>2303.52</v>
      </c>
      <c r="E204" s="19" t="n">
        <f aca="false">березень!Q204</f>
        <v>0</v>
      </c>
      <c r="F204" s="20" t="n">
        <f aca="false">березень!F204</f>
        <v>0</v>
      </c>
      <c r="G204" s="21" t="n">
        <f aca="false">березень!G204</f>
        <v>49.94</v>
      </c>
      <c r="H204" s="21" t="n">
        <f aca="false">березень!H204</f>
        <v>0</v>
      </c>
      <c r="I204" s="22" t="n">
        <f aca="false">березень!I204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2508.27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березень!B205</f>
        <v>Лебедєва Т.В.</v>
      </c>
      <c r="C205" s="18" t="str">
        <f aca="false">березень!C205</f>
        <v>60197</v>
      </c>
      <c r="D205" s="19" t="n">
        <f aca="false">березень!P205</f>
        <v>1528.01</v>
      </c>
      <c r="E205" s="19" t="n">
        <f aca="false">березень!Q205</f>
        <v>0</v>
      </c>
      <c r="F205" s="20" t="n">
        <f aca="false">березень!F205</f>
        <v>0</v>
      </c>
      <c r="G205" s="21" t="n">
        <f aca="false">березень!G205</f>
        <v>62.3</v>
      </c>
      <c r="H205" s="21" t="n">
        <f aca="false">березень!H205</f>
        <v>0</v>
      </c>
      <c r="I205" s="22" t="n">
        <f aca="false">березень!I205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1783.44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березень!B206</f>
        <v>Криницький Л.С.</v>
      </c>
      <c r="C206" s="18" t="str">
        <f aca="false">березень!C206</f>
        <v>60198</v>
      </c>
      <c r="D206" s="19" t="n">
        <f aca="false">березень!P206</f>
        <v>277.2</v>
      </c>
      <c r="E206" s="19" t="n">
        <f aca="false">березень!Q206</f>
        <v>0</v>
      </c>
      <c r="F206" s="20" t="n">
        <f aca="false">березень!F206</f>
        <v>0</v>
      </c>
      <c r="G206" s="21" t="n">
        <f aca="false">березень!G206</f>
        <v>67.61</v>
      </c>
      <c r="H206" s="21" t="n">
        <f aca="false">березень!H206</f>
        <v>0</v>
      </c>
      <c r="I206" s="22" t="n">
        <f aca="false">березень!I206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 t="n">
        <v>277.2</v>
      </c>
      <c r="P206" s="25" t="n">
        <f aca="false">IF(D206=0,IF((N206-E206-O206)&gt;0,(N206-E206-O206),0),IF((D206+N206-O206)&gt;0,(D206+N206-O206),0))</f>
        <v>277.2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березень!B207</f>
        <v>Сафонов В.В.</v>
      </c>
      <c r="C207" s="18" t="str">
        <f aca="false">березень!C207</f>
        <v>60199</v>
      </c>
      <c r="D207" s="19" t="n">
        <f aca="false">березень!P207</f>
        <v>2783.42</v>
      </c>
      <c r="E207" s="19" t="n">
        <f aca="false">березень!Q207</f>
        <v>0</v>
      </c>
      <c r="F207" s="20" t="n">
        <f aca="false">березень!F207</f>
        <v>0</v>
      </c>
      <c r="G207" s="21" t="n">
        <f aca="false">березень!G207</f>
        <v>70.38</v>
      </c>
      <c r="H207" s="21" t="n">
        <f aca="false">березень!H207</f>
        <v>0</v>
      </c>
      <c r="I207" s="22" t="n">
        <f aca="false">березень!I207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3071.98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березень!B208</f>
        <v>Мільковська Р.Г.</v>
      </c>
      <c r="C208" s="18" t="str">
        <f aca="false">березень!C208</f>
        <v>60200</v>
      </c>
      <c r="D208" s="19" t="n">
        <f aca="false">березень!P208</f>
        <v>2083.07</v>
      </c>
      <c r="E208" s="19" t="n">
        <f aca="false">березень!Q208</f>
        <v>0</v>
      </c>
      <c r="F208" s="20" t="n">
        <f aca="false">березень!F208</f>
        <v>0</v>
      </c>
      <c r="G208" s="21" t="n">
        <f aca="false">березень!G208</f>
        <v>49.88</v>
      </c>
      <c r="H208" s="21" t="n">
        <f aca="false">березень!H208</f>
        <v>0</v>
      </c>
      <c r="I208" s="22" t="n">
        <f aca="false">березень!I208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2287.58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березень!B209</f>
        <v>Заранкін С.М.</v>
      </c>
      <c r="C209" s="18" t="str">
        <f aca="false">березень!C209</f>
        <v>60201</v>
      </c>
      <c r="D209" s="19" t="n">
        <f aca="false">березень!P209</f>
        <v>1732.08</v>
      </c>
      <c r="E209" s="19" t="n">
        <f aca="false">березень!Q209</f>
        <v>0</v>
      </c>
      <c r="F209" s="20" t="n">
        <f aca="false">березень!F209</f>
        <v>0</v>
      </c>
      <c r="G209" s="21" t="n">
        <f aca="false">березень!G209</f>
        <v>62.02</v>
      </c>
      <c r="H209" s="21" t="n">
        <f aca="false">березень!H209</f>
        <v>0</v>
      </c>
      <c r="I209" s="22" t="n">
        <f aca="false">березень!I209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1986.36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березень!B210</f>
        <v>Сіянко О.М.</v>
      </c>
      <c r="C210" s="18" t="str">
        <f aca="false">березень!C210</f>
        <v>60202</v>
      </c>
      <c r="D210" s="19" t="n">
        <f aca="false">березень!P210</f>
        <v>2478.19</v>
      </c>
      <c r="E210" s="19" t="n">
        <f aca="false">березень!Q210</f>
        <v>0</v>
      </c>
      <c r="F210" s="20" t="n">
        <f aca="false">березень!F210</f>
        <v>0</v>
      </c>
      <c r="G210" s="21" t="n">
        <f aca="false">березень!G210</f>
        <v>67.6</v>
      </c>
      <c r="H210" s="21" t="n">
        <f aca="false">березень!H210</f>
        <v>0</v>
      </c>
      <c r="I210" s="22" t="n">
        <f aca="false">березень!I210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2755.35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березень!B211</f>
        <v>Осипов В.В.</v>
      </c>
      <c r="C211" s="18" t="str">
        <f aca="false">березень!C211</f>
        <v>60203</v>
      </c>
      <c r="D211" s="19" t="n">
        <f aca="false">березень!P211</f>
        <v>4330.8</v>
      </c>
      <c r="E211" s="19" t="n">
        <f aca="false">березень!Q211</f>
        <v>0</v>
      </c>
      <c r="F211" s="20" t="n">
        <f aca="false">березень!F211</f>
        <v>0</v>
      </c>
      <c r="G211" s="21" t="n">
        <f aca="false">березень!G211</f>
        <v>70.42</v>
      </c>
      <c r="H211" s="21" t="n">
        <f aca="false">березень!H211</f>
        <v>0</v>
      </c>
      <c r="I211" s="22" t="n">
        <f aca="false">березень!I211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4619.52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березень!B212</f>
        <v>Перепьолкін А.Л.</v>
      </c>
      <c r="C212" s="18" t="str">
        <f aca="false">березень!C212</f>
        <v>60204</v>
      </c>
      <c r="D212" s="19" t="n">
        <f aca="false">березень!P212</f>
        <v>990.59</v>
      </c>
      <c r="E212" s="19" t="n">
        <f aca="false">березень!Q212</f>
        <v>0</v>
      </c>
      <c r="F212" s="20" t="n">
        <f aca="false">березень!F212</f>
        <v>0</v>
      </c>
      <c r="G212" s="21" t="n">
        <f aca="false">березень!G212</f>
        <v>49.8</v>
      </c>
      <c r="H212" s="21" t="n">
        <f aca="false">березень!H212</f>
        <v>0</v>
      </c>
      <c r="I212" s="22" t="n">
        <f aca="false">березень!I212</f>
        <v>4.1</v>
      </c>
      <c r="J212" s="23" t="n">
        <f aca="false">ROUND(G212*I212,2)</f>
        <v>204.18</v>
      </c>
      <c r="K212" s="19"/>
      <c r="L212" s="19" t="n">
        <v>32.13</v>
      </c>
      <c r="M212" s="19"/>
      <c r="N212" s="19" t="n">
        <f aca="false">ROUND((G212*I212)-K212-L212-M212,2)</f>
        <v>172.05</v>
      </c>
      <c r="O212" s="19" t="n">
        <v>204.18</v>
      </c>
      <c r="P212" s="25" t="n">
        <f aca="false">IF(D212=0,IF((N212-E212-O212)&gt;0,(N212-E212-O212),0),IF((D212+N212-O212)&gt;0,(D212+N212-O212),0))</f>
        <v>958.46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березень!B213</f>
        <v>Синегрибова В.В.</v>
      </c>
      <c r="C213" s="18" t="str">
        <f aca="false">березень!C213</f>
        <v>60205</v>
      </c>
      <c r="D213" s="19" t="n">
        <f aca="false">березень!P213</f>
        <v>4072.21</v>
      </c>
      <c r="E213" s="19" t="n">
        <f aca="false">березень!Q213</f>
        <v>0</v>
      </c>
      <c r="F213" s="20" t="n">
        <f aca="false">березень!F213</f>
        <v>0</v>
      </c>
      <c r="G213" s="21" t="n">
        <f aca="false">березень!G213</f>
        <v>62.7</v>
      </c>
      <c r="H213" s="21" t="n">
        <f aca="false">березень!H213</f>
        <v>0</v>
      </c>
      <c r="I213" s="22" t="n">
        <f aca="false">березень!I213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4329.28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березень!B214</f>
        <v>Юдін М.В.</v>
      </c>
      <c r="C214" s="18" t="str">
        <f aca="false">березень!C214</f>
        <v>60206</v>
      </c>
      <c r="D214" s="19" t="n">
        <f aca="false">березень!P214</f>
        <v>204</v>
      </c>
      <c r="E214" s="19" t="n">
        <f aca="false">березень!Q214</f>
        <v>0</v>
      </c>
      <c r="F214" s="20" t="n">
        <f aca="false">березень!F214</f>
        <v>0</v>
      </c>
      <c r="G214" s="21" t="n">
        <f aca="false">березень!G214</f>
        <v>68</v>
      </c>
      <c r="H214" s="21" t="n">
        <f aca="false">березень!H214</f>
        <v>0</v>
      </c>
      <c r="I214" s="22" t="n">
        <f aca="false">березень!I214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березень!B215</f>
        <v>Сергєєва Н.О.</v>
      </c>
      <c r="C215" s="18" t="str">
        <f aca="false">березень!C215</f>
        <v>60207</v>
      </c>
      <c r="D215" s="19" t="n">
        <f aca="false">березень!P215</f>
        <v>210.690000000001</v>
      </c>
      <c r="E215" s="19" t="n">
        <f aca="false">березень!Q215</f>
        <v>0</v>
      </c>
      <c r="F215" s="20" t="n">
        <f aca="false">березень!F215</f>
        <v>0</v>
      </c>
      <c r="G215" s="21" t="n">
        <f aca="false">березень!G215</f>
        <v>72.1</v>
      </c>
      <c r="H215" s="21" t="n">
        <f aca="false">березень!H215</f>
        <v>0</v>
      </c>
      <c r="I215" s="22" t="n">
        <f aca="false">березень!I215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 t="n">
        <v>600</v>
      </c>
      <c r="P215" s="25" t="n">
        <f aca="false">IF(D215=0,IF((N215-E215-O215)&gt;0,(N215-E215-O215),0),IF((D215+N215-O215)&gt;0,(D215+N215-O215),0))</f>
        <v>0</v>
      </c>
      <c r="Q215" s="25" t="n">
        <f aca="false">IF(E215=0,IF((D215+N215-O215)&lt;0,ABS(D215+N215-O215),0),IF((N215-E215-O215)&lt;0,ABS(N215-E215-O215),0))</f>
        <v>93.6999999999993</v>
      </c>
    </row>
    <row r="216" customFormat="false" ht="15" hidden="false" customHeight="false" outlineLevel="0" collapsed="false">
      <c r="A216" s="17" t="s">
        <v>644</v>
      </c>
      <c r="B216" s="18" t="str">
        <f aca="false">березень!B216</f>
        <v>Рева І.П.</v>
      </c>
      <c r="C216" s="18" t="str">
        <f aca="false">березень!C216</f>
        <v>60208</v>
      </c>
      <c r="D216" s="19" t="n">
        <f aca="false">березень!P216</f>
        <v>1415.45</v>
      </c>
      <c r="E216" s="19" t="n">
        <f aca="false">березень!Q216</f>
        <v>0</v>
      </c>
      <c r="F216" s="20" t="n">
        <f aca="false">березень!F216</f>
        <v>0</v>
      </c>
      <c r="G216" s="21" t="n">
        <f aca="false">березень!G216</f>
        <v>49.72</v>
      </c>
      <c r="H216" s="21" t="n">
        <f aca="false">березень!H216</f>
        <v>0</v>
      </c>
      <c r="I216" s="22" t="n">
        <f aca="false">березень!I216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1619.3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березень!B217</f>
        <v>Почапський Ю.Т.</v>
      </c>
      <c r="C217" s="18" t="str">
        <f aca="false">березень!C217</f>
        <v>60209</v>
      </c>
      <c r="D217" s="19" t="n">
        <f aca="false">березень!P217</f>
        <v>511.89</v>
      </c>
      <c r="E217" s="19" t="n">
        <f aca="false">березень!Q217</f>
        <v>0</v>
      </c>
      <c r="F217" s="20" t="n">
        <f aca="false">березень!F217</f>
        <v>0</v>
      </c>
      <c r="G217" s="21" t="n">
        <f aca="false">березень!G217</f>
        <v>62.39</v>
      </c>
      <c r="H217" s="21" t="n">
        <f aca="false">березень!H217</f>
        <v>0</v>
      </c>
      <c r="I217" s="22" t="n">
        <f aca="false">березень!I217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 t="n">
        <v>520</v>
      </c>
      <c r="P217" s="25" t="n">
        <f aca="false">IF(D217=0,IF((N217-E217-O217)&gt;0,(N217-E217-O217),0),IF((D217+N217-O217)&gt;0,(D217+N217-O217),0))</f>
        <v>247.69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березень!B218</f>
        <v>Васильченко М.П.</v>
      </c>
      <c r="C218" s="18" t="str">
        <f aca="false">березень!C218</f>
        <v>60210</v>
      </c>
      <c r="D218" s="19" t="n">
        <f aca="false">березень!P218</f>
        <v>3587.34</v>
      </c>
      <c r="E218" s="19" t="n">
        <f aca="false">березень!Q218</f>
        <v>0</v>
      </c>
      <c r="F218" s="20" t="n">
        <f aca="false">березень!F218</f>
        <v>0</v>
      </c>
      <c r="G218" s="21" t="n">
        <f aca="false">березень!G218</f>
        <v>67.47</v>
      </c>
      <c r="H218" s="21" t="n">
        <f aca="false">березень!H218</f>
        <v>0</v>
      </c>
      <c r="I218" s="22" t="n">
        <f aca="false">березень!I218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3863.97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березень!B219</f>
        <v>Черненко Т.А.</v>
      </c>
      <c r="C219" s="18" t="str">
        <f aca="false">березень!C219</f>
        <v>60211</v>
      </c>
      <c r="D219" s="19" t="n">
        <f aca="false">березень!P219</f>
        <v>3048.52</v>
      </c>
      <c r="E219" s="19" t="n">
        <f aca="false">березень!Q219</f>
        <v>0</v>
      </c>
      <c r="F219" s="20" t="n">
        <f aca="false">березень!F219</f>
        <v>0</v>
      </c>
      <c r="G219" s="21" t="n">
        <f aca="false">березень!G219</f>
        <v>70.41</v>
      </c>
      <c r="H219" s="21" t="n">
        <f aca="false">березень!H219</f>
        <v>0</v>
      </c>
      <c r="I219" s="22" t="n">
        <f aca="false">березень!I219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3337.2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березень!B220</f>
        <v>Сиротенко Я.О.</v>
      </c>
      <c r="C220" s="18" t="str">
        <f aca="false">березень!C220</f>
        <v>60212</v>
      </c>
      <c r="D220" s="19" t="n">
        <f aca="false">березень!P220</f>
        <v>1770.08</v>
      </c>
      <c r="E220" s="19" t="n">
        <f aca="false">березень!Q220</f>
        <v>0</v>
      </c>
      <c r="F220" s="20" t="n">
        <f aca="false">березень!F220</f>
        <v>0</v>
      </c>
      <c r="G220" s="21" t="n">
        <f aca="false">березень!G220</f>
        <v>49.73</v>
      </c>
      <c r="H220" s="21" t="n">
        <f aca="false">березень!H220</f>
        <v>0</v>
      </c>
      <c r="I220" s="22" t="n">
        <f aca="false">березень!I220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1973.97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березень!B221</f>
        <v>Корнюшенко О.О.</v>
      </c>
      <c r="C221" s="18" t="str">
        <f aca="false">березень!C221</f>
        <v>60213</v>
      </c>
      <c r="D221" s="28" t="n">
        <f aca="false">березень!P221</f>
        <v>5136.2</v>
      </c>
      <c r="E221" s="29" t="n">
        <f aca="false">березень!Q221</f>
        <v>0</v>
      </c>
      <c r="F221" s="20" t="n">
        <f aca="false">березень!F221</f>
        <v>0</v>
      </c>
      <c r="G221" s="21" t="n">
        <f aca="false">березень!G221</f>
        <v>62</v>
      </c>
      <c r="H221" s="21" t="n">
        <f aca="false">березень!H221</f>
        <v>0</v>
      </c>
      <c r="I221" s="22" t="n">
        <f aca="false">березень!I221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5390.4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399302.69</v>
      </c>
      <c r="E222" s="33" t="n">
        <f aca="false">SUM(E7:E221)</f>
        <v>7357.41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1517.71</v>
      </c>
      <c r="M222" s="37" t="n">
        <f aca="false">SUM(M7:M221)</f>
        <v>0</v>
      </c>
      <c r="N222" s="38" t="n">
        <f aca="false">SUM(N7:N221)</f>
        <v>46257.28</v>
      </c>
      <c r="O222" s="37" t="n">
        <f aca="false">SUM(O7:O221)</f>
        <v>36214.91</v>
      </c>
      <c r="P222" s="39" t="n">
        <f aca="false">SUM(P7:P221)</f>
        <v>409896.73</v>
      </c>
      <c r="Q222" s="33" t="n">
        <f aca="false">SUM(Q7:Q221)</f>
        <v>7909.08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391945.28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401987.65</v>
      </c>
      <c r="Q223" s="41"/>
      <c r="U223" s="42"/>
    </row>
    <row r="224" customFormat="false" ht="15" hidden="false" customHeight="false" outlineLevel="0" collapsed="false">
      <c r="U224" s="26" t="n">
        <f aca="false">[1]квітень!$F$98</f>
        <v>36214.91</v>
      </c>
    </row>
    <row r="225" customFormat="false" ht="15" hidden="false" customHeight="false" outlineLevel="0" collapsed="false">
      <c r="U225" s="42"/>
    </row>
    <row r="226" customFormat="false" ht="15" hidden="false" customHeight="false" outlineLevel="0" collapsed="false">
      <c r="U226" s="26"/>
    </row>
    <row r="229" customFormat="false" ht="15" hidden="false" customHeight="false" outlineLevel="0" collapsed="false">
      <c r="K229" s="26"/>
      <c r="L229" s="26"/>
    </row>
    <row r="230" customFormat="false" ht="15" hidden="false" customHeight="false" outlineLevel="0" collapsed="false">
      <c r="K230" s="26"/>
      <c r="L230" s="26"/>
      <c r="P230" s="26"/>
    </row>
    <row r="231" customFormat="false" ht="15" hidden="false" customHeight="false" outlineLevel="0" collapsed="false">
      <c r="K231" s="48"/>
      <c r="L231" s="26"/>
    </row>
    <row r="232" customFormat="false" ht="15" hidden="false" customHeight="false" outlineLevel="0" collapsed="false">
      <c r="K232" s="26"/>
      <c r="O232" s="26"/>
      <c r="P232" s="26"/>
    </row>
    <row r="233" customFormat="false" ht="15" hidden="false" customHeight="false" outlineLevel="0" collapsed="false">
      <c r="P233" s="26"/>
    </row>
    <row r="234" customFormat="false" ht="15" hidden="false" customHeight="false" outlineLevel="0" collapsed="false">
      <c r="K234" s="26"/>
    </row>
  </sheetData>
  <mergeCells count="18">
    <mergeCell ref="A1:C1"/>
    <mergeCell ref="N1:Q1"/>
    <mergeCell ref="B2:Q2"/>
    <mergeCell ref="B3:Q3"/>
    <mergeCell ref="S133:T13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20">
      <formula>0</formula>
    </cfRule>
    <cfRule type="cellIs" priority="3" operator="equal" aboveAverage="0" equalAverage="0" bottom="0" percent="0" rank="0" text="" dxfId="21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22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23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24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25">
      <formula>0</formula>
    </cfRule>
  </conditionalFormatting>
  <printOptions headings="false" gridLines="false" gridLinesSet="true" horizontalCentered="true" verticalCentered="false"/>
  <pageMargins left="0.118055555555556" right="0" top="0.157638888888889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3"/>
  <sheetViews>
    <sheetView showFormulas="false" showGridLines="true" showRowColHeaders="true" showZeros="false" rightToLeft="false" tabSelected="false" showOutlineSymbols="true" defaultGridColor="true" view="normal" topLeftCell="A5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20.57"/>
    <col collapsed="false" customWidth="true" hidden="false" outlineLevel="0" max="3" min="3" style="0" width="7.29"/>
    <col collapsed="false" customWidth="true" hidden="false" outlineLevel="0" max="6" min="6" style="0" width="5.42"/>
    <col collapsed="false" customWidth="true" hidden="false" outlineLevel="0" max="7" min="7" style="0" width="7.29"/>
    <col collapsed="false" customWidth="true" hidden="false" outlineLevel="0" max="8" min="8" style="0" width="6.14"/>
    <col collapsed="false" customWidth="true" hidden="false" outlineLevel="0" max="9" min="9" style="0" width="6.43"/>
    <col collapsed="false" customWidth="true" hidden="false" outlineLevel="0" max="11" min="11" style="0" width="8.42"/>
    <col collapsed="false" customWidth="true" hidden="false" outlineLevel="0" max="12" min="12" style="0" width="7.15"/>
    <col collapsed="false" customWidth="true" hidden="false" outlineLevel="0" max="13" min="13" style="0" width="5.29"/>
    <col collapsed="false" customWidth="true" hidden="false" outlineLevel="0" max="15" min="15" style="0" width="9.86"/>
    <col collapsed="false" customWidth="true" hidden="false" outlineLevel="0" max="21" min="20" style="0" width="9.86"/>
    <col collapsed="false" customWidth="true" hidden="false" outlineLevel="0" max="22" min="22" style="0" width="11.43"/>
  </cols>
  <sheetData>
    <row r="1" customFormat="false" ht="15" hidden="false" customHeight="fals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666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9.7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5" hidden="false" customHeight="false" outlineLevel="0" collapsed="false">
      <c r="I5" s="2"/>
    </row>
    <row r="6" customFormat="false" ht="77.1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12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квітень!B7</f>
        <v>Бережний В.М.</v>
      </c>
      <c r="C7" s="18" t="str">
        <f aca="false">квітень!C7</f>
        <v>1001</v>
      </c>
      <c r="D7" s="19" t="n">
        <f aca="false">квітень!P7</f>
        <v>105.110000000001</v>
      </c>
      <c r="E7" s="19" t="n">
        <f aca="false">квітень!Q7</f>
        <v>0</v>
      </c>
      <c r="F7" s="20" t="n">
        <f aca="false">квітень!F7</f>
        <v>0</v>
      </c>
      <c r="G7" s="21" t="n">
        <f aca="false">квітень!G7</f>
        <v>64.26</v>
      </c>
      <c r="H7" s="21" t="n">
        <f aca="false">квітень!H7</f>
        <v>0</v>
      </c>
      <c r="I7" s="22" t="n">
        <f aca="false">квітень!I7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368.580000000002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квітень!B8</f>
        <v>Старикова Т.О.</v>
      </c>
      <c r="C8" s="18" t="str">
        <f aca="false">квітень!C8</f>
        <v>1002</v>
      </c>
      <c r="D8" s="19" t="n">
        <f aca="false">квітень!P8</f>
        <v>3122.9</v>
      </c>
      <c r="E8" s="19" t="n">
        <f aca="false">квітень!Q8</f>
        <v>0</v>
      </c>
      <c r="F8" s="20" t="n">
        <f aca="false">квітень!F8</f>
        <v>0</v>
      </c>
      <c r="G8" s="21" t="n">
        <f aca="false">квітень!G8</f>
        <v>48.71</v>
      </c>
      <c r="H8" s="21" t="n">
        <f aca="false">квітень!H8</f>
        <v>0</v>
      </c>
      <c r="I8" s="22" t="n">
        <f aca="false">квітень!I8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3322.61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квітень!B9</f>
        <v>Мазур Т.В.</v>
      </c>
      <c r="C9" s="18" t="str">
        <f aca="false">квітень!C9</f>
        <v>1003</v>
      </c>
      <c r="D9" s="19" t="n">
        <f aca="false">квітень!P9</f>
        <v>11.5</v>
      </c>
      <c r="E9" s="19" t="n">
        <f aca="false">квітень!Q9</f>
        <v>0</v>
      </c>
      <c r="F9" s="20" t="n">
        <f aca="false">квітень!F9</f>
        <v>0</v>
      </c>
      <c r="G9" s="21" t="n">
        <f aca="false">квітень!G9</f>
        <v>35</v>
      </c>
      <c r="H9" s="21" t="n">
        <f aca="false">квітень!H9</f>
        <v>0</v>
      </c>
      <c r="I9" s="22" t="n">
        <f aca="false">квітень!I9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 t="n">
        <v>143.5</v>
      </c>
      <c r="P9" s="25" t="n">
        <f aca="false">IF(D9=0,IF((N9-E9-O9)&gt;0,(N9-E9-O9),0),IF((D9+N9-O9)&gt;0,(D9+N9-O9),0))</f>
        <v>11.5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квітень!B10</f>
        <v>Сокол О.В.</v>
      </c>
      <c r="C10" s="18" t="str">
        <f aca="false">квітень!C10</f>
        <v>1004</v>
      </c>
      <c r="D10" s="19" t="n">
        <f aca="false">квітень!P10</f>
        <v>0</v>
      </c>
      <c r="E10" s="19" t="n">
        <f aca="false">квітень!Q10</f>
        <v>252.59</v>
      </c>
      <c r="F10" s="20" t="n">
        <f aca="false">квітень!F10</f>
        <v>0</v>
      </c>
      <c r="G10" s="21" t="n">
        <f aca="false">квітень!G10</f>
        <v>61.6</v>
      </c>
      <c r="H10" s="21" t="n">
        <f aca="false">квітень!H10</f>
        <v>0</v>
      </c>
      <c r="I10" s="22" t="n">
        <f aca="false">квітень!I10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 t="n">
        <v>252.56</v>
      </c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252.59</v>
      </c>
    </row>
    <row r="11" customFormat="false" ht="15" hidden="false" customHeight="false" outlineLevel="0" collapsed="false">
      <c r="A11" s="17" t="s">
        <v>31</v>
      </c>
      <c r="B11" s="18" t="str">
        <f aca="false">квітень!B11</f>
        <v>Семко Л.І.</v>
      </c>
      <c r="C11" s="18" t="str">
        <f aca="false">квітень!C11</f>
        <v>1005</v>
      </c>
      <c r="D11" s="19" t="n">
        <f aca="false">квітень!P11</f>
        <v>0</v>
      </c>
      <c r="E11" s="19" t="n">
        <f aca="false">квітень!Q11</f>
        <v>374.209999999999</v>
      </c>
      <c r="F11" s="20" t="n">
        <f aca="false">квітень!F11</f>
        <v>0</v>
      </c>
      <c r="G11" s="21" t="n">
        <f aca="false">квітень!G11</f>
        <v>28.34</v>
      </c>
      <c r="H11" s="21" t="n">
        <f aca="false">квітень!H11</f>
        <v>0</v>
      </c>
      <c r="I11" s="22" t="n">
        <f aca="false">квітень!I11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0</v>
      </c>
      <c r="Q11" s="25" t="n">
        <f aca="false">IF(E11=0,IF((D11+N11-O11)&lt;0,ABS(D11+N11-O11),0),IF((N11-E11-O11)&lt;0,ABS(N11-E11-O11),0))</f>
        <v>258.019999999999</v>
      </c>
    </row>
    <row r="12" customFormat="false" ht="15" hidden="false" customHeight="false" outlineLevel="0" collapsed="false">
      <c r="A12" s="17" t="s">
        <v>31</v>
      </c>
      <c r="B12" s="18" t="str">
        <f aca="false">квітень!B12</f>
        <v>Гаркуша Н.І.</v>
      </c>
      <c r="C12" s="18" t="str">
        <f aca="false">квітень!C12</f>
        <v>1005-а</v>
      </c>
      <c r="D12" s="19" t="n">
        <f aca="false">квітень!P12</f>
        <v>0</v>
      </c>
      <c r="E12" s="19" t="n">
        <f aca="false">квітень!Q12</f>
        <v>100.659999999999</v>
      </c>
      <c r="F12" s="20" t="n">
        <f aca="false">квітень!F12</f>
        <v>0</v>
      </c>
      <c r="G12" s="21" t="n">
        <f aca="false">квітень!G12</f>
        <v>36.66</v>
      </c>
      <c r="H12" s="21" t="n">
        <f aca="false">квітень!H12</f>
        <v>0</v>
      </c>
      <c r="I12" s="22" t="n">
        <f aca="false">квітень!I12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49.650000000001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квітень!B13</f>
        <v>Андріяшев В.М</v>
      </c>
      <c r="C13" s="18" t="str">
        <f aca="false">квітень!C13</f>
        <v>1006</v>
      </c>
      <c r="D13" s="19" t="n">
        <f aca="false">квітень!P13</f>
        <v>30.8000000000004</v>
      </c>
      <c r="E13" s="19" t="n">
        <f aca="false">квітень!Q13</f>
        <v>0</v>
      </c>
      <c r="F13" s="20" t="n">
        <f aca="false">квітень!F13</f>
        <v>0</v>
      </c>
      <c r="G13" s="21" t="n">
        <f aca="false">квітень!G13</f>
        <v>49.8</v>
      </c>
      <c r="H13" s="21" t="n">
        <f aca="false">квітень!H13</f>
        <v>0</v>
      </c>
      <c r="I13" s="22" t="n">
        <f aca="false">квітень!I13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234.98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квітень!B14</f>
        <v>Старчикова О.М.</v>
      </c>
      <c r="C14" s="18" t="str">
        <f aca="false">квітень!C14</f>
        <v>1007</v>
      </c>
      <c r="D14" s="19" t="n">
        <f aca="false">квітень!P14</f>
        <v>141.12</v>
      </c>
      <c r="E14" s="19" t="n">
        <f aca="false">квітень!Q14</f>
        <v>0</v>
      </c>
      <c r="F14" s="20" t="n">
        <f aca="false">квітень!F14</f>
        <v>0</v>
      </c>
      <c r="G14" s="21" t="n">
        <f aca="false">квітень!G14</f>
        <v>34.65</v>
      </c>
      <c r="H14" s="21" t="n">
        <f aca="false">квітень!H14</f>
        <v>0</v>
      </c>
      <c r="I14" s="22" t="n">
        <f aca="false">квітень!I14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143</v>
      </c>
      <c r="P14" s="25" t="n">
        <f aca="false">IF(D14=0,IF((N14-E14-O14)&gt;0,(N14-E14-O14),0),IF((D14+N14-O14)&gt;0,(D14+N14-O14),0))</f>
        <v>140.19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квітень!B15</f>
        <v>Безер Т.М</v>
      </c>
      <c r="C15" s="18" t="str">
        <f aca="false">квітень!C15</f>
        <v>1008</v>
      </c>
      <c r="D15" s="19" t="n">
        <f aca="false">квітень!P15</f>
        <v>225.33</v>
      </c>
      <c r="E15" s="19" t="n">
        <f aca="false">квітень!Q15</f>
        <v>0</v>
      </c>
      <c r="F15" s="20" t="n">
        <f aca="false">квітень!F15</f>
        <v>0</v>
      </c>
      <c r="G15" s="21" t="n">
        <f aca="false">квітень!G15</f>
        <v>62.14</v>
      </c>
      <c r="H15" s="21" t="n">
        <f aca="false">квітень!H15</f>
        <v>0</v>
      </c>
      <c r="I15" s="22" t="n">
        <f aca="false">квітень!I15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 t="n">
        <v>510</v>
      </c>
      <c r="P15" s="25" t="n">
        <f aca="false">IF(D15=0,IF((N15-E15-O15)&gt;0,(N15-E15-O15),0),IF((D15+N15-O15)&gt;0,(D15+N15-O15),0))</f>
        <v>0</v>
      </c>
      <c r="Q15" s="25" t="n">
        <f aca="false">IF(E15=0,IF((D15+N15-O15)&lt;0,ABS(D15+N15-O15),0),IF((N15-E15-O15)&lt;0,ABS(N15-E15-O15),0))</f>
        <v>29.9000000000001</v>
      </c>
    </row>
    <row r="16" customFormat="false" ht="15" hidden="false" customHeight="false" outlineLevel="0" collapsed="false">
      <c r="A16" s="17" t="s">
        <v>45</v>
      </c>
      <c r="B16" s="18" t="str">
        <f aca="false">квітень!B16</f>
        <v>Решетило М.М</v>
      </c>
      <c r="C16" s="18" t="str">
        <f aca="false">квітень!C16</f>
        <v>1009</v>
      </c>
      <c r="D16" s="19" t="n">
        <f aca="false">квітень!P16</f>
        <v>1974.6</v>
      </c>
      <c r="E16" s="19" t="n">
        <f aca="false">квітень!Q16</f>
        <v>0</v>
      </c>
      <c r="F16" s="20" t="n">
        <f aca="false">квітень!F16</f>
        <v>0</v>
      </c>
      <c r="G16" s="21" t="n">
        <f aca="false">квітень!G16</f>
        <v>65.16</v>
      </c>
      <c r="H16" s="21" t="n">
        <f aca="false">квітень!H16</f>
        <v>0</v>
      </c>
      <c r="I16" s="22" t="n">
        <f aca="false">квітень!I16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 t="n">
        <v>1000</v>
      </c>
      <c r="P16" s="25" t="n">
        <f aca="false">IF(D16=0,IF((N16-E16-O16)&gt;0,(N16-E16-O16),0),IF((D16+N16-O16)&gt;0,(D16+N16-O16),0))</f>
        <v>1241.76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квітень!B17</f>
        <v>Фесенко О.В.</v>
      </c>
      <c r="C17" s="18" t="str">
        <f aca="false">квітень!C17</f>
        <v>1010</v>
      </c>
      <c r="D17" s="19" t="n">
        <f aca="false">квітень!P17</f>
        <v>2403.57</v>
      </c>
      <c r="E17" s="19" t="n">
        <f aca="false">квітень!Q17</f>
        <v>0</v>
      </c>
      <c r="F17" s="20" t="n">
        <f aca="false">квітень!F17</f>
        <v>0</v>
      </c>
      <c r="G17" s="21" t="n">
        <f aca="false">квітень!G17</f>
        <v>50.1</v>
      </c>
      <c r="H17" s="21" t="n">
        <f aca="false">квітень!H17</f>
        <v>0</v>
      </c>
      <c r="I17" s="22" t="n">
        <f aca="false">квітень!I17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2608.98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квітень!B18</f>
        <v>Петренко О.М.</v>
      </c>
      <c r="C18" s="18" t="str">
        <f aca="false">квітень!C18</f>
        <v>1011</v>
      </c>
      <c r="D18" s="19" t="n">
        <f aca="false">квітень!P18</f>
        <v>1929.96</v>
      </c>
      <c r="E18" s="19" t="n">
        <f aca="false">квітень!Q18</f>
        <v>0</v>
      </c>
      <c r="F18" s="20" t="n">
        <f aca="false">квітень!F18</f>
        <v>0</v>
      </c>
      <c r="G18" s="21" t="n">
        <f aca="false">квітень!G18</f>
        <v>35.2</v>
      </c>
      <c r="H18" s="21" t="n">
        <f aca="false">квітень!H18</f>
        <v>0</v>
      </c>
      <c r="I18" s="22" t="n">
        <f aca="false">квітень!I18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2074.28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квітень!B19</f>
        <v>Зеленюк А.Д</v>
      </c>
      <c r="C19" s="18" t="str">
        <f aca="false">квітень!C19</f>
        <v>1012</v>
      </c>
      <c r="D19" s="19" t="n">
        <f aca="false">квітень!P19</f>
        <v>3942.81</v>
      </c>
      <c r="E19" s="19" t="n">
        <f aca="false">квітень!Q19</f>
        <v>0</v>
      </c>
      <c r="F19" s="20" t="n">
        <f aca="false">квітень!F19</f>
        <v>0</v>
      </c>
      <c r="G19" s="21" t="n">
        <f aca="false">квітень!G19</f>
        <v>62.78</v>
      </c>
      <c r="H19" s="21" t="n">
        <f aca="false">квітень!H19</f>
        <v>0</v>
      </c>
      <c r="I19" s="22" t="n">
        <f aca="false">квітень!I19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4200.21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квітень!B20</f>
        <v>Вовк І.В</v>
      </c>
      <c r="C20" s="18" t="str">
        <f aca="false">квітень!C20</f>
        <v>1013</v>
      </c>
      <c r="D20" s="19" t="n">
        <f aca="false">квітень!P20</f>
        <v>2599.83</v>
      </c>
      <c r="E20" s="19" t="n">
        <f aca="false">квітень!Q20</f>
        <v>0</v>
      </c>
      <c r="F20" s="20" t="n">
        <f aca="false">квітень!F20</f>
        <v>0</v>
      </c>
      <c r="G20" s="21" t="n">
        <f aca="false">квітень!G20</f>
        <v>28.23</v>
      </c>
      <c r="H20" s="21" t="n">
        <f aca="false">квітень!H20</f>
        <v>0</v>
      </c>
      <c r="I20" s="22" t="n">
        <f aca="false">квітень!I20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2715.57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квітень!B21</f>
        <v>Романовський В.М</v>
      </c>
      <c r="C21" s="18" t="str">
        <f aca="false">квітень!C21</f>
        <v>1013-а</v>
      </c>
      <c r="D21" s="19" t="n">
        <f aca="false">квітень!P21</f>
        <v>3878.46</v>
      </c>
      <c r="E21" s="19" t="n">
        <f aca="false">квітень!Q21</f>
        <v>0</v>
      </c>
      <c r="F21" s="20" t="n">
        <f aca="false">квітень!F21</f>
        <v>0</v>
      </c>
      <c r="G21" s="21" t="n">
        <f aca="false">квітень!G21</f>
        <v>37.84</v>
      </c>
      <c r="H21" s="21" t="n">
        <f aca="false">квітень!H21</f>
        <v>0</v>
      </c>
      <c r="I21" s="22" t="n">
        <f aca="false">квітень!I21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4033.6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квітень!B22</f>
        <v>Ряба Л.І</v>
      </c>
      <c r="C22" s="18" t="str">
        <f aca="false">квітень!C22</f>
        <v>1014</v>
      </c>
      <c r="D22" s="19" t="n">
        <f aca="false">квітень!P22</f>
        <v>818.800000000001</v>
      </c>
      <c r="E22" s="19" t="n">
        <f aca="false">квітень!Q22</f>
        <v>0</v>
      </c>
      <c r="F22" s="20" t="n">
        <f aca="false">квітень!F22</f>
        <v>0</v>
      </c>
      <c r="G22" s="21" t="n">
        <f aca="false">квітень!G22</f>
        <v>49.24</v>
      </c>
      <c r="H22" s="21" t="n">
        <f aca="false">квітень!H22</f>
        <v>0</v>
      </c>
      <c r="I22" s="22" t="n">
        <f aca="false">квітень!I22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1020.68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квітень!B23</f>
        <v>Кас'янова О.А.</v>
      </c>
      <c r="C23" s="18" t="str">
        <f aca="false">квітень!C23</f>
        <v>1015</v>
      </c>
      <c r="D23" s="19" t="n">
        <f aca="false">квітень!P23</f>
        <v>1484.68</v>
      </c>
      <c r="E23" s="19" t="n">
        <f aca="false">квітень!Q23</f>
        <v>0</v>
      </c>
      <c r="F23" s="20" t="n">
        <f aca="false">квітень!F23</f>
        <v>0</v>
      </c>
      <c r="G23" s="21" t="n">
        <f aca="false">квітень!G23</f>
        <v>35.1</v>
      </c>
      <c r="H23" s="21" t="n">
        <f aca="false">квітень!H23</f>
        <v>0</v>
      </c>
      <c r="I23" s="22" t="n">
        <f aca="false">квітень!I23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1628.59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true" outlineLevel="0" collapsed="false">
      <c r="A24" s="17" t="s">
        <v>68</v>
      </c>
      <c r="B24" s="18" t="str">
        <f aca="false">квітень!B24</f>
        <v>Корякіна М.В.</v>
      </c>
      <c r="C24" s="18" t="str">
        <f aca="false">квітень!C24</f>
        <v>1016</v>
      </c>
      <c r="D24" s="19" t="n">
        <f aca="false">квітень!P24</f>
        <v>2367.57</v>
      </c>
      <c r="E24" s="19" t="n">
        <f aca="false">квітень!Q24</f>
        <v>0</v>
      </c>
      <c r="F24" s="20" t="n">
        <f aca="false">квітень!F24</f>
        <v>0</v>
      </c>
      <c r="G24" s="21" t="n">
        <f aca="false">квітень!G24</f>
        <v>61.9</v>
      </c>
      <c r="H24" s="21" t="n">
        <f aca="false">квітень!H24</f>
        <v>0</v>
      </c>
      <c r="I24" s="22" t="n">
        <f aca="false">квітень!I24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2621.36</v>
      </c>
      <c r="Q24" s="25" t="n">
        <f aca="false">IF(E24=0,IF((D24+N24-O24)&lt;0,ABS(D24+N24-O24),0),IF((N24-E24-O24)&lt;0,ABS(N24-E24-O24),0))</f>
        <v>0</v>
      </c>
      <c r="T24" s="49"/>
      <c r="U24" s="49"/>
      <c r="V24" s="49"/>
      <c r="W24" s="49"/>
    </row>
    <row r="25" customFormat="false" ht="15" hidden="false" customHeight="true" outlineLevel="0" collapsed="false">
      <c r="A25" s="17" t="s">
        <v>71</v>
      </c>
      <c r="B25" s="18" t="str">
        <f aca="false">квітень!B25</f>
        <v>Сокерчак А.В.</v>
      </c>
      <c r="C25" s="18" t="str">
        <f aca="false">квітень!C25</f>
        <v>1017</v>
      </c>
      <c r="D25" s="19" t="n">
        <f aca="false">квітень!P25</f>
        <v>271.829999999999</v>
      </c>
      <c r="E25" s="19" t="n">
        <f aca="false">квітень!Q25</f>
        <v>0</v>
      </c>
      <c r="F25" s="20" t="n">
        <f aca="false">квітень!F25</f>
        <v>0</v>
      </c>
      <c r="G25" s="21" t="n">
        <f aca="false">квітень!G25</f>
        <v>66.3</v>
      </c>
      <c r="H25" s="21" t="n">
        <f aca="false">квітень!H25</f>
        <v>0</v>
      </c>
      <c r="I25" s="22" t="n">
        <f aca="false">квітень!I25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543.659999999999</v>
      </c>
      <c r="Q25" s="25" t="n">
        <f aca="false">IF(E25=0,IF((D25+N25-O25)&lt;0,ABS(D25+N25-O25),0),IF((N25-E25-O25)&lt;0,ABS(N25-E25-O25),0))</f>
        <v>0</v>
      </c>
      <c r="T25" s="49"/>
      <c r="U25" s="49"/>
      <c r="V25" s="49"/>
      <c r="W25" s="49"/>
    </row>
    <row r="26" customFormat="false" ht="15" hidden="false" customHeight="true" outlineLevel="0" collapsed="false">
      <c r="A26" s="17" t="s">
        <v>74</v>
      </c>
      <c r="B26" s="18" t="str">
        <f aca="false">квітень!B26</f>
        <v>Кравченко В.А</v>
      </c>
      <c r="C26" s="18" t="str">
        <f aca="false">квітень!C26</f>
        <v>1018</v>
      </c>
      <c r="D26" s="19" t="n">
        <f aca="false">квітень!P26</f>
        <v>0</v>
      </c>
      <c r="E26" s="19" t="n">
        <f aca="false">квітень!Q26</f>
        <v>983.93</v>
      </c>
      <c r="F26" s="20" t="n">
        <f aca="false">квітень!F26</f>
        <v>0</v>
      </c>
      <c r="G26" s="21" t="n">
        <f aca="false">квітень!G26</f>
        <v>51.48</v>
      </c>
      <c r="H26" s="21" t="n">
        <f aca="false">квітень!H26</f>
        <v>0</v>
      </c>
      <c r="I26" s="22" t="n">
        <f aca="false">квітень!I26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772.86</v>
      </c>
      <c r="T26" s="49"/>
      <c r="U26" s="49"/>
      <c r="V26" s="49"/>
      <c r="W26" s="49"/>
    </row>
    <row r="27" customFormat="false" ht="15" hidden="false" customHeight="true" outlineLevel="0" collapsed="false">
      <c r="A27" s="17" t="s">
        <v>77</v>
      </c>
      <c r="B27" s="18" t="str">
        <f aca="false">квітень!B27</f>
        <v>Чичикало А.С</v>
      </c>
      <c r="C27" s="18" t="str">
        <f aca="false">квітень!C27</f>
        <v>1019</v>
      </c>
      <c r="D27" s="19" t="n">
        <f aca="false">квітень!P27</f>
        <v>74.0199999999998</v>
      </c>
      <c r="E27" s="19" t="n">
        <f aca="false">квітень!Q27</f>
        <v>0</v>
      </c>
      <c r="F27" s="20" t="n">
        <f aca="false">квітень!F27</f>
        <v>0</v>
      </c>
      <c r="G27" s="21" t="n">
        <f aca="false">квітень!G27</f>
        <v>35.1</v>
      </c>
      <c r="H27" s="21" t="n">
        <f aca="false">квітень!H27</f>
        <v>0</v>
      </c>
      <c r="I27" s="22" t="n">
        <f aca="false">квітень!I27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217.93</v>
      </c>
      <c r="Q27" s="25" t="n">
        <f aca="false">IF(E27=0,IF((D27+N27-O27)&lt;0,ABS(D27+N27-O27),0),IF((N27-E27-O27)&lt;0,ABS(N27-E27-O27),0))</f>
        <v>0</v>
      </c>
      <c r="T27" s="49"/>
      <c r="U27" s="49"/>
      <c r="V27" s="49"/>
      <c r="W27" s="49"/>
    </row>
    <row r="28" customFormat="false" ht="15" hidden="false" customHeight="true" outlineLevel="0" collapsed="false">
      <c r="A28" s="17" t="s">
        <v>80</v>
      </c>
      <c r="B28" s="18" t="str">
        <f aca="false">квітень!B28</f>
        <v>Сільващук А.А</v>
      </c>
      <c r="C28" s="18" t="str">
        <f aca="false">квітень!C28</f>
        <v>1020</v>
      </c>
      <c r="D28" s="19" t="n">
        <f aca="false">квітень!P28</f>
        <v>0</v>
      </c>
      <c r="E28" s="19" t="n">
        <f aca="false">квітень!Q28</f>
        <v>257.070000000001</v>
      </c>
      <c r="F28" s="20" t="n">
        <f aca="false">квітень!F28</f>
        <v>0</v>
      </c>
      <c r="G28" s="21" t="n">
        <f aca="false">квітень!G28</f>
        <v>62.7</v>
      </c>
      <c r="H28" s="21" t="n">
        <f aca="false">квітень!H28</f>
        <v>0</v>
      </c>
      <c r="I28" s="22" t="n">
        <f aca="false">квітень!I28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0</v>
      </c>
      <c r="Q28" s="25" t="n">
        <f aca="false">IF(E28=0,IF((D28+N28-O28)&lt;0,ABS(D28+N28-O28),0),IF((N28-E28-O28)&lt;0,ABS(N28-E28-O28),0))</f>
        <v>1.02318153949454E-012</v>
      </c>
      <c r="T28" s="49"/>
      <c r="U28" s="49"/>
      <c r="V28" s="49"/>
      <c r="W28" s="49"/>
    </row>
    <row r="29" customFormat="false" ht="15" hidden="false" customHeight="true" outlineLevel="0" collapsed="false">
      <c r="A29" s="17" t="s">
        <v>83</v>
      </c>
      <c r="B29" s="18" t="str">
        <f aca="false">квітень!B29</f>
        <v>Стеценко Г.М</v>
      </c>
      <c r="C29" s="18" t="str">
        <f aca="false">квітень!C29</f>
        <v>1021</v>
      </c>
      <c r="D29" s="19" t="n">
        <f aca="false">квітень!P29</f>
        <v>1674.97</v>
      </c>
      <c r="E29" s="19" t="n">
        <f aca="false">квітень!Q29</f>
        <v>0</v>
      </c>
      <c r="F29" s="20" t="n">
        <f aca="false">квітень!F29</f>
        <v>0</v>
      </c>
      <c r="G29" s="21" t="n">
        <f aca="false">квітень!G29</f>
        <v>65.32</v>
      </c>
      <c r="H29" s="21" t="n">
        <f aca="false">квітень!H29</f>
        <v>0</v>
      </c>
      <c r="I29" s="22" t="n">
        <f aca="false">квітень!I29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 t="n">
        <v>300</v>
      </c>
      <c r="P29" s="25" t="n">
        <f aca="false">IF(D29=0,IF((N29-E29-O29)&gt;0,(N29-E29-O29),0),IF((D29+N29-O29)&gt;0,(D29+N29-O29),0))</f>
        <v>1642.78</v>
      </c>
      <c r="Q29" s="25" t="n">
        <f aca="false">IF(E29=0,IF((D29+N29-O29)&lt;0,ABS(D29+N29-O29),0),IF((N29-E29-O29)&lt;0,ABS(N29-E29-O29),0))</f>
        <v>0</v>
      </c>
      <c r="T29" s="49"/>
      <c r="U29" s="49"/>
      <c r="V29" s="49"/>
      <c r="W29" s="49"/>
    </row>
    <row r="30" customFormat="false" ht="15" hidden="false" customHeight="true" outlineLevel="0" collapsed="false">
      <c r="A30" s="17" t="s">
        <v>86</v>
      </c>
      <c r="B30" s="18" t="str">
        <f aca="false">квітень!B30</f>
        <v>Кирдячкіна П.А</v>
      </c>
      <c r="C30" s="18" t="str">
        <f aca="false">квітень!C30</f>
        <v>1022</v>
      </c>
      <c r="D30" s="19" t="n">
        <f aca="false">квітень!P30</f>
        <v>1315.24</v>
      </c>
      <c r="E30" s="19" t="n">
        <f aca="false">квітень!Q30</f>
        <v>0</v>
      </c>
      <c r="F30" s="20" t="n">
        <f aca="false">квітень!F30</f>
        <v>0</v>
      </c>
      <c r="G30" s="21" t="n">
        <f aca="false">квітень!G30</f>
        <v>49.7</v>
      </c>
      <c r="H30" s="21" t="n">
        <f aca="false">квітень!H30</f>
        <v>0</v>
      </c>
      <c r="I30" s="22" t="n">
        <f aca="false">квітень!I30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1519.01</v>
      </c>
      <c r="Q30" s="25" t="n">
        <f aca="false">IF(E30=0,IF((D30+N30-O30)&lt;0,ABS(D30+N30-O30),0),IF((N30-E30-O30)&lt;0,ABS(N30-E30-O30),0))</f>
        <v>0</v>
      </c>
      <c r="T30" s="49"/>
      <c r="U30" s="49"/>
      <c r="V30" s="49"/>
      <c r="W30" s="49"/>
    </row>
    <row r="31" customFormat="false" ht="15" hidden="false" customHeight="true" outlineLevel="0" collapsed="false">
      <c r="A31" s="17" t="s">
        <v>89</v>
      </c>
      <c r="B31" s="18" t="str">
        <f aca="false">квітень!B31</f>
        <v>Фоміченко Л.А</v>
      </c>
      <c r="C31" s="18" t="str">
        <f aca="false">квітень!C31</f>
        <v>1023</v>
      </c>
      <c r="D31" s="19" t="n">
        <f aca="false">квітень!P31</f>
        <v>575.64</v>
      </c>
      <c r="E31" s="19" t="n">
        <f aca="false">квітень!Q31</f>
        <v>0</v>
      </c>
      <c r="F31" s="20" t="n">
        <f aca="false">квітень!F31</f>
        <v>0</v>
      </c>
      <c r="G31" s="21" t="n">
        <f aca="false">квітень!G31</f>
        <v>35.1</v>
      </c>
      <c r="H31" s="21" t="n">
        <f aca="false">квітень!H31</f>
        <v>0</v>
      </c>
      <c r="I31" s="22" t="n">
        <f aca="false">квітень!I31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719.55</v>
      </c>
      <c r="Q31" s="25" t="n">
        <f aca="false">IF(E31=0,IF((D31+N31-O31)&lt;0,ABS(D31+N31-O31),0),IF((N31-E31-O31)&lt;0,ABS(N31-E31-O31),0))</f>
        <v>0</v>
      </c>
      <c r="T31" s="49"/>
      <c r="U31" s="49"/>
      <c r="V31" s="49"/>
      <c r="W31" s="49"/>
    </row>
    <row r="32" customFormat="false" ht="15" hidden="false" customHeight="true" outlineLevel="0" collapsed="false">
      <c r="A32" s="17" t="s">
        <v>92</v>
      </c>
      <c r="B32" s="18" t="str">
        <f aca="false">квітень!B32</f>
        <v>Сердюк А.Г</v>
      </c>
      <c r="C32" s="18" t="str">
        <f aca="false">квітень!C32</f>
        <v>1024</v>
      </c>
      <c r="D32" s="19" t="n">
        <f aca="false">квітень!P32</f>
        <v>1550.49</v>
      </c>
      <c r="E32" s="19" t="n">
        <f aca="false">квітень!Q32</f>
        <v>0</v>
      </c>
      <c r="F32" s="20" t="n">
        <f aca="false">квітень!F32</f>
        <v>0</v>
      </c>
      <c r="G32" s="21" t="n">
        <f aca="false">квітень!G32</f>
        <v>62.31</v>
      </c>
      <c r="H32" s="21" t="n">
        <f aca="false">квітень!H32</f>
        <v>0</v>
      </c>
      <c r="I32" s="22" t="n">
        <f aca="false">квітень!I32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 t="n">
        <v>300</v>
      </c>
      <c r="P32" s="25" t="n">
        <f aca="false">IF(D32=0,IF((N32-E32-O32)&gt;0,(N32-E32-O32),0),IF((D32+N32-O32)&gt;0,(D32+N32-O32),0))</f>
        <v>1505.96</v>
      </c>
      <c r="Q32" s="25" t="n">
        <f aca="false">IF(E32=0,IF((D32+N32-O32)&lt;0,ABS(D32+N32-O32),0),IF((N32-E32-O32)&lt;0,ABS(N32-E32-O32),0))</f>
        <v>0</v>
      </c>
      <c r="T32" s="49"/>
      <c r="U32" s="49"/>
      <c r="V32" s="49"/>
      <c r="W32" s="49"/>
    </row>
    <row r="33" customFormat="false" ht="15" hidden="false" customHeight="true" outlineLevel="0" collapsed="false">
      <c r="A33" s="17" t="s">
        <v>95</v>
      </c>
      <c r="B33" s="18" t="str">
        <f aca="false">квітень!B33</f>
        <v>Михальченко Г.М</v>
      </c>
      <c r="C33" s="18" t="str">
        <f aca="false">квітень!C33</f>
        <v>1025</v>
      </c>
      <c r="D33" s="19" t="n">
        <f aca="false">квітень!P33</f>
        <v>3854.12</v>
      </c>
      <c r="E33" s="19" t="n">
        <f aca="false">квітень!Q33</f>
        <v>0</v>
      </c>
      <c r="F33" s="20" t="n">
        <f aca="false">квітень!F33</f>
        <v>0</v>
      </c>
      <c r="G33" s="21" t="n">
        <f aca="false">квітень!G33</f>
        <v>65.04</v>
      </c>
      <c r="H33" s="21" t="n">
        <f aca="false">квітень!H33</f>
        <v>0</v>
      </c>
      <c r="I33" s="22" t="n">
        <f aca="false">квітень!I33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4120.78</v>
      </c>
      <c r="Q33" s="25" t="n">
        <f aca="false">IF(E33=0,IF((D33+N33-O33)&lt;0,ABS(D33+N33-O33),0),IF((N33-E33-O33)&lt;0,ABS(N33-E33-O33),0))</f>
        <v>0</v>
      </c>
      <c r="T33" s="49"/>
      <c r="U33" s="49"/>
      <c r="V33" s="49"/>
      <c r="W33" s="49"/>
    </row>
    <row r="34" customFormat="false" ht="15" hidden="false" customHeight="false" outlineLevel="0" collapsed="false">
      <c r="A34" s="17" t="s">
        <v>98</v>
      </c>
      <c r="B34" s="18" t="str">
        <f aca="false">квітень!B34</f>
        <v>Замуховська Я.С</v>
      </c>
      <c r="C34" s="18" t="str">
        <f aca="false">квітень!C34</f>
        <v>1026</v>
      </c>
      <c r="D34" s="19" t="n">
        <f aca="false">квітень!P34</f>
        <v>1853.69</v>
      </c>
      <c r="E34" s="19" t="n">
        <f aca="false">квітень!Q34</f>
        <v>0</v>
      </c>
      <c r="F34" s="20" t="n">
        <f aca="false">квітень!F34</f>
        <v>0</v>
      </c>
      <c r="G34" s="21" t="n">
        <f aca="false">квітень!G34</f>
        <v>49.8</v>
      </c>
      <c r="H34" s="21" t="n">
        <f aca="false">квітень!H34</f>
        <v>0</v>
      </c>
      <c r="I34" s="22" t="n">
        <f aca="false">квітень!I34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2057.87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квітень!B35</f>
        <v>Мержиєвська Г.К</v>
      </c>
      <c r="C35" s="18" t="str">
        <f aca="false">квітень!C35</f>
        <v>1027</v>
      </c>
      <c r="D35" s="19" t="n">
        <f aca="false">квітень!P35</f>
        <v>395.7</v>
      </c>
      <c r="E35" s="19" t="n">
        <f aca="false">квітень!Q35</f>
        <v>0</v>
      </c>
      <c r="F35" s="20" t="n">
        <f aca="false">квітень!F35</f>
        <v>0</v>
      </c>
      <c r="G35" s="21" t="n">
        <f aca="false">квітень!G35</f>
        <v>35.17</v>
      </c>
      <c r="H35" s="21" t="n">
        <f aca="false">квітень!H35</f>
        <v>0</v>
      </c>
      <c r="I35" s="22" t="n">
        <f aca="false">квітень!I35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 t="n">
        <v>300</v>
      </c>
      <c r="P35" s="25" t="n">
        <f aca="false">IF(D35=0,IF((N35-E35-O35)&gt;0,(N35-E35-O35),0),IF((D35+N35-O35)&gt;0,(D35+N35-O35),0))</f>
        <v>239.9</v>
      </c>
      <c r="Q35" s="25" t="n">
        <f aca="false">IF(E35=0,IF((D35+N35-O35)&lt;0,ABS(D35+N35-O35),0),IF((N35-E35-O35)&lt;0,ABS(N35-E35-O35),0))</f>
        <v>0</v>
      </c>
    </row>
    <row r="36" customFormat="false" ht="15" hidden="false" customHeight="false" outlineLevel="0" collapsed="false">
      <c r="A36" s="17" t="s">
        <v>104</v>
      </c>
      <c r="B36" s="18" t="str">
        <f aca="false">квітень!B36</f>
        <v>Кулакова Л.В.</v>
      </c>
      <c r="C36" s="18" t="str">
        <f aca="false">квітень!C36</f>
        <v>1028</v>
      </c>
      <c r="D36" s="19" t="n">
        <f aca="false">квітень!P36</f>
        <v>997.83</v>
      </c>
      <c r="E36" s="19" t="n">
        <f aca="false">квітень!Q36</f>
        <v>0</v>
      </c>
      <c r="F36" s="20" t="n">
        <f aca="false">квітень!F36</f>
        <v>0</v>
      </c>
      <c r="G36" s="21" t="n">
        <f aca="false">квітень!G36</f>
        <v>62.47</v>
      </c>
      <c r="H36" s="21" t="n">
        <f aca="false">квітень!H36</f>
        <v>0</v>
      </c>
      <c r="I36" s="22" t="n">
        <f aca="false">квітень!I36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1253.96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квітень!B37</f>
        <v>Бочаров В.Л.</v>
      </c>
      <c r="C37" s="18" t="str">
        <f aca="false">квітень!C37</f>
        <v>1029</v>
      </c>
      <c r="D37" s="19" t="n">
        <f aca="false">квітень!P37</f>
        <v>2556.96</v>
      </c>
      <c r="E37" s="19" t="n">
        <f aca="false">квітень!Q37</f>
        <v>0</v>
      </c>
      <c r="F37" s="20" t="n">
        <f aca="false">квітень!F37</f>
        <v>0</v>
      </c>
      <c r="G37" s="21" t="n">
        <f aca="false">квітень!G37</f>
        <v>65.75</v>
      </c>
      <c r="H37" s="21" t="n">
        <f aca="false">квітень!H37</f>
        <v>0</v>
      </c>
      <c r="I37" s="22" t="n">
        <f aca="false">квітень!I37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2826.54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квітень!B38</f>
        <v>Лучков В.Л.</v>
      </c>
      <c r="C38" s="18" t="str">
        <f aca="false">квітень!C38</f>
        <v>1030</v>
      </c>
      <c r="D38" s="19" t="n">
        <f aca="false">квітень!P38</f>
        <v>3047.91</v>
      </c>
      <c r="E38" s="19" t="n">
        <f aca="false">квітень!Q38</f>
        <v>0</v>
      </c>
      <c r="F38" s="20" t="n">
        <f aca="false">квітень!F38</f>
        <v>0</v>
      </c>
      <c r="G38" s="21" t="n">
        <f aca="false">квітень!G38</f>
        <v>49.7</v>
      </c>
      <c r="H38" s="21" t="n">
        <f aca="false">квітень!H38</f>
        <v>0</v>
      </c>
      <c r="I38" s="22" t="n">
        <f aca="false">квітень!I38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3251.68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квітень!B39</f>
        <v>Кашкар Т.М.</v>
      </c>
      <c r="C39" s="18" t="str">
        <f aca="false">квітень!C39</f>
        <v>1031</v>
      </c>
      <c r="D39" s="19" t="n">
        <f aca="false">квітень!P39</f>
        <v>0</v>
      </c>
      <c r="E39" s="19" t="n">
        <f aca="false">квітень!Q39</f>
        <v>5.6843418860808E-014</v>
      </c>
      <c r="F39" s="20" t="n">
        <f aca="false">квітень!F39</f>
        <v>0</v>
      </c>
      <c r="G39" s="21" t="n">
        <f aca="false">квітень!G39</f>
        <v>35.1</v>
      </c>
      <c r="H39" s="21" t="n">
        <f aca="false">квітень!H39</f>
        <v>0</v>
      </c>
      <c r="I39" s="22" t="n">
        <f aca="false">квітень!I39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143.91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квітень!B40</f>
        <v>Стецюк Н.П.</v>
      </c>
      <c r="C40" s="18" t="str">
        <f aca="false">квітень!C40</f>
        <v>1032</v>
      </c>
      <c r="D40" s="19" t="n">
        <f aca="false">квітень!P40</f>
        <v>2774.83</v>
      </c>
      <c r="E40" s="19" t="n">
        <f aca="false">квітень!Q40</f>
        <v>0</v>
      </c>
      <c r="F40" s="20" t="n">
        <f aca="false">квітень!F40</f>
        <v>0</v>
      </c>
      <c r="G40" s="21" t="n">
        <f aca="false">квітень!G40</f>
        <v>61.9</v>
      </c>
      <c r="H40" s="21" t="n">
        <f aca="false">квітень!H40</f>
        <v>0</v>
      </c>
      <c r="I40" s="22" t="n">
        <f aca="false">квітень!I40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3028.62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квітень!B41</f>
        <v>Маханько В.О.</v>
      </c>
      <c r="C41" s="18" t="str">
        <f aca="false">квітень!C41</f>
        <v>1033</v>
      </c>
      <c r="D41" s="19" t="n">
        <f aca="false">квітень!P41</f>
        <v>1232.64</v>
      </c>
      <c r="E41" s="19" t="n">
        <f aca="false">квітень!Q41</f>
        <v>0</v>
      </c>
      <c r="F41" s="20" t="n">
        <f aca="false">квітень!F41</f>
        <v>0</v>
      </c>
      <c r="G41" s="21" t="n">
        <f aca="false">квітень!G41</f>
        <v>65.53</v>
      </c>
      <c r="H41" s="21" t="n">
        <f aca="false">квітень!H41</f>
        <v>0</v>
      </c>
      <c r="I41" s="22" t="n">
        <f aca="false">квітень!I41</f>
        <v>4.1</v>
      </c>
      <c r="J41" s="23" t="n">
        <f aca="false">ROUND(G41*I41,2)</f>
        <v>268.67</v>
      </c>
      <c r="K41" s="19"/>
      <c r="L41" s="19" t="n">
        <v>268.67</v>
      </c>
      <c r="M41" s="19"/>
      <c r="N41" s="19" t="n">
        <f aca="false">ROUND((G41*I41)-K41-L41-M41,2)</f>
        <v>0</v>
      </c>
      <c r="O41" s="19"/>
      <c r="P41" s="25" t="n">
        <f aca="false">IF(D41=0,IF((N41-E41-O41)&gt;0,(N41-E41-O41),0),IF((D41+N41-O41)&gt;0,(D41+N41-O41),0))</f>
        <v>1232.64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квітень!B42</f>
        <v>Реуцька Р.С.</v>
      </c>
      <c r="C42" s="18" t="str">
        <f aca="false">квітень!C42</f>
        <v>1034</v>
      </c>
      <c r="D42" s="19" t="n">
        <f aca="false">квітень!P42</f>
        <v>1740.82</v>
      </c>
      <c r="E42" s="19" t="n">
        <f aca="false">квітень!Q42</f>
        <v>0</v>
      </c>
      <c r="F42" s="20" t="n">
        <f aca="false">квітень!F42</f>
        <v>0</v>
      </c>
      <c r="G42" s="21" t="n">
        <f aca="false">квітень!G42</f>
        <v>49.7</v>
      </c>
      <c r="H42" s="21" t="n">
        <f aca="false">квітень!H42</f>
        <v>0</v>
      </c>
      <c r="I42" s="22" t="n">
        <f aca="false">квітень!I42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1944.59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квітень!B43</f>
        <v>Колесникова Р.Г.</v>
      </c>
      <c r="C43" s="18" t="str">
        <f aca="false">квітень!C43</f>
        <v>1035</v>
      </c>
      <c r="D43" s="19" t="n">
        <f aca="false">квітень!P43</f>
        <v>871.94</v>
      </c>
      <c r="E43" s="19" t="n">
        <f aca="false">квітень!Q43</f>
        <v>0</v>
      </c>
      <c r="F43" s="20" t="n">
        <f aca="false">квітень!F43</f>
        <v>0</v>
      </c>
      <c r="G43" s="21" t="n">
        <f aca="false">квітень!G43</f>
        <v>35.1</v>
      </c>
      <c r="H43" s="21" t="n">
        <f aca="false">квітень!H43</f>
        <v>0</v>
      </c>
      <c r="I43" s="22" t="n">
        <f aca="false">квітень!I43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1015.85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квітень!B44</f>
        <v>Кучеренко М.М.</v>
      </c>
      <c r="C44" s="18" t="str">
        <f aca="false">квітень!C44</f>
        <v>1036</v>
      </c>
      <c r="D44" s="19" t="n">
        <f aca="false">квітень!P44</f>
        <v>3902.67</v>
      </c>
      <c r="E44" s="19" t="n">
        <f aca="false">квітень!Q44</f>
        <v>0</v>
      </c>
      <c r="F44" s="20" t="n">
        <f aca="false">квітень!F44</f>
        <v>0</v>
      </c>
      <c r="G44" s="21" t="n">
        <f aca="false">квітень!G44</f>
        <v>61.88</v>
      </c>
      <c r="H44" s="21" t="n">
        <f aca="false">квітень!H44</f>
        <v>0</v>
      </c>
      <c r="I44" s="22" t="n">
        <f aca="false">квітень!I44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4156.38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квітень!B45</f>
        <v>Гурова О.М.</v>
      </c>
      <c r="C45" s="18" t="str">
        <f aca="false">квітень!C45</f>
        <v>2037</v>
      </c>
      <c r="D45" s="19" t="n">
        <f aca="false">квітень!P45</f>
        <v>448.63</v>
      </c>
      <c r="E45" s="19" t="n">
        <f aca="false">квітень!Q45</f>
        <v>0</v>
      </c>
      <c r="F45" s="20" t="n">
        <f aca="false">квітень!F45</f>
        <v>0</v>
      </c>
      <c r="G45" s="21" t="n">
        <f aca="false">квітень!G45</f>
        <v>62.2</v>
      </c>
      <c r="H45" s="21" t="n">
        <f aca="false">квітень!H45</f>
        <v>0</v>
      </c>
      <c r="I45" s="22" t="n">
        <f aca="false">квітень!I45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 t="n">
        <v>1020.08</v>
      </c>
      <c r="P45" s="25" t="n">
        <f aca="false">IF(D45=0,IF((N45-E45-O45)&gt;0,(N45-E45-O45),0),IF((D45+N45-O45)&gt;0,(D45+N45-O45),0))</f>
        <v>0</v>
      </c>
      <c r="Q45" s="25" t="n">
        <f aca="false">IF(E45=0,IF((D45+N45-O45)&lt;0,ABS(D45+N45-O45),0),IF((N45-E45-O45)&lt;0,ABS(N45-E45-O45),0))</f>
        <v>316.43</v>
      </c>
    </row>
    <row r="46" customFormat="false" ht="15" hidden="false" customHeight="false" outlineLevel="0" collapsed="false">
      <c r="A46" s="17" t="s">
        <v>134</v>
      </c>
      <c r="B46" s="18" t="str">
        <f aca="false">квітень!B46</f>
        <v>Федорова В.І.</v>
      </c>
      <c r="C46" s="18" t="str">
        <f aca="false">квітень!C46</f>
        <v>2038</v>
      </c>
      <c r="D46" s="19" t="n">
        <f aca="false">квітень!P46</f>
        <v>143.36</v>
      </c>
      <c r="E46" s="19" t="n">
        <f aca="false">квітень!Q46</f>
        <v>0</v>
      </c>
      <c r="F46" s="20" t="n">
        <f aca="false">квітень!F46</f>
        <v>0</v>
      </c>
      <c r="G46" s="21" t="n">
        <f aca="false">квітень!G46</f>
        <v>34.9</v>
      </c>
      <c r="H46" s="21" t="n">
        <f aca="false">квітень!H46</f>
        <v>0</v>
      </c>
      <c r="I46" s="22" t="n">
        <f aca="false">квітень!I46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 t="n">
        <v>144</v>
      </c>
      <c r="P46" s="25" t="n">
        <f aca="false">IF(D46=0,IF((N46-E46-O46)&gt;0,(N46-E46-O46),0),IF((D46+N46-O46)&gt;0,(D46+N46-O46),0))</f>
        <v>142.45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квітень!B47</f>
        <v>Лаптєв В.І.</v>
      </c>
      <c r="C47" s="18" t="str">
        <f aca="false">квітень!C47</f>
        <v>2039</v>
      </c>
      <c r="D47" s="19" t="n">
        <f aca="false">квітень!P47</f>
        <v>200.06</v>
      </c>
      <c r="E47" s="19" t="n">
        <f aca="false">квітень!Q47</f>
        <v>0</v>
      </c>
      <c r="F47" s="20" t="n">
        <f aca="false">квітень!F47</f>
        <v>0</v>
      </c>
      <c r="G47" s="21" t="n">
        <f aca="false">квітень!G47</f>
        <v>48.8</v>
      </c>
      <c r="H47" s="21" t="n">
        <f aca="false">квітень!H47</f>
        <v>0</v>
      </c>
      <c r="I47" s="22" t="n">
        <f aca="false">квітень!I47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200.040000000001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квітень!B48</f>
        <v>Тимощук О.Є.</v>
      </c>
      <c r="C48" s="18" t="str">
        <f aca="false">квітень!C48</f>
        <v>2040</v>
      </c>
      <c r="D48" s="19" t="n">
        <f aca="false">квітень!P48</f>
        <v>563.990000000001</v>
      </c>
      <c r="E48" s="19" t="n">
        <f aca="false">квітень!Q48</f>
        <v>0</v>
      </c>
      <c r="F48" s="20" t="n">
        <f aca="false">квітень!F48</f>
        <v>0</v>
      </c>
      <c r="G48" s="21" t="n">
        <f aca="false">квітень!G48</f>
        <v>57.3</v>
      </c>
      <c r="H48" s="21" t="n">
        <f aca="false">квітень!H48</f>
        <v>0</v>
      </c>
      <c r="I48" s="22" t="n">
        <f aca="false">квітень!I48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v>300</v>
      </c>
      <c r="P48" s="25" t="n">
        <f aca="false">IF(D48=0,IF((N48-E48-O48)&gt;0,(N48-E48-O48),0),IF((D48+N48-O48)&gt;0,(D48+N48-O48),0))</f>
        <v>498.920000000001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квітень!B49</f>
        <v>Котяш О.В.</v>
      </c>
      <c r="C49" s="18" t="str">
        <f aca="false">квітень!C49</f>
        <v>2041</v>
      </c>
      <c r="D49" s="19" t="n">
        <f aca="false">квітень!P49</f>
        <v>2852.69</v>
      </c>
      <c r="E49" s="19" t="n">
        <f aca="false">квітень!Q49</f>
        <v>0</v>
      </c>
      <c r="F49" s="20" t="n">
        <f aca="false">квітень!F49</f>
        <v>0</v>
      </c>
      <c r="G49" s="21" t="n">
        <f aca="false">квітень!G49</f>
        <v>63.3</v>
      </c>
      <c r="H49" s="21" t="n">
        <f aca="false">квітень!H49</f>
        <v>0</v>
      </c>
      <c r="I49" s="22" t="n">
        <f aca="false">квітень!I49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3112.22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квітень!B50</f>
        <v>Токовило-Паращенко Л.П.</v>
      </c>
      <c r="C50" s="18" t="str">
        <f aca="false">квітень!C50</f>
        <v>2042</v>
      </c>
      <c r="D50" s="19" t="n">
        <f aca="false">квітень!P50</f>
        <v>1616.53</v>
      </c>
      <c r="E50" s="19" t="n">
        <f aca="false">квітень!Q50</f>
        <v>0</v>
      </c>
      <c r="F50" s="20" t="n">
        <f aca="false">квітень!F50</f>
        <v>0</v>
      </c>
      <c r="G50" s="21" t="n">
        <f aca="false">квітень!G50</f>
        <v>35.68</v>
      </c>
      <c r="H50" s="21" t="n">
        <f aca="false">квітень!H50</f>
        <v>0</v>
      </c>
      <c r="I50" s="22" t="n">
        <f aca="false">квітень!I50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1762.82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квітень!B51</f>
        <v>Бєлая К.В.</v>
      </c>
      <c r="C51" s="18" t="str">
        <f aca="false">квітень!C51</f>
        <v>2043</v>
      </c>
      <c r="D51" s="19" t="n">
        <f aca="false">квітень!P51</f>
        <v>1633.44</v>
      </c>
      <c r="E51" s="19" t="n">
        <f aca="false">квітень!Q51</f>
        <v>0</v>
      </c>
      <c r="F51" s="20" t="n">
        <f aca="false">квітень!F51</f>
        <v>0</v>
      </c>
      <c r="G51" s="21" t="n">
        <f aca="false">квітень!G51</f>
        <v>49.8</v>
      </c>
      <c r="H51" s="21" t="n">
        <f aca="false">квітень!H51</f>
        <v>0</v>
      </c>
      <c r="I51" s="22" t="n">
        <f aca="false">квітень!I51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1837.62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квітень!B52</f>
        <v>Стадник О.Ф.</v>
      </c>
      <c r="C52" s="18" t="str">
        <f aca="false">квітень!C52</f>
        <v>2044</v>
      </c>
      <c r="D52" s="19" t="n">
        <f aca="false">квітень!P52</f>
        <v>3563.95</v>
      </c>
      <c r="E52" s="19" t="n">
        <f aca="false">квітень!Q52</f>
        <v>0</v>
      </c>
      <c r="F52" s="20" t="n">
        <f aca="false">квітень!F52</f>
        <v>0</v>
      </c>
      <c r="G52" s="21" t="n">
        <f aca="false">квітень!G52</f>
        <v>65.9</v>
      </c>
      <c r="H52" s="21" t="n">
        <f aca="false">квітень!H52</f>
        <v>0</v>
      </c>
      <c r="I52" s="22" t="n">
        <f aca="false">квітень!I52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3834.14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квітень!B53</f>
        <v>Ляшенко В.М.</v>
      </c>
      <c r="C53" s="18" t="str">
        <f aca="false">квітень!C53</f>
        <v>2045</v>
      </c>
      <c r="D53" s="19" t="n">
        <f aca="false">квітень!P53</f>
        <v>254.199999999999</v>
      </c>
      <c r="E53" s="19" t="n">
        <f aca="false">квітень!Q53</f>
        <v>0</v>
      </c>
      <c r="F53" s="20" t="n">
        <f aca="false">квітень!F53</f>
        <v>0</v>
      </c>
      <c r="G53" s="21" t="n">
        <f aca="false">квітень!G53</f>
        <v>62</v>
      </c>
      <c r="H53" s="21" t="n">
        <f aca="false">квітень!H53</f>
        <v>0</v>
      </c>
      <c r="I53" s="22" t="n">
        <f aca="false">квітень!I53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508.399999999999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квітень!B54</f>
        <v>Смоленська Т.О.</v>
      </c>
      <c r="C54" s="18" t="str">
        <f aca="false">квітень!C54</f>
        <v>2046</v>
      </c>
      <c r="D54" s="19" t="n">
        <f aca="false">квітень!P54</f>
        <v>1575.64</v>
      </c>
      <c r="E54" s="19" t="n">
        <f aca="false">квітень!Q54</f>
        <v>0</v>
      </c>
      <c r="F54" s="20" t="n">
        <f aca="false">квітень!F54</f>
        <v>0</v>
      </c>
      <c r="G54" s="21" t="n">
        <f aca="false">квітень!G54</f>
        <v>35.1</v>
      </c>
      <c r="H54" s="21" t="n">
        <f aca="false">квітень!H54</f>
        <v>0</v>
      </c>
      <c r="I54" s="22" t="n">
        <f aca="false">квітень!I54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1719.55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квітень!B55</f>
        <v>Дудка І.В.</v>
      </c>
      <c r="C55" s="18" t="str">
        <f aca="false">квітень!C55</f>
        <v>2047</v>
      </c>
      <c r="D55" s="19" t="n">
        <f aca="false">квітень!P55</f>
        <v>4.54747350886464E-013</v>
      </c>
      <c r="E55" s="19" t="n">
        <f aca="false">квітень!Q55</f>
        <v>0</v>
      </c>
      <c r="F55" s="20" t="n">
        <f aca="false">квітень!F55</f>
        <v>0</v>
      </c>
      <c r="G55" s="21" t="n">
        <f aca="false">квітень!G55</f>
        <v>49.6</v>
      </c>
      <c r="H55" s="21" t="n">
        <f aca="false">квітень!H55</f>
        <v>0</v>
      </c>
      <c r="I55" s="22" t="n">
        <f aca="false">квітень!I55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203.36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квітень!B56</f>
        <v>Буланова Л.І.</v>
      </c>
      <c r="C56" s="18" t="str">
        <f aca="false">квітень!C56</f>
        <v>2048</v>
      </c>
      <c r="D56" s="19" t="n">
        <f aca="false">квітень!P56</f>
        <v>544.8</v>
      </c>
      <c r="E56" s="19" t="n">
        <f aca="false">квітень!Q56</f>
        <v>0</v>
      </c>
      <c r="F56" s="20" t="n">
        <f aca="false">квітень!F56</f>
        <v>0</v>
      </c>
      <c r="G56" s="21" t="n">
        <f aca="false">квітень!G56</f>
        <v>66.44</v>
      </c>
      <c r="H56" s="21" t="n">
        <f aca="false">квітень!H56</f>
        <v>0</v>
      </c>
      <c r="I56" s="22" t="n">
        <f aca="false">квітень!I56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 t="n">
        <v>544.8</v>
      </c>
      <c r="P56" s="25" t="n">
        <f aca="false">IF(D56=0,IF((N56-E56-O56)&gt;0,(N56-E56-O56),0),IF((D56+N56-O56)&gt;0,(D56+N56-O56),0))</f>
        <v>272.4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квітень!B57</f>
        <v>Шалімова О.О.</v>
      </c>
      <c r="C57" s="18" t="str">
        <f aca="false">квітень!C57</f>
        <v>2049</v>
      </c>
      <c r="D57" s="19" t="n">
        <f aca="false">квітень!P57</f>
        <v>2778.71</v>
      </c>
      <c r="E57" s="19" t="n">
        <f aca="false">квітень!Q57</f>
        <v>0</v>
      </c>
      <c r="F57" s="20" t="n">
        <f aca="false">квітень!F57</f>
        <v>0</v>
      </c>
      <c r="G57" s="21" t="n">
        <f aca="false">квітень!G57</f>
        <v>62.1</v>
      </c>
      <c r="H57" s="21" t="n">
        <f aca="false">квітень!H57</f>
        <v>0</v>
      </c>
      <c r="I57" s="22" t="n">
        <f aca="false">квітень!I57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3033.32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квітень!B58</f>
        <v>Андросик О.О.</v>
      </c>
      <c r="C58" s="18" t="str">
        <f aca="false">квітень!C58</f>
        <v>2050</v>
      </c>
      <c r="D58" s="19" t="n">
        <f aca="false">квітень!P58</f>
        <v>572.36</v>
      </c>
      <c r="E58" s="19" t="n">
        <f aca="false">квітень!Q58</f>
        <v>0</v>
      </c>
      <c r="F58" s="20" t="n">
        <f aca="false">квітень!F58</f>
        <v>0</v>
      </c>
      <c r="G58" s="21" t="n">
        <f aca="false">квітень!G58</f>
        <v>34.9</v>
      </c>
      <c r="H58" s="21" t="n">
        <f aca="false">квітень!H58</f>
        <v>0</v>
      </c>
      <c r="I58" s="22" t="n">
        <f aca="false">квітень!I58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 t="n">
        <v>715.45</v>
      </c>
      <c r="P58" s="25" t="n">
        <f aca="false">IF(D58=0,IF((N58-E58-O58)&gt;0,(N58-E58-O58),0),IF((D58+N58-O58)&gt;0,(D58+N58-O58),0))</f>
        <v>0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квітень!B59</f>
        <v>Токар Є.А.</v>
      </c>
      <c r="C59" s="18" t="str">
        <f aca="false">квітень!C59</f>
        <v>2051</v>
      </c>
      <c r="D59" s="19" t="n">
        <f aca="false">квітень!P59</f>
        <v>2365.35</v>
      </c>
      <c r="E59" s="19" t="n">
        <f aca="false">квітень!Q59</f>
        <v>0</v>
      </c>
      <c r="F59" s="20" t="n">
        <f aca="false">квітень!F59</f>
        <v>0</v>
      </c>
      <c r="G59" s="21" t="n">
        <f aca="false">квітень!G59</f>
        <v>49.22</v>
      </c>
      <c r="H59" s="21" t="n">
        <f aca="false">квітень!H59</f>
        <v>0</v>
      </c>
      <c r="I59" s="22" t="n">
        <f aca="false">квітень!I59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2567.15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квітень!B60</f>
        <v>Констанчук І.В.</v>
      </c>
      <c r="C60" s="18" t="str">
        <f aca="false">квітень!C60</f>
        <v>2052</v>
      </c>
      <c r="D60" s="19" t="n">
        <f aca="false">квітень!P60</f>
        <v>2918.61</v>
      </c>
      <c r="E60" s="19" t="n">
        <f aca="false">квітень!Q60</f>
        <v>0</v>
      </c>
      <c r="F60" s="20" t="n">
        <f aca="false">квітень!F60</f>
        <v>0</v>
      </c>
      <c r="G60" s="21" t="n">
        <f aca="false">квітень!G60</f>
        <v>65.5</v>
      </c>
      <c r="H60" s="21" t="n">
        <f aca="false">квітень!H60</f>
        <v>0</v>
      </c>
      <c r="I60" s="22" t="n">
        <f aca="false">квітень!I60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3187.16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квітень!B61</f>
        <v>Гончаров В.В.</v>
      </c>
      <c r="C61" s="18" t="str">
        <f aca="false">квітень!C61</f>
        <v>2053</v>
      </c>
      <c r="D61" s="19" t="n">
        <f aca="false">квітень!P61</f>
        <v>929.800000000002</v>
      </c>
      <c r="E61" s="19" t="n">
        <f aca="false">квітень!Q61</f>
        <v>0</v>
      </c>
      <c r="F61" s="20" t="n">
        <f aca="false">квітень!F61</f>
        <v>0</v>
      </c>
      <c r="G61" s="21" t="n">
        <f aca="false">квітень!G61</f>
        <v>62.64</v>
      </c>
      <c r="H61" s="21" t="n">
        <f aca="false">квітень!H61</f>
        <v>0</v>
      </c>
      <c r="I61" s="22" t="n">
        <f aca="false">квітень!I61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 t="n">
        <v>2984.36</v>
      </c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1797.74</v>
      </c>
    </row>
    <row r="62" customFormat="false" ht="15" hidden="false" customHeight="false" outlineLevel="0" collapsed="false">
      <c r="A62" s="17" t="s">
        <v>182</v>
      </c>
      <c r="B62" s="18" t="str">
        <f aca="false">квітень!B62</f>
        <v>Ляхомський В.О.</v>
      </c>
      <c r="C62" s="18" t="str">
        <f aca="false">квітень!C62</f>
        <v>2054</v>
      </c>
      <c r="D62" s="19" t="n">
        <f aca="false">квітень!P62</f>
        <v>433.75</v>
      </c>
      <c r="E62" s="19" t="n">
        <f aca="false">квітень!Q62</f>
        <v>0</v>
      </c>
      <c r="F62" s="20" t="n">
        <f aca="false">квітень!F62</f>
        <v>0</v>
      </c>
      <c r="G62" s="21" t="n">
        <f aca="false">квітень!G62</f>
        <v>34.9</v>
      </c>
      <c r="H62" s="21" t="n">
        <f aca="false">квітень!H62</f>
        <v>0</v>
      </c>
      <c r="I62" s="22" t="n">
        <f aca="false">квітень!I62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576.84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квітень!B63</f>
        <v>Крамаренко В.П.</v>
      </c>
      <c r="C63" s="18" t="str">
        <f aca="false">квітень!C63</f>
        <v>2055</v>
      </c>
      <c r="D63" s="19" t="n">
        <f aca="false">квітень!P63</f>
        <v>2252.5</v>
      </c>
      <c r="E63" s="19" t="n">
        <f aca="false">квітень!Q63</f>
        <v>0</v>
      </c>
      <c r="F63" s="20" t="n">
        <f aca="false">квітень!F63</f>
        <v>0</v>
      </c>
      <c r="G63" s="21" t="n">
        <f aca="false">квітень!G63</f>
        <v>49.79</v>
      </c>
      <c r="H63" s="21" t="n">
        <f aca="false">квітень!H63</f>
        <v>0</v>
      </c>
      <c r="I63" s="22" t="n">
        <f aca="false">квітень!I63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2456.64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квітень!B64</f>
        <v>Родзик С.Г.</v>
      </c>
      <c r="C64" s="18" t="str">
        <f aca="false">квітень!C64</f>
        <v>2056</v>
      </c>
      <c r="D64" s="19" t="n">
        <f aca="false">квітень!P64</f>
        <v>220.929999999999</v>
      </c>
      <c r="E64" s="19" t="n">
        <f aca="false">квітень!Q64</f>
        <v>0</v>
      </c>
      <c r="F64" s="20" t="n">
        <f aca="false">квітень!F64</f>
        <v>0</v>
      </c>
      <c r="G64" s="21" t="n">
        <f aca="false">квітень!G64</f>
        <v>65.2</v>
      </c>
      <c r="H64" s="21" t="n">
        <f aca="false">квітень!H64</f>
        <v>0</v>
      </c>
      <c r="I64" s="22" t="n">
        <f aca="false">квітень!I64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488.249999999999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квітень!B65</f>
        <v>Никоненко Н.С.</v>
      </c>
      <c r="C65" s="18" t="str">
        <f aca="false">квітень!C65</f>
        <v>2057</v>
      </c>
      <c r="D65" s="19" t="n">
        <f aca="false">квітень!P65</f>
        <v>1924.3</v>
      </c>
      <c r="E65" s="19" t="n">
        <f aca="false">квітень!Q65</f>
        <v>0</v>
      </c>
      <c r="F65" s="20" t="n">
        <f aca="false">квітень!F65</f>
        <v>0</v>
      </c>
      <c r="G65" s="21" t="n">
        <f aca="false">квітень!G65</f>
        <v>61.88</v>
      </c>
      <c r="H65" s="21" t="n">
        <f aca="false">квітень!H65</f>
        <v>0</v>
      </c>
      <c r="I65" s="22" t="n">
        <f aca="false">квітень!I65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2178.01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квітень!B66</f>
        <v>Чепок О.В.</v>
      </c>
      <c r="C66" s="18" t="str">
        <f aca="false">квітень!C66</f>
        <v>2058</v>
      </c>
      <c r="D66" s="19" t="n">
        <f aca="false">квітень!P66</f>
        <v>3191.91</v>
      </c>
      <c r="E66" s="19" t="n">
        <f aca="false">квітень!Q66</f>
        <v>0</v>
      </c>
      <c r="F66" s="20" t="n">
        <f aca="false">квітень!F66</f>
        <v>0</v>
      </c>
      <c r="G66" s="21" t="n">
        <f aca="false">квітень!G66</f>
        <v>35</v>
      </c>
      <c r="H66" s="21" t="n">
        <f aca="false">квітень!H66</f>
        <v>0</v>
      </c>
      <c r="I66" s="22" t="n">
        <f aca="false">квітень!I66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3335.41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квітень!B67</f>
        <v>Горошенко Л.С.</v>
      </c>
      <c r="C67" s="18" t="str">
        <f aca="false">квітень!C67</f>
        <v>2059</v>
      </c>
      <c r="D67" s="19" t="n">
        <f aca="false">квітень!P67</f>
        <v>0</v>
      </c>
      <c r="E67" s="19" t="n">
        <f aca="false">квітень!Q67</f>
        <v>1370.11</v>
      </c>
      <c r="F67" s="20" t="n">
        <f aca="false">квітень!F67</f>
        <v>0</v>
      </c>
      <c r="G67" s="21" t="n">
        <f aca="false">квітень!G67</f>
        <v>49.3</v>
      </c>
      <c r="H67" s="21" t="n">
        <f aca="false">квітень!H67</f>
        <v>0</v>
      </c>
      <c r="I67" s="22" t="n">
        <f aca="false">квітень!I67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300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1467.98</v>
      </c>
    </row>
    <row r="68" customFormat="false" ht="15" hidden="false" customHeight="false" outlineLevel="0" collapsed="false">
      <c r="A68" s="17" t="s">
        <v>200</v>
      </c>
      <c r="B68" s="18" t="str">
        <f aca="false">квітень!B68</f>
        <v>Неграчева Л.Г.</v>
      </c>
      <c r="C68" s="18" t="str">
        <f aca="false">квітень!C68</f>
        <v>2060</v>
      </c>
      <c r="D68" s="19" t="n">
        <f aca="false">квітень!P68</f>
        <v>383.019999999999</v>
      </c>
      <c r="E68" s="19" t="n">
        <f aca="false">квітень!Q68</f>
        <v>0</v>
      </c>
      <c r="F68" s="20" t="n">
        <f aca="false">квітень!F68</f>
        <v>0</v>
      </c>
      <c r="G68" s="21" t="n">
        <f aca="false">квітень!G68</f>
        <v>66.6</v>
      </c>
      <c r="H68" s="21" t="n">
        <f aca="false">квітень!H68</f>
        <v>0</v>
      </c>
      <c r="I68" s="22" t="n">
        <f aca="false">квітень!I68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 t="n">
        <v>800</v>
      </c>
      <c r="P68" s="25" t="n">
        <f aca="false">IF(D68=0,IF((N68-E68-O68)&gt;0,(N68-E68-O68),0),IF((D68+N68-O68)&gt;0,(D68+N68-O68),0))</f>
        <v>0</v>
      </c>
      <c r="Q68" s="25" t="n">
        <f aca="false">IF(E68=0,IF((D68+N68-O68)&lt;0,ABS(D68+N68-O68),0),IF((N68-E68-O68)&lt;0,ABS(N68-E68-O68),0))</f>
        <v>143.920000000001</v>
      </c>
    </row>
    <row r="69" customFormat="false" ht="15" hidden="false" customHeight="false" outlineLevel="0" collapsed="false">
      <c r="A69" s="17" t="s">
        <v>203</v>
      </c>
      <c r="B69" s="18" t="str">
        <f aca="false">квітень!B69</f>
        <v>Брежнєв О.В.</v>
      </c>
      <c r="C69" s="18" t="str">
        <f aca="false">квітень!C69</f>
        <v>2061</v>
      </c>
      <c r="D69" s="19" t="n">
        <f aca="false">квітень!P69</f>
        <v>4285.52</v>
      </c>
      <c r="E69" s="19" t="n">
        <f aca="false">квітень!Q69</f>
        <v>0</v>
      </c>
      <c r="F69" s="20" t="n">
        <f aca="false">квітень!F69</f>
        <v>0</v>
      </c>
      <c r="G69" s="21" t="n">
        <f aca="false">квітень!G69</f>
        <v>61.88</v>
      </c>
      <c r="H69" s="21" t="n">
        <f aca="false">квітень!H69</f>
        <v>0</v>
      </c>
      <c r="I69" s="22" t="n">
        <f aca="false">квітень!I69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 t="n">
        <v>500</v>
      </c>
      <c r="P69" s="25" t="n">
        <f aca="false">IF(D69=0,IF((N69-E69-O69)&gt;0,(N69-E69-O69),0),IF((D69+N69-O69)&gt;0,(D69+N69-O69),0))</f>
        <v>4039.23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квітень!B70</f>
        <v>Горбатюк К.О.</v>
      </c>
      <c r="C70" s="18" t="str">
        <f aca="false">квітень!C70</f>
        <v>2062</v>
      </c>
      <c r="D70" s="19" t="n">
        <f aca="false">квітень!P70</f>
        <v>1420.44</v>
      </c>
      <c r="E70" s="19" t="n">
        <f aca="false">квітень!Q70</f>
        <v>0</v>
      </c>
      <c r="F70" s="20" t="n">
        <f aca="false">квітень!F70</f>
        <v>0</v>
      </c>
      <c r="G70" s="21" t="n">
        <f aca="false">квітень!G70</f>
        <v>34.96</v>
      </c>
      <c r="H70" s="21" t="n">
        <f aca="false">квітень!H70</f>
        <v>0</v>
      </c>
      <c r="I70" s="22" t="n">
        <f aca="false">квітень!I70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1563.78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квітень!B71</f>
        <v>Божик М.О.</v>
      </c>
      <c r="C71" s="18" t="str">
        <f aca="false">квітень!C71</f>
        <v>2063</v>
      </c>
      <c r="D71" s="19" t="n">
        <f aca="false">квітень!P71</f>
        <v>808.48</v>
      </c>
      <c r="E71" s="19" t="n">
        <f aca="false">квітень!Q71</f>
        <v>0</v>
      </c>
      <c r="F71" s="20" t="n">
        <f aca="false">квітень!F71</f>
        <v>0</v>
      </c>
      <c r="G71" s="21" t="n">
        <f aca="false">квітень!G71</f>
        <v>50.03</v>
      </c>
      <c r="H71" s="21" t="n">
        <f aca="false">квітень!H71</f>
        <v>0</v>
      </c>
      <c r="I71" s="22" t="n">
        <f aca="false">квітень!I71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1013.6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квітень!B72</f>
        <v>Зайченко С.Л</v>
      </c>
      <c r="C72" s="18" t="str">
        <f aca="false">квітень!C72</f>
        <v>2064</v>
      </c>
      <c r="D72" s="19" t="n">
        <f aca="false">квітень!P72</f>
        <v>3977.13</v>
      </c>
      <c r="E72" s="19" t="n">
        <f aca="false">квітень!Q72</f>
        <v>0</v>
      </c>
      <c r="F72" s="20" t="n">
        <f aca="false">квітень!F72</f>
        <v>0</v>
      </c>
      <c r="G72" s="21" t="n">
        <f aca="false">квітень!G72</f>
        <v>65.15</v>
      </c>
      <c r="H72" s="21" t="n">
        <f aca="false">квітень!H72</f>
        <v>0</v>
      </c>
      <c r="I72" s="22" t="n">
        <f aca="false">квітень!I72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4244.25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квітень!B73</f>
        <v>Бессараб Н.Г.</v>
      </c>
      <c r="C73" s="18" t="str">
        <f aca="false">квітень!C73</f>
        <v>2065</v>
      </c>
      <c r="D73" s="19" t="n">
        <f aca="false">квітень!P73</f>
        <v>0</v>
      </c>
      <c r="E73" s="19" t="n">
        <f aca="false">квітень!Q73</f>
        <v>171.39</v>
      </c>
      <c r="F73" s="20" t="n">
        <f aca="false">квітень!F73</f>
        <v>0</v>
      </c>
      <c r="G73" s="21" t="n">
        <f aca="false">квітень!G73</f>
        <v>63.41</v>
      </c>
      <c r="H73" s="21" t="n">
        <f aca="false">квітень!H73</f>
        <v>0</v>
      </c>
      <c r="I73" s="22" t="n">
        <f aca="false">квітень!I73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 t="n">
        <v>300</v>
      </c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211.41</v>
      </c>
    </row>
    <row r="74" customFormat="false" ht="15" hidden="false" customHeight="false" outlineLevel="0" collapsed="false">
      <c r="A74" s="17" t="s">
        <v>218</v>
      </c>
      <c r="B74" s="18" t="str">
        <f aca="false">квітень!B74</f>
        <v>Прохорова С.І.</v>
      </c>
      <c r="C74" s="18" t="str">
        <f aca="false">квітень!C74</f>
        <v>2066</v>
      </c>
      <c r="D74" s="19" t="n">
        <f aca="false">квітень!P74</f>
        <v>1951.11</v>
      </c>
      <c r="E74" s="19" t="n">
        <f aca="false">квітень!Q74</f>
        <v>0</v>
      </c>
      <c r="F74" s="20" t="n">
        <f aca="false">квітень!F74</f>
        <v>0</v>
      </c>
      <c r="G74" s="21" t="n">
        <f aca="false">квітень!G74</f>
        <v>35.19</v>
      </c>
      <c r="H74" s="21" t="n">
        <f aca="false">квітень!H74</f>
        <v>0</v>
      </c>
      <c r="I74" s="22" t="n">
        <f aca="false">квітень!I74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2095.39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квітень!B75</f>
        <v>Браташ А.Ф.</v>
      </c>
      <c r="C75" s="18" t="str">
        <f aca="false">квітень!C75</f>
        <v>2067</v>
      </c>
      <c r="D75" s="19" t="n">
        <f aca="false">квітень!P75</f>
        <v>3335.47</v>
      </c>
      <c r="E75" s="19" t="n">
        <f aca="false">квітень!Q75</f>
        <v>0</v>
      </c>
      <c r="F75" s="20" t="n">
        <f aca="false">квітень!F75</f>
        <v>0</v>
      </c>
      <c r="G75" s="21" t="n">
        <f aca="false">квітень!G75</f>
        <v>49.89</v>
      </c>
      <c r="H75" s="21" t="n">
        <f aca="false">квітень!H75</f>
        <v>0</v>
      </c>
      <c r="I75" s="22" t="n">
        <f aca="false">квітень!I75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3540.02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квітень!B76</f>
        <v>Кудас Д.О.</v>
      </c>
      <c r="C76" s="18" t="str">
        <f aca="false">квітень!C76</f>
        <v>2068</v>
      </c>
      <c r="D76" s="19" t="n">
        <f aca="false">квітень!P76</f>
        <v>0</v>
      </c>
      <c r="E76" s="19" t="n">
        <f aca="false">квітень!Q76</f>
        <v>268.98</v>
      </c>
      <c r="F76" s="20" t="n">
        <f aca="false">квітень!F76</f>
        <v>0</v>
      </c>
      <c r="G76" s="21" t="n">
        <f aca="false">квітень!G76</f>
        <v>65.03</v>
      </c>
      <c r="H76" s="21" t="n">
        <f aca="false">квітень!H76</f>
        <v>0</v>
      </c>
      <c r="I76" s="22" t="n">
        <f aca="false">квітень!I76</f>
        <v>4.1</v>
      </c>
      <c r="J76" s="23" t="n">
        <f aca="false">ROUND(G76*I76,2)</f>
        <v>266.62</v>
      </c>
      <c r="K76" s="19"/>
      <c r="L76" s="19" t="n">
        <v>198.54</v>
      </c>
      <c r="M76" s="19"/>
      <c r="N76" s="19" t="n">
        <f aca="false">ROUND((G76*I76)-K76-L76-M76,2)</f>
        <v>68.08</v>
      </c>
      <c r="O76" s="19"/>
      <c r="P76" s="25" t="n">
        <f aca="false">IF(D76=0,IF((N76-E76-O76)&gt;0,(N76-E76-O76),0),IF((D76+N76-O76)&gt;0,(D76+N76-O76),0))</f>
        <v>0</v>
      </c>
      <c r="Q76" s="25" t="n">
        <f aca="false">IF(E76=0,IF((D76+N76-O76)&lt;0,ABS(D76+N76-O76),0),IF((N76-E76-O76)&lt;0,ABS(N76-E76-O76),0))</f>
        <v>200.9</v>
      </c>
    </row>
    <row r="77" customFormat="false" ht="15" hidden="false" customHeight="false" outlineLevel="0" collapsed="false">
      <c r="A77" s="17" t="s">
        <v>227</v>
      </c>
      <c r="B77" s="18" t="str">
        <f aca="false">квітень!B77</f>
        <v>Шушлєбін Б.В.</v>
      </c>
      <c r="C77" s="18" t="str">
        <f aca="false">квітень!C77</f>
        <v>2069</v>
      </c>
      <c r="D77" s="19" t="n">
        <f aca="false">квітень!P77</f>
        <v>975.21</v>
      </c>
      <c r="E77" s="19" t="n">
        <f aca="false">квітень!Q77</f>
        <v>0</v>
      </c>
      <c r="F77" s="20" t="n">
        <f aca="false">квітень!F77</f>
        <v>0</v>
      </c>
      <c r="G77" s="21" t="n">
        <f aca="false">квітень!G77</f>
        <v>62.11</v>
      </c>
      <c r="H77" s="21" t="n">
        <f aca="false">квітень!H77</f>
        <v>0</v>
      </c>
      <c r="I77" s="22" t="n">
        <f aca="false">квітень!I77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 t="n">
        <v>1250</v>
      </c>
      <c r="P77" s="25" t="n">
        <f aca="false">IF(D77=0,IF((N77-E77-O77)&gt;0,(N77-E77-O77),0),IF((D77+N77-O77)&gt;0,(D77+N77-O77),0))</f>
        <v>0</v>
      </c>
      <c r="Q77" s="25" t="n">
        <f aca="false">IF(E77=0,IF((D77+N77-O77)&lt;0,ABS(D77+N77-O77),0),IF((N77-E77-O77)&lt;0,ABS(N77-E77-O77),0))</f>
        <v>20.1399999999999</v>
      </c>
    </row>
    <row r="78" customFormat="false" ht="15" hidden="false" customHeight="false" outlineLevel="0" collapsed="false">
      <c r="A78" s="17" t="s">
        <v>230</v>
      </c>
      <c r="B78" s="18" t="str">
        <f aca="false">квітень!B78</f>
        <v>Бородіна І.О.</v>
      </c>
      <c r="C78" s="18" t="str">
        <f aca="false">квітень!C78</f>
        <v>2070</v>
      </c>
      <c r="D78" s="19" t="n">
        <f aca="false">квітень!P78</f>
        <v>2187.11</v>
      </c>
      <c r="E78" s="19" t="n">
        <f aca="false">квітень!Q78</f>
        <v>0</v>
      </c>
      <c r="F78" s="20" t="n">
        <f aca="false">квітень!F78</f>
        <v>0</v>
      </c>
      <c r="G78" s="21" t="n">
        <f aca="false">квітень!G78</f>
        <v>34.9</v>
      </c>
      <c r="H78" s="21" t="n">
        <f aca="false">квітень!H78</f>
        <v>0</v>
      </c>
      <c r="I78" s="22" t="n">
        <f aca="false">квітень!I78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2330.2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квітень!B79</f>
        <v>Котурга Л.Й.</v>
      </c>
      <c r="C79" s="18" t="str">
        <f aca="false">квітень!C79</f>
        <v>2071</v>
      </c>
      <c r="D79" s="19" t="n">
        <f aca="false">квітень!P79</f>
        <v>1247.06</v>
      </c>
      <c r="E79" s="19" t="n">
        <f aca="false">квітень!Q79</f>
        <v>0</v>
      </c>
      <c r="F79" s="20" t="n">
        <f aca="false">квітень!F79</f>
        <v>0</v>
      </c>
      <c r="G79" s="21" t="n">
        <f aca="false">квітень!G79</f>
        <v>49.2</v>
      </c>
      <c r="H79" s="21" t="n">
        <f aca="false">квітень!H79</f>
        <v>0</v>
      </c>
      <c r="I79" s="22" t="n">
        <f aca="false">квітень!I79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1448.78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квітень!B80</f>
        <v>Горова О.І.</v>
      </c>
      <c r="C80" s="18" t="str">
        <f aca="false">квітень!C80</f>
        <v>2072</v>
      </c>
      <c r="D80" s="19" t="n">
        <f aca="false">квітень!P80</f>
        <v>2749.51</v>
      </c>
      <c r="E80" s="19" t="n">
        <f aca="false">квітень!Q80</f>
        <v>0</v>
      </c>
      <c r="F80" s="20" t="n">
        <f aca="false">квітень!F80</f>
        <v>0</v>
      </c>
      <c r="G80" s="21" t="n">
        <f aca="false">квітень!G80</f>
        <v>65.43</v>
      </c>
      <c r="H80" s="21" t="n">
        <f aca="false">квітень!H80</f>
        <v>0</v>
      </c>
      <c r="I80" s="22" t="n">
        <f aca="false">квітень!I80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3017.77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квітень!B81</f>
        <v>Рибакевич М.П.</v>
      </c>
      <c r="C81" s="18" t="str">
        <f aca="false">квітень!C81</f>
        <v>3073</v>
      </c>
      <c r="D81" s="19" t="n">
        <f aca="false">квітень!P81</f>
        <v>3709.9</v>
      </c>
      <c r="E81" s="19" t="n">
        <f aca="false">квітень!Q81</f>
        <v>0</v>
      </c>
      <c r="F81" s="20" t="n">
        <f aca="false">квітень!F81</f>
        <v>0</v>
      </c>
      <c r="G81" s="21" t="n">
        <f aca="false">квітень!G81</f>
        <v>64.5</v>
      </c>
      <c r="H81" s="21" t="n">
        <f aca="false">квітень!H81</f>
        <v>0</v>
      </c>
      <c r="I81" s="22" t="n">
        <f aca="false">квітень!I81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3974.35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квітень!B82</f>
        <v>Башкалов В.В.</v>
      </c>
      <c r="C82" s="18" t="str">
        <f aca="false">квітень!C82</f>
        <v>3074</v>
      </c>
      <c r="D82" s="19" t="n">
        <f aca="false">квітень!P82</f>
        <v>68.1199999999999</v>
      </c>
      <c r="E82" s="19" t="n">
        <f aca="false">квітень!Q82</f>
        <v>0</v>
      </c>
      <c r="F82" s="20" t="n">
        <f aca="false">квітень!F82</f>
        <v>0</v>
      </c>
      <c r="G82" s="21" t="n">
        <f aca="false">квітень!G82</f>
        <v>50.8</v>
      </c>
      <c r="H82" s="21" t="n">
        <f aca="false">квітень!H82</f>
        <v>0</v>
      </c>
      <c r="I82" s="22" t="n">
        <f aca="false">квітень!I82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276.4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квітень!B83</f>
        <v>Тіхенко Г.Д.</v>
      </c>
      <c r="C83" s="18" t="str">
        <f aca="false">квітень!C83</f>
        <v>3075</v>
      </c>
      <c r="D83" s="19" t="n">
        <f aca="false">квітень!P83</f>
        <v>1738.63</v>
      </c>
      <c r="E83" s="19" t="n">
        <f aca="false">квітень!Q83</f>
        <v>0</v>
      </c>
      <c r="F83" s="20" t="n">
        <f aca="false">квітень!F83</f>
        <v>0</v>
      </c>
      <c r="G83" s="21" t="n">
        <f aca="false">квітень!G83</f>
        <v>34.9</v>
      </c>
      <c r="H83" s="21" t="n">
        <f aca="false">квітень!H83</f>
        <v>0</v>
      </c>
      <c r="I83" s="22" t="n">
        <f aca="false">квітень!I83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1881.72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квітень!B84</f>
        <v>Головченко В.Г.</v>
      </c>
      <c r="C84" s="18" t="str">
        <f aca="false">квітень!C84</f>
        <v>3076</v>
      </c>
      <c r="D84" s="19" t="n">
        <f aca="false">квітень!P84</f>
        <v>947.98</v>
      </c>
      <c r="E84" s="19" t="n">
        <f aca="false">квітень!Q84</f>
        <v>0</v>
      </c>
      <c r="F84" s="20" t="n">
        <f aca="false">квітень!F84</f>
        <v>0</v>
      </c>
      <c r="G84" s="21" t="n">
        <f aca="false">квітень!G84</f>
        <v>61</v>
      </c>
      <c r="H84" s="21" t="n">
        <f aca="false">квітень!H84</f>
        <v>0</v>
      </c>
      <c r="I84" s="22" t="n">
        <f aca="false">квітень!I84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 t="n">
        <v>500</v>
      </c>
      <c r="P84" s="25" t="n">
        <f aca="false">IF(D84=0,IF((N84-E84-O84)&gt;0,(N84-E84-O84),0),IF((D84+N84-O84)&gt;0,(D84+N84-O84),0))</f>
        <v>698.08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квітень!B85</f>
        <v>Семанішина Є.С.</v>
      </c>
      <c r="C85" s="18" t="str">
        <f aca="false">квітень!C85</f>
        <v>3077</v>
      </c>
      <c r="D85" s="19" t="n">
        <f aca="false">квітень!P85</f>
        <v>2637.25</v>
      </c>
      <c r="E85" s="19" t="n">
        <f aca="false">квітень!Q85</f>
        <v>0</v>
      </c>
      <c r="F85" s="20" t="n">
        <f aca="false">квітень!F85</f>
        <v>0</v>
      </c>
      <c r="G85" s="21" t="n">
        <f aca="false">квітень!G85</f>
        <v>64.5</v>
      </c>
      <c r="H85" s="21" t="n">
        <f aca="false">квітень!H85</f>
        <v>0</v>
      </c>
      <c r="I85" s="22" t="n">
        <f aca="false">квітень!I85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2901.7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квітень!B86</f>
        <v>Зінченко Ю.В.</v>
      </c>
      <c r="C86" s="18" t="str">
        <f aca="false">квітень!C86</f>
        <v>3078</v>
      </c>
      <c r="D86" s="19" t="n">
        <f aca="false">квітень!P86</f>
        <v>202.13</v>
      </c>
      <c r="E86" s="19" t="n">
        <f aca="false">квітень!Q86</f>
        <v>0</v>
      </c>
      <c r="F86" s="20" t="n">
        <f aca="false">квітень!F86</f>
        <v>0</v>
      </c>
      <c r="G86" s="21" t="n">
        <f aca="false">квітень!G86</f>
        <v>49.3</v>
      </c>
      <c r="H86" s="21" t="n">
        <f aca="false">квітень!H86</f>
        <v>0</v>
      </c>
      <c r="I86" s="22" t="n">
        <f aca="false">квітень!I86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 t="n">
        <v>210</v>
      </c>
      <c r="P86" s="25" t="n">
        <f aca="false">IF(D86=0,IF((N86-E86-O86)&gt;0,(N86-E86-O86),0),IF((D86+N86-O86)&gt;0,(D86+N86-O86),0))</f>
        <v>194.26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квітень!B87</f>
        <v>Рилова Г.П.</v>
      </c>
      <c r="C87" s="18" t="str">
        <f aca="false">квітень!C87</f>
        <v>3079</v>
      </c>
      <c r="D87" s="19" t="n">
        <f aca="false">квітень!P87</f>
        <v>0</v>
      </c>
      <c r="E87" s="19" t="n">
        <f aca="false">квітень!Q87</f>
        <v>3.60000000000025</v>
      </c>
      <c r="F87" s="20" t="n">
        <f aca="false">квітень!F87</f>
        <v>0</v>
      </c>
      <c r="G87" s="21" t="n">
        <f aca="false">квітень!G87</f>
        <v>35</v>
      </c>
      <c r="H87" s="21" t="n">
        <f aca="false">квітень!H87</f>
        <v>0</v>
      </c>
      <c r="I87" s="22" t="n">
        <f aca="false">квітень!I87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 t="n">
        <v>145</v>
      </c>
      <c r="P87" s="25" t="n">
        <f aca="false">IF(D87=0,IF((N87-E87-O87)&gt;0,(N87-E87-O87),0),IF((D87+N87-O87)&gt;0,(D87+N87-O87),0))</f>
        <v>0</v>
      </c>
      <c r="Q87" s="25" t="n">
        <f aca="false">IF(E87=0,IF((D87+N87-O87)&lt;0,ABS(D87+N87-O87),0),IF((N87-E87-O87)&lt;0,ABS(N87-E87-O87),0))</f>
        <v>5.10000000000025</v>
      </c>
    </row>
    <row r="88" customFormat="false" ht="15" hidden="false" customHeight="false" outlineLevel="0" collapsed="false">
      <c r="A88" s="17" t="s">
        <v>260</v>
      </c>
      <c r="B88" s="18" t="str">
        <f aca="false">квітень!B88</f>
        <v>Ленський І.О.</v>
      </c>
      <c r="C88" s="18" t="str">
        <f aca="false">квітень!C88</f>
        <v>3080</v>
      </c>
      <c r="D88" s="19" t="n">
        <f aca="false">квітень!P88</f>
        <v>489.97</v>
      </c>
      <c r="E88" s="19" t="n">
        <f aca="false">квітень!Q88</f>
        <v>0</v>
      </c>
      <c r="F88" s="20" t="n">
        <f aca="false">квітень!F88</f>
        <v>0</v>
      </c>
      <c r="G88" s="21" t="n">
        <f aca="false">квітень!G88</f>
        <v>61.8</v>
      </c>
      <c r="H88" s="21" t="n">
        <f aca="false">квітень!H88</f>
        <v>0</v>
      </c>
      <c r="I88" s="22" t="n">
        <f aca="false">квітень!I88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 t="n">
        <v>260</v>
      </c>
      <c r="P88" s="25" t="n">
        <f aca="false">IF(D88=0,IF((N88-E88-O88)&gt;0,(N88-E88-O88),0),IF((D88+N88-O88)&gt;0,(D88+N88-O88),0))</f>
        <v>483.35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квітень!B89</f>
        <v>Слюсар О.О.</v>
      </c>
      <c r="C89" s="18" t="str">
        <f aca="false">квітень!C89</f>
        <v>3081</v>
      </c>
      <c r="D89" s="19" t="n">
        <f aca="false">квітень!P89</f>
        <v>3912.83</v>
      </c>
      <c r="E89" s="19" t="n">
        <f aca="false">квітень!Q89</f>
        <v>0</v>
      </c>
      <c r="F89" s="20" t="n">
        <f aca="false">квітень!F89</f>
        <v>0</v>
      </c>
      <c r="G89" s="21" t="n">
        <f aca="false">квітень!G89</f>
        <v>65.81</v>
      </c>
      <c r="H89" s="21" t="n">
        <f aca="false">квітень!H89</f>
        <v>0</v>
      </c>
      <c r="I89" s="22" t="n">
        <f aca="false">квітень!I89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4182.65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квітень!B90</f>
        <v>Кісельов Г.О.</v>
      </c>
      <c r="C90" s="18" t="str">
        <f aca="false">квітень!C90</f>
        <v>3082</v>
      </c>
      <c r="D90" s="19" t="n">
        <f aca="false">квітень!P90</f>
        <v>1624.15</v>
      </c>
      <c r="E90" s="19" t="n">
        <f aca="false">квітень!Q90</f>
        <v>0</v>
      </c>
      <c r="F90" s="20" t="n">
        <f aca="false">квітень!F90</f>
        <v>0</v>
      </c>
      <c r="G90" s="21" t="n">
        <f aca="false">квітень!G90</f>
        <v>49.7</v>
      </c>
      <c r="H90" s="21" t="n">
        <f aca="false">квітень!H90</f>
        <v>0</v>
      </c>
      <c r="I90" s="22" t="n">
        <f aca="false">квітень!I90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 t="n">
        <v>2000</v>
      </c>
      <c r="P90" s="25" t="n">
        <f aca="false">IF(D90=0,IF((N90-E90-O90)&gt;0,(N90-E90-O90),0),IF((D90+N90-O90)&gt;0,(D90+N90-O90),0))</f>
        <v>0</v>
      </c>
      <c r="Q90" s="25" t="n">
        <f aca="false">IF(E90=0,IF((D90+N90-O90)&lt;0,ABS(D90+N90-O90),0),IF((N90-E90-O90)&lt;0,ABS(N90-E90-O90),0))</f>
        <v>172.08</v>
      </c>
    </row>
    <row r="91" customFormat="false" ht="15" hidden="false" customHeight="false" outlineLevel="0" collapsed="false">
      <c r="A91" s="17" t="s">
        <v>269</v>
      </c>
      <c r="B91" s="18" t="str">
        <f aca="false">квітень!B91</f>
        <v>Губанова Н.С.</v>
      </c>
      <c r="C91" s="18" t="str">
        <f aca="false">квітень!C91</f>
        <v>3083</v>
      </c>
      <c r="D91" s="19" t="n">
        <f aca="false">квітень!P91</f>
        <v>1273.05</v>
      </c>
      <c r="E91" s="19" t="n">
        <f aca="false">квітень!Q91</f>
        <v>0</v>
      </c>
      <c r="F91" s="20" t="n">
        <f aca="false">квітень!F91</f>
        <v>0</v>
      </c>
      <c r="G91" s="21" t="n">
        <f aca="false">квітень!G91</f>
        <v>34.5</v>
      </c>
      <c r="H91" s="21" t="n">
        <f aca="false">квітень!H91</f>
        <v>0</v>
      </c>
      <c r="I91" s="22" t="n">
        <f aca="false">квітень!I91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1414.5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квітень!B92</f>
        <v>Попова А.В.</v>
      </c>
      <c r="C92" s="18" t="str">
        <f aca="false">квітень!C92</f>
        <v>3084</v>
      </c>
      <c r="D92" s="19" t="n">
        <f aca="false">квітень!P92</f>
        <v>1022.55</v>
      </c>
      <c r="E92" s="19" t="n">
        <f aca="false">квітень!Q92</f>
        <v>0</v>
      </c>
      <c r="F92" s="20" t="n">
        <f aca="false">квітень!F92</f>
        <v>0</v>
      </c>
      <c r="G92" s="21" t="n">
        <f aca="false">квітень!G92</f>
        <v>62.4</v>
      </c>
      <c r="H92" s="21" t="n">
        <f aca="false">квітень!H92</f>
        <v>0</v>
      </c>
      <c r="I92" s="22" t="n">
        <f aca="false">квітень!I92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1278.39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квітень!B93</f>
        <v>Стародубець О.К.</v>
      </c>
      <c r="C93" s="18" t="str">
        <f aca="false">квітень!C93</f>
        <v>3085</v>
      </c>
      <c r="D93" s="19" t="n">
        <f aca="false">квітень!P93</f>
        <v>4037.61</v>
      </c>
      <c r="E93" s="19" t="n">
        <f aca="false">квітень!Q93</f>
        <v>0</v>
      </c>
      <c r="F93" s="20" t="n">
        <f aca="false">квітень!F93</f>
        <v>0</v>
      </c>
      <c r="G93" s="21" t="n">
        <f aca="false">квітень!G93</f>
        <v>66.46</v>
      </c>
      <c r="H93" s="21" t="n">
        <f aca="false">квітень!H93</f>
        <v>0</v>
      </c>
      <c r="I93" s="22" t="n">
        <f aca="false">квітень!I93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4310.1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квітень!B94</f>
        <v>Сакун Т.А.</v>
      </c>
      <c r="C94" s="18" t="str">
        <f aca="false">квітень!C94</f>
        <v>3086</v>
      </c>
      <c r="D94" s="19" t="n">
        <f aca="false">квітень!P94</f>
        <v>3262.14</v>
      </c>
      <c r="E94" s="19" t="n">
        <f aca="false">квітень!Q94</f>
        <v>0</v>
      </c>
      <c r="F94" s="20" t="n">
        <f aca="false">квітень!F94</f>
        <v>0</v>
      </c>
      <c r="G94" s="21" t="n">
        <f aca="false">квітень!G94</f>
        <v>49.73</v>
      </c>
      <c r="H94" s="21" t="n">
        <f aca="false">квітень!H94</f>
        <v>0</v>
      </c>
      <c r="I94" s="22" t="n">
        <f aca="false">квітень!I94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3466.03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квітень!B95</f>
        <v>Фатєєв Ю.О.</v>
      </c>
      <c r="C95" s="18" t="str">
        <f aca="false">квітень!C95</f>
        <v>3087</v>
      </c>
      <c r="D95" s="19" t="n">
        <f aca="false">квітень!P95</f>
        <v>4364.81</v>
      </c>
      <c r="E95" s="19" t="n">
        <f aca="false">квітень!Q95</f>
        <v>0</v>
      </c>
      <c r="F95" s="20" t="n">
        <f aca="false">квітень!F95</f>
        <v>0</v>
      </c>
      <c r="G95" s="21" t="n">
        <f aca="false">квітень!G95</f>
        <v>34.9</v>
      </c>
      <c r="H95" s="21" t="n">
        <f aca="false">квітень!H95</f>
        <v>0</v>
      </c>
      <c r="I95" s="22" t="n">
        <f aca="false">квітень!I95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4507.9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квітень!B96</f>
        <v>Лукашов Є.В.</v>
      </c>
      <c r="C96" s="18" t="str">
        <f aca="false">квітень!C96</f>
        <v>3088</v>
      </c>
      <c r="D96" s="19" t="n">
        <f aca="false">квітень!P96</f>
        <v>12456.11</v>
      </c>
      <c r="E96" s="19" t="n">
        <f aca="false">квітень!Q96</f>
        <v>0</v>
      </c>
      <c r="F96" s="20" t="n">
        <f aca="false">квітень!F96</f>
        <v>0</v>
      </c>
      <c r="G96" s="21" t="n">
        <f aca="false">квітень!G96</f>
        <v>61.9</v>
      </c>
      <c r="H96" s="21" t="n">
        <f aca="false">квітень!H96</f>
        <v>0</v>
      </c>
      <c r="I96" s="22" t="n">
        <f aca="false">квітень!I96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 t="n">
        <v>4000</v>
      </c>
      <c r="P96" s="25" t="n">
        <f aca="false">IF(D96=0,IF((N96-E96-O96)&gt;0,(N96-E96-O96),0),IF((D96+N96-O96)&gt;0,(D96+N96-O96),0))</f>
        <v>8709.90000000002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квітень!B97</f>
        <v>Довбета В.М.</v>
      </c>
      <c r="C97" s="18" t="str">
        <f aca="false">квітень!C97</f>
        <v>3089</v>
      </c>
      <c r="D97" s="19" t="n">
        <f aca="false">квітень!P97</f>
        <v>0</v>
      </c>
      <c r="E97" s="19" t="n">
        <f aca="false">квітень!Q97</f>
        <v>34.4099999999995</v>
      </c>
      <c r="F97" s="20" t="n">
        <f aca="false">квітень!F97</f>
        <v>0</v>
      </c>
      <c r="G97" s="21" t="n">
        <f aca="false">квітень!G97</f>
        <v>65.3</v>
      </c>
      <c r="H97" s="21" t="n">
        <f aca="false">квітень!H97</f>
        <v>0</v>
      </c>
      <c r="I97" s="22" t="n">
        <f aca="false">квітень!I97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270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36.6799999999995</v>
      </c>
    </row>
    <row r="98" customFormat="false" ht="15" hidden="false" customHeight="false" outlineLevel="0" collapsed="false">
      <c r="A98" s="17" t="s">
        <v>290</v>
      </c>
      <c r="B98" s="18" t="str">
        <f aca="false">квітень!B98</f>
        <v>Черняк К.В.</v>
      </c>
      <c r="C98" s="18" t="str">
        <f aca="false">квітень!C98</f>
        <v>3090</v>
      </c>
      <c r="D98" s="19" t="n">
        <f aca="false">квітень!P98</f>
        <v>0</v>
      </c>
      <c r="E98" s="19" t="n">
        <f aca="false">квітень!Q98</f>
        <v>814.15</v>
      </c>
      <c r="F98" s="20" t="n">
        <f aca="false">квітень!F98</f>
        <v>0</v>
      </c>
      <c r="G98" s="21" t="n">
        <f aca="false">квітень!G98</f>
        <v>49.48</v>
      </c>
      <c r="H98" s="21" t="n">
        <f aca="false">квітень!H98</f>
        <v>0</v>
      </c>
      <c r="I98" s="22" t="n">
        <f aca="false">квітень!I98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611.28</v>
      </c>
    </row>
    <row r="99" customFormat="false" ht="15" hidden="false" customHeight="false" outlineLevel="0" collapsed="false">
      <c r="A99" s="17" t="s">
        <v>293</v>
      </c>
      <c r="B99" s="18" t="str">
        <f aca="false">квітень!B99</f>
        <v>Удінцева Г.А.</v>
      </c>
      <c r="C99" s="18" t="str">
        <f aca="false">квітень!C99</f>
        <v>3091</v>
      </c>
      <c r="D99" s="19" t="n">
        <f aca="false">квітень!P99</f>
        <v>372.92</v>
      </c>
      <c r="E99" s="19" t="n">
        <f aca="false">квітень!Q99</f>
        <v>0</v>
      </c>
      <c r="F99" s="20" t="n">
        <f aca="false">квітень!F99</f>
        <v>0</v>
      </c>
      <c r="G99" s="21" t="n">
        <f aca="false">квітень!G99</f>
        <v>35.1</v>
      </c>
      <c r="H99" s="21" t="n">
        <f aca="false">квітень!H99</f>
        <v>0</v>
      </c>
      <c r="I99" s="22" t="n">
        <f aca="false">квітень!I99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516.83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квітень!B100</f>
        <v>Липка Г.Ю.</v>
      </c>
      <c r="C100" s="18" t="str">
        <f aca="false">квітень!C100</f>
        <v>3092</v>
      </c>
      <c r="D100" s="19" t="n">
        <f aca="false">квітень!P100</f>
        <v>4664.16</v>
      </c>
      <c r="E100" s="19" t="n">
        <f aca="false">квітень!Q100</f>
        <v>0</v>
      </c>
      <c r="F100" s="20" t="n">
        <f aca="false">квітень!F100</f>
        <v>0</v>
      </c>
      <c r="G100" s="21" t="n">
        <f aca="false">квітень!G100</f>
        <v>63.2</v>
      </c>
      <c r="H100" s="21" t="n">
        <f aca="false">квітень!H100</f>
        <v>0</v>
      </c>
      <c r="I100" s="22" t="n">
        <f aca="false">квітень!I100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4923.28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квітень!B101</f>
        <v>Утьосов Д.М.</v>
      </c>
      <c r="C101" s="18" t="str">
        <f aca="false">квітень!C101</f>
        <v>3093</v>
      </c>
      <c r="D101" s="19" t="n">
        <f aca="false">квітень!P101</f>
        <v>3722.52</v>
      </c>
      <c r="E101" s="19" t="n">
        <f aca="false">квітень!Q101</f>
        <v>0</v>
      </c>
      <c r="F101" s="20" t="n">
        <f aca="false">квітень!F101</f>
        <v>0</v>
      </c>
      <c r="G101" s="21" t="n">
        <f aca="false">квітень!G101</f>
        <v>66.1</v>
      </c>
      <c r="H101" s="21" t="n">
        <f aca="false">квітень!H101</f>
        <v>0</v>
      </c>
      <c r="I101" s="22" t="n">
        <f aca="false">квітень!I101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3993.53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квітень!B102</f>
        <v>Стеценко Д.М.</v>
      </c>
      <c r="C102" s="18" t="str">
        <f aca="false">квітень!C102</f>
        <v>3094</v>
      </c>
      <c r="D102" s="19" t="n">
        <f aca="false">квітень!P102</f>
        <v>816.790000000001</v>
      </c>
      <c r="E102" s="19" t="n">
        <f aca="false">квітень!Q102</f>
        <v>0</v>
      </c>
      <c r="F102" s="20" t="n">
        <f aca="false">квітень!F102</f>
        <v>0</v>
      </c>
      <c r="G102" s="21" t="n">
        <f aca="false">квітень!G102</f>
        <v>49.8</v>
      </c>
      <c r="H102" s="21" t="n">
        <f aca="false">квітень!H102</f>
        <v>0</v>
      </c>
      <c r="I102" s="22" t="n">
        <f aca="false">квітень!I102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1020.97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квітень!B103</f>
        <v>Задніпряна О.М.</v>
      </c>
      <c r="C103" s="18" t="str">
        <f aca="false">квітень!C103</f>
        <v>3095</v>
      </c>
      <c r="D103" s="19" t="n">
        <f aca="false">квітень!P103</f>
        <v>1703.92</v>
      </c>
      <c r="E103" s="19" t="n">
        <f aca="false">квітень!Q103</f>
        <v>0</v>
      </c>
      <c r="F103" s="20" t="n">
        <f aca="false">квітень!F103</f>
        <v>0</v>
      </c>
      <c r="G103" s="21" t="n">
        <f aca="false">квітень!G103</f>
        <v>34.6</v>
      </c>
      <c r="H103" s="21" t="n">
        <f aca="false">квітень!H103</f>
        <v>0</v>
      </c>
      <c r="I103" s="22" t="n">
        <f aca="false">квітень!I103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1845.78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квітень!B104</f>
        <v>Геращенко М.Д.</v>
      </c>
      <c r="C104" s="18" t="str">
        <f aca="false">квітень!C104</f>
        <v>3096</v>
      </c>
      <c r="D104" s="19" t="n">
        <f aca="false">квітень!P104</f>
        <v>825.940000000001</v>
      </c>
      <c r="E104" s="19" t="n">
        <f aca="false">квітень!Q104</f>
        <v>0</v>
      </c>
      <c r="F104" s="20" t="n">
        <f aca="false">квітень!F104</f>
        <v>0</v>
      </c>
      <c r="G104" s="21" t="n">
        <f aca="false">квітень!G104</f>
        <v>62.6</v>
      </c>
      <c r="H104" s="21" t="n">
        <f aca="false">квітень!H104</f>
        <v>0</v>
      </c>
      <c r="I104" s="22" t="n">
        <f aca="false">квітень!I104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1082.6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квітень!B105</f>
        <v>Горб В.М.</v>
      </c>
      <c r="C105" s="18" t="str">
        <f aca="false">квітень!C105</f>
        <v>3097</v>
      </c>
      <c r="D105" s="19" t="n">
        <f aca="false">квітень!P105</f>
        <v>2685.71</v>
      </c>
      <c r="E105" s="19" t="n">
        <f aca="false">квітень!Q105</f>
        <v>0</v>
      </c>
      <c r="F105" s="20" t="n">
        <f aca="false">квітень!F105</f>
        <v>0</v>
      </c>
      <c r="G105" s="21" t="n">
        <f aca="false">квітень!G105</f>
        <v>65.57</v>
      </c>
      <c r="H105" s="21" t="n">
        <f aca="false">квітень!H105</f>
        <v>0</v>
      </c>
      <c r="I105" s="22" t="n">
        <f aca="false">квітень!I105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2954.55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квітень!B106</f>
        <v>Нойок Г.К.</v>
      </c>
      <c r="C106" s="18" t="str">
        <f aca="false">квітень!C106</f>
        <v>3098</v>
      </c>
      <c r="D106" s="19" t="n">
        <f aca="false">квітень!P106</f>
        <v>830.39</v>
      </c>
      <c r="E106" s="19" t="n">
        <f aca="false">квітень!Q106</f>
        <v>0</v>
      </c>
      <c r="F106" s="20" t="n">
        <f aca="false">квітень!F106</f>
        <v>0</v>
      </c>
      <c r="G106" s="21" t="n">
        <f aca="false">квітень!G106</f>
        <v>49.8</v>
      </c>
      <c r="H106" s="21" t="n">
        <f aca="false">квітень!H106</f>
        <v>0</v>
      </c>
      <c r="I106" s="22" t="n">
        <f aca="false">квітень!I106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1034.57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квітень!B107</f>
        <v>Сафонова О.В.</v>
      </c>
      <c r="C107" s="18" t="str">
        <f aca="false">квітень!C107</f>
        <v>3099</v>
      </c>
      <c r="D107" s="19" t="n">
        <f aca="false">квітень!P107</f>
        <v>1385.08</v>
      </c>
      <c r="E107" s="19" t="n">
        <f aca="false">квітень!Q107</f>
        <v>0</v>
      </c>
      <c r="F107" s="20" t="n">
        <f aca="false">квітень!F107</f>
        <v>0</v>
      </c>
      <c r="G107" s="21" t="n">
        <f aca="false">квітень!G107</f>
        <v>34.9</v>
      </c>
      <c r="H107" s="21" t="n">
        <f aca="false">квітень!H107</f>
        <v>0</v>
      </c>
      <c r="I107" s="22" t="n">
        <f aca="false">квітень!I107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1528.17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квітень!B108</f>
        <v>Вінарська Н.П.</v>
      </c>
      <c r="C108" s="18" t="str">
        <f aca="false">квітень!C108</f>
        <v>30100</v>
      </c>
      <c r="D108" s="19" t="n">
        <f aca="false">квітень!P108</f>
        <v>3860.24</v>
      </c>
      <c r="E108" s="19" t="n">
        <f aca="false">квітень!Q108</f>
        <v>0</v>
      </c>
      <c r="F108" s="20" t="n">
        <f aca="false">квітень!F108</f>
        <v>0</v>
      </c>
      <c r="G108" s="21" t="n">
        <f aca="false">квітень!G108</f>
        <v>62.78</v>
      </c>
      <c r="H108" s="21" t="n">
        <f aca="false">квітень!H108</f>
        <v>0</v>
      </c>
      <c r="I108" s="22" t="n">
        <f aca="false">квітень!I108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4117.64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квітень!B109</f>
        <v>Чернова Н.І.</v>
      </c>
      <c r="C109" s="18" t="str">
        <f aca="false">квітень!C109</f>
        <v>30101</v>
      </c>
      <c r="D109" s="19" t="n">
        <f aca="false">квітень!P109</f>
        <v>3995.92</v>
      </c>
      <c r="E109" s="19" t="n">
        <f aca="false">квітень!Q109</f>
        <v>0</v>
      </c>
      <c r="F109" s="20" t="n">
        <f aca="false">квітень!F109</f>
        <v>0</v>
      </c>
      <c r="G109" s="21" t="n">
        <f aca="false">квітень!G109</f>
        <v>66.29</v>
      </c>
      <c r="H109" s="21" t="n">
        <f aca="false">квітень!H109</f>
        <v>0</v>
      </c>
      <c r="I109" s="22" t="n">
        <f aca="false">квітень!I109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4267.71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квітень!B110</f>
        <v>Кошева Н.П</v>
      </c>
      <c r="C110" s="18" t="str">
        <f aca="false">квітень!C110</f>
        <v>30102</v>
      </c>
      <c r="D110" s="19" t="n">
        <f aca="false">квітень!P110</f>
        <v>2689</v>
      </c>
      <c r="E110" s="19" t="n">
        <f aca="false">квітень!Q110</f>
        <v>0</v>
      </c>
      <c r="F110" s="20" t="n">
        <f aca="false">квітень!F110</f>
        <v>0</v>
      </c>
      <c r="G110" s="21" t="n">
        <f aca="false">квітень!G110</f>
        <v>50</v>
      </c>
      <c r="H110" s="21" t="n">
        <f aca="false">квітень!H110</f>
        <v>0</v>
      </c>
      <c r="I110" s="22" t="n">
        <f aca="false">квітень!I110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2894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квітень!B111</f>
        <v>Уривський Д.Б.</v>
      </c>
      <c r="C111" s="18" t="str">
        <f aca="false">квітень!C111</f>
        <v>30103</v>
      </c>
      <c r="D111" s="19" t="n">
        <f aca="false">квітень!P111</f>
        <v>2229.09</v>
      </c>
      <c r="E111" s="19" t="n">
        <f aca="false">квітень!Q111</f>
        <v>0</v>
      </c>
      <c r="F111" s="20" t="n">
        <f aca="false">квітень!F111</f>
        <v>0</v>
      </c>
      <c r="G111" s="21" t="n">
        <f aca="false">квітень!G111</f>
        <v>35</v>
      </c>
      <c r="H111" s="21" t="n">
        <f aca="false">квітень!H111</f>
        <v>0</v>
      </c>
      <c r="I111" s="22" t="n">
        <f aca="false">квітень!I111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2372.59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квітень!B112</f>
        <v>АДПСУ (Чорноморець В.М.)</v>
      </c>
      <c r="C112" s="18" t="str">
        <f aca="false">квітень!C112</f>
        <v>30104</v>
      </c>
      <c r="D112" s="19" t="n">
        <f aca="false">квітень!P112</f>
        <v>2279.36</v>
      </c>
      <c r="E112" s="19" t="n">
        <f aca="false">квітень!Q112</f>
        <v>0</v>
      </c>
      <c r="F112" s="20" t="n">
        <f aca="false">квітень!F112</f>
        <v>0</v>
      </c>
      <c r="G112" s="21" t="n">
        <f aca="false">квітень!G112</f>
        <v>61.1</v>
      </c>
      <c r="H112" s="21" t="n">
        <f aca="false">квітень!H112</f>
        <v>0</v>
      </c>
      <c r="I112" s="22" t="n">
        <f aca="false">квітень!I112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2529.87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квітень!B113</f>
        <v>Дмитренко Г.В.</v>
      </c>
      <c r="C113" s="18" t="str">
        <f aca="false">квітень!C113</f>
        <v>30105</v>
      </c>
      <c r="D113" s="19" t="n">
        <f aca="false">квітень!P113</f>
        <v>2972.17</v>
      </c>
      <c r="E113" s="19" t="n">
        <f aca="false">квітень!Q113</f>
        <v>0</v>
      </c>
      <c r="F113" s="20" t="n">
        <f aca="false">квітень!F113</f>
        <v>0</v>
      </c>
      <c r="G113" s="21" t="n">
        <f aca="false">квітень!G113</f>
        <v>64.89</v>
      </c>
      <c r="H113" s="21" t="n">
        <f aca="false">квітень!H113</f>
        <v>0</v>
      </c>
      <c r="I113" s="22" t="n">
        <f aca="false">квітень!I113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3238.22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квітень!B114</f>
        <v>Номерова Т.В.</v>
      </c>
      <c r="C114" s="18" t="str">
        <f aca="false">квітень!C114</f>
        <v>30106</v>
      </c>
      <c r="D114" s="19" t="n">
        <f aca="false">квітень!P114</f>
        <v>470.16</v>
      </c>
      <c r="E114" s="19" t="n">
        <f aca="false">квітень!Q114</f>
        <v>0</v>
      </c>
      <c r="F114" s="20" t="n">
        <f aca="false">квітень!F114</f>
        <v>0</v>
      </c>
      <c r="G114" s="21" t="n">
        <f aca="false">квітень!G114</f>
        <v>49.96</v>
      </c>
      <c r="H114" s="21" t="n">
        <f aca="false">квітень!H114</f>
        <v>0</v>
      </c>
      <c r="I114" s="22" t="n">
        <f aca="false">квітень!I114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675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квітень!B115</f>
        <v>Самойлова О.В.</v>
      </c>
      <c r="C115" s="18" t="str">
        <f aca="false">квітень!C115</f>
        <v>30107</v>
      </c>
      <c r="D115" s="19" t="n">
        <f aca="false">квітень!P115</f>
        <v>141.45</v>
      </c>
      <c r="E115" s="19" t="n">
        <f aca="false">квітень!Q115</f>
        <v>0</v>
      </c>
      <c r="F115" s="20" t="n">
        <f aca="false">квітень!F115</f>
        <v>0</v>
      </c>
      <c r="G115" s="21" t="n">
        <f aca="false">квітень!G115</f>
        <v>34.5</v>
      </c>
      <c r="H115" s="21" t="n">
        <f aca="false">квітень!H115</f>
        <v>0</v>
      </c>
      <c r="I115" s="22" t="n">
        <f aca="false">квітень!I115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 t="n">
        <v>141.45</v>
      </c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квітень!B116</f>
        <v>Випенко О.І.</v>
      </c>
      <c r="C116" s="18" t="str">
        <f aca="false">квітень!C116</f>
        <v>30108</v>
      </c>
      <c r="D116" s="19" t="n">
        <f aca="false">квітень!P116</f>
        <v>7188.56</v>
      </c>
      <c r="E116" s="19" t="n">
        <f aca="false">квітень!Q116</f>
        <v>0</v>
      </c>
      <c r="F116" s="20" t="n">
        <f aca="false">квітень!F116</f>
        <v>0</v>
      </c>
      <c r="G116" s="21" t="n">
        <f aca="false">квітень!G116</f>
        <v>62.9</v>
      </c>
      <c r="H116" s="21" t="n">
        <f aca="false">квітень!H116</f>
        <v>0</v>
      </c>
      <c r="I116" s="22" t="n">
        <f aca="false">квітень!I116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7446.45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квітень!B117</f>
        <v>Саприкін Ю.О.</v>
      </c>
      <c r="C117" s="18" t="str">
        <f aca="false">квітень!C117</f>
        <v>40109</v>
      </c>
      <c r="D117" s="19" t="n">
        <f aca="false">квітень!P117</f>
        <v>398.52</v>
      </c>
      <c r="E117" s="19" t="n">
        <f aca="false">квітень!Q117</f>
        <v>0</v>
      </c>
      <c r="F117" s="20" t="n">
        <f aca="false">квітень!F117</f>
        <v>0</v>
      </c>
      <c r="G117" s="21" t="n">
        <f aca="false">квітень!G117</f>
        <v>97.2</v>
      </c>
      <c r="H117" s="21" t="n">
        <f aca="false">квітень!H117</f>
        <v>0</v>
      </c>
      <c r="I117" s="22" t="n">
        <f aca="false">квітень!I117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 t="n">
        <v>398.52</v>
      </c>
      <c r="P117" s="25" t="n">
        <f aca="false">IF(D117=0,IF((N117-E117-O117)&gt;0,(N117-E117-O117),0),IF((D117+N117-O117)&gt;0,(D117+N117-O117),0))</f>
        <v>398.52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квітень!B118</f>
        <v>Мовчан В.М.</v>
      </c>
      <c r="C118" s="18" t="str">
        <f aca="false">квітень!C118</f>
        <v>40110</v>
      </c>
      <c r="D118" s="19" t="n">
        <f aca="false">квітень!P118</f>
        <v>198.85</v>
      </c>
      <c r="E118" s="19" t="n">
        <f aca="false">квітень!Q118</f>
        <v>0</v>
      </c>
      <c r="F118" s="20" t="n">
        <f aca="false">квітень!F118</f>
        <v>0</v>
      </c>
      <c r="G118" s="21" t="n">
        <f aca="false">квітень!G118</f>
        <v>48.75</v>
      </c>
      <c r="H118" s="21" t="n">
        <f aca="false">квітень!H118</f>
        <v>0</v>
      </c>
      <c r="I118" s="22" t="n">
        <f aca="false">квітень!I118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/>
      <c r="P118" s="25" t="n">
        <f aca="false">IF(D118=0,IF((N118-E118-O118)&gt;0,(N118-E118-O118),0),IF((D118+N118-O118)&gt;0,(D118+N118-O118),0))</f>
        <v>398.73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квітень!B119</f>
        <v>Величко Н.М.</v>
      </c>
      <c r="C119" s="18" t="str">
        <f aca="false">квітень!C119</f>
        <v>40111</v>
      </c>
      <c r="D119" s="19" t="n">
        <f aca="false">квітень!P119</f>
        <v>3135.74</v>
      </c>
      <c r="E119" s="19" t="n">
        <f aca="false">квітень!Q119</f>
        <v>0</v>
      </c>
      <c r="F119" s="20" t="n">
        <f aca="false">квітень!F119</f>
        <v>0</v>
      </c>
      <c r="G119" s="21" t="n">
        <f aca="false">квітень!G119</f>
        <v>63.8</v>
      </c>
      <c r="H119" s="21" t="n">
        <f aca="false">квітень!H119</f>
        <v>0</v>
      </c>
      <c r="I119" s="22" t="n">
        <f aca="false">квітень!I119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3397.32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квітень!B120</f>
        <v>Бухлов С.В.</v>
      </c>
      <c r="C120" s="18" t="str">
        <f aca="false">квітень!C120</f>
        <v>40112</v>
      </c>
      <c r="D120" s="19" t="n">
        <f aca="false">квітень!P120</f>
        <v>9021.13</v>
      </c>
      <c r="E120" s="19" t="n">
        <f aca="false">квітень!Q120</f>
        <v>0</v>
      </c>
      <c r="F120" s="20" t="n">
        <f aca="false">квітень!F120</f>
        <v>0</v>
      </c>
      <c r="G120" s="21" t="n">
        <f aca="false">квітень!G120</f>
        <v>62.6</v>
      </c>
      <c r="H120" s="21" t="n">
        <f aca="false">квітень!H120</f>
        <v>0</v>
      </c>
      <c r="I120" s="22" t="n">
        <f aca="false">квітень!I120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9277.79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квітень!B121</f>
        <v>Перепеліцина Т.Ю.</v>
      </c>
      <c r="C121" s="18" t="str">
        <f aca="false">квітень!C121</f>
        <v>40113</v>
      </c>
      <c r="D121" s="19" t="n">
        <f aca="false">квітень!P121</f>
        <v>0</v>
      </c>
      <c r="E121" s="19" t="n">
        <f aca="false">квітень!Q121</f>
        <v>49.4499999999999</v>
      </c>
      <c r="F121" s="20" t="n">
        <f aca="false">квітень!F121</f>
        <v>0</v>
      </c>
      <c r="G121" s="21" t="n">
        <f aca="false">квітень!G121</f>
        <v>34.7</v>
      </c>
      <c r="H121" s="21" t="n">
        <f aca="false">квітень!H121</f>
        <v>0</v>
      </c>
      <c r="I121" s="22" t="n">
        <f aca="false">квітень!I121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92.8200000000001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квітень!B122</f>
        <v>Свєтлова Т.Ю.</v>
      </c>
      <c r="C122" s="18" t="str">
        <f aca="false">квітень!C122</f>
        <v>40114</v>
      </c>
      <c r="D122" s="19" t="n">
        <f aca="false">квітень!P122</f>
        <v>817</v>
      </c>
      <c r="E122" s="19" t="n">
        <f aca="false">квітень!Q122</f>
        <v>0</v>
      </c>
      <c r="F122" s="20" t="n">
        <f aca="false">квітень!F122</f>
        <v>0</v>
      </c>
      <c r="G122" s="21" t="n">
        <f aca="false">квітень!G122</f>
        <v>49.72</v>
      </c>
      <c r="H122" s="21" t="n">
        <f aca="false">квітень!H122</f>
        <v>0</v>
      </c>
      <c r="I122" s="22" t="n">
        <f aca="false">квітень!I122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1020.85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квітень!B123</f>
        <v>Маркова О.М.</v>
      </c>
      <c r="C123" s="18" t="str">
        <f aca="false">квітень!C123</f>
        <v>40115</v>
      </c>
      <c r="D123" s="19" t="n">
        <f aca="false">квітень!P123</f>
        <v>4023.65</v>
      </c>
      <c r="E123" s="19" t="n">
        <f aca="false">квітень!Q123</f>
        <v>0</v>
      </c>
      <c r="F123" s="20" t="n">
        <f aca="false">квітень!F123</f>
        <v>0</v>
      </c>
      <c r="G123" s="21" t="n">
        <f aca="false">квітень!G123</f>
        <v>65.1</v>
      </c>
      <c r="H123" s="21" t="n">
        <f aca="false">квітень!H123</f>
        <v>0</v>
      </c>
      <c r="I123" s="22" t="n">
        <f aca="false">квітень!I123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4290.56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квітень!B124</f>
        <v>Ракитська А.М.</v>
      </c>
      <c r="C124" s="18" t="str">
        <f aca="false">квітень!C124</f>
        <v>40116</v>
      </c>
      <c r="D124" s="19" t="n">
        <f aca="false">квітень!P124</f>
        <v>2474.6</v>
      </c>
      <c r="E124" s="19" t="n">
        <f aca="false">квітень!Q124</f>
        <v>0</v>
      </c>
      <c r="F124" s="20" t="n">
        <f aca="false">квітень!F124</f>
        <v>0</v>
      </c>
      <c r="G124" s="21" t="n">
        <f aca="false">квітень!G124</f>
        <v>62.18</v>
      </c>
      <c r="H124" s="21" t="n">
        <f aca="false">квітень!H124</f>
        <v>0</v>
      </c>
      <c r="I124" s="22" t="n">
        <f aca="false">квітень!I124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2729.54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квітень!B125</f>
        <v>Гусак К.С.</v>
      </c>
      <c r="C125" s="18" t="str">
        <f aca="false">квітень!C125</f>
        <v>40117</v>
      </c>
      <c r="D125" s="19" t="n">
        <f aca="false">квітень!P125</f>
        <v>2075.88</v>
      </c>
      <c r="E125" s="19" t="n">
        <f aca="false">квітень!Q125</f>
        <v>0</v>
      </c>
      <c r="F125" s="20" t="n">
        <f aca="false">квітень!F125</f>
        <v>0</v>
      </c>
      <c r="G125" s="21" t="n">
        <f aca="false">квітень!G125</f>
        <v>35.1</v>
      </c>
      <c r="H125" s="21" t="n">
        <f aca="false">квітень!H125</f>
        <v>0</v>
      </c>
      <c r="I125" s="22" t="n">
        <f aca="false">квітень!I125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2219.79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квітень!B126</f>
        <v>Пісоченко М.Г.</v>
      </c>
      <c r="C126" s="18" t="str">
        <f aca="false">квітень!C126</f>
        <v>40118</v>
      </c>
      <c r="D126" s="19" t="n">
        <f aca="false">квітень!P126</f>
        <v>2372.94</v>
      </c>
      <c r="E126" s="19" t="n">
        <f aca="false">квітень!Q126</f>
        <v>0</v>
      </c>
      <c r="F126" s="20" t="n">
        <f aca="false">квітень!F126</f>
        <v>0</v>
      </c>
      <c r="G126" s="21" t="n">
        <f aca="false">квітень!G126</f>
        <v>49.8</v>
      </c>
      <c r="H126" s="21" t="n">
        <f aca="false">квітень!H126</f>
        <v>0</v>
      </c>
      <c r="I126" s="22" t="n">
        <f aca="false">квітень!I126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2577.12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квітень!B127</f>
        <v>Столяр О.М.</v>
      </c>
      <c r="C127" s="18" t="str">
        <f aca="false">квітень!C127</f>
        <v>40119</v>
      </c>
      <c r="D127" s="19" t="n">
        <f aca="false">квітень!P127</f>
        <v>7570.38</v>
      </c>
      <c r="E127" s="19" t="n">
        <f aca="false">квітень!Q127</f>
        <v>0</v>
      </c>
      <c r="F127" s="20" t="n">
        <f aca="false">квітень!F127</f>
        <v>0</v>
      </c>
      <c r="G127" s="21" t="n">
        <f aca="false">квітень!G127</f>
        <v>65.3</v>
      </c>
      <c r="H127" s="21" t="n">
        <f aca="false">квітень!H127</f>
        <v>0</v>
      </c>
      <c r="I127" s="22" t="n">
        <f aca="false">квітень!I127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7838.11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квітень!B128</f>
        <v>Рєзніков В.П.</v>
      </c>
      <c r="C128" s="18" t="str">
        <f aca="false">квітень!C128</f>
        <v>40120</v>
      </c>
      <c r="D128" s="19" t="n">
        <f aca="false">квітень!P128</f>
        <v>474.690000000001</v>
      </c>
      <c r="E128" s="19" t="n">
        <f aca="false">квітень!Q128</f>
        <v>0</v>
      </c>
      <c r="F128" s="20" t="n">
        <f aca="false">квітень!F128</f>
        <v>0</v>
      </c>
      <c r="G128" s="21" t="n">
        <f aca="false">квітень!G128</f>
        <v>62.44</v>
      </c>
      <c r="H128" s="21" t="n">
        <f aca="false">квітень!H128</f>
        <v>0</v>
      </c>
      <c r="I128" s="22" t="n">
        <f aca="false">квітень!I128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 t="n">
        <v>500</v>
      </c>
      <c r="P128" s="25" t="n">
        <f aca="false">IF(D128=0,IF((N128-E128-O128)&gt;0,(N128-E128-O128),0),IF((D128+N128-O128)&gt;0,(D128+N128-O128),0))</f>
        <v>230.690000000001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квітень!B129</f>
        <v>Золотоверха Я.І.</v>
      </c>
      <c r="C129" s="18" t="str">
        <f aca="false">квітень!C129</f>
        <v>40121</v>
      </c>
      <c r="D129" s="19" t="n">
        <f aca="false">квітень!P129</f>
        <v>8.5265128291212E-014</v>
      </c>
      <c r="E129" s="19" t="n">
        <f aca="false">квітень!Q129</f>
        <v>0</v>
      </c>
      <c r="F129" s="20" t="n">
        <f aca="false">квітень!F129</f>
        <v>0</v>
      </c>
      <c r="G129" s="21" t="n">
        <f aca="false">квітень!G129</f>
        <v>35.6</v>
      </c>
      <c r="H129" s="21" t="n">
        <f aca="false">квітень!H129</f>
        <v>0</v>
      </c>
      <c r="I129" s="22" t="n">
        <f aca="false">квітень!I129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квітень!B130</f>
        <v>Бурлаков А.В.</v>
      </c>
      <c r="C130" s="18" t="str">
        <f aca="false">квітень!C130</f>
        <v>40122</v>
      </c>
      <c r="D130" s="19" t="n">
        <f aca="false">квітень!P130</f>
        <v>64.8700000000002</v>
      </c>
      <c r="E130" s="19" t="n">
        <f aca="false">квітень!Q130</f>
        <v>0</v>
      </c>
      <c r="F130" s="20" t="n">
        <f aca="false">квітень!F130</f>
        <v>0</v>
      </c>
      <c r="G130" s="21" t="n">
        <f aca="false">квітень!G130</f>
        <v>49.7</v>
      </c>
      <c r="H130" s="21" t="n">
        <f aca="false">квітень!H130</f>
        <v>0</v>
      </c>
      <c r="I130" s="22" t="n">
        <f aca="false">квітень!I130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204</v>
      </c>
      <c r="P130" s="25" t="n">
        <f aca="false">IF(D130=0,IF((N130-E130-O130)&gt;0,(N130-E130-O130),0),IF((D130+N130-O130)&gt;0,(D130+N130-O130),0))</f>
        <v>64.6400000000002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квітень!B131</f>
        <v>Сикула О.Ю.</v>
      </c>
      <c r="C131" s="18" t="str">
        <f aca="false">квітень!C131</f>
        <v>40123</v>
      </c>
      <c r="D131" s="19" t="n">
        <f aca="false">квітень!P131</f>
        <v>3326.66</v>
      </c>
      <c r="E131" s="19" t="n">
        <f aca="false">квітень!Q131</f>
        <v>0</v>
      </c>
      <c r="F131" s="20" t="n">
        <f aca="false">квітень!F131</f>
        <v>0</v>
      </c>
      <c r="G131" s="21" t="n">
        <f aca="false">квітень!G131</f>
        <v>65.15</v>
      </c>
      <c r="H131" s="21" t="n">
        <f aca="false">квітень!H131</f>
        <v>0</v>
      </c>
      <c r="I131" s="22" t="n">
        <f aca="false">квітень!I131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3593.78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квітень!B132</f>
        <v>Арістов О.О.</v>
      </c>
      <c r="C132" s="18" t="str">
        <f aca="false">квітень!C132</f>
        <v>40124</v>
      </c>
      <c r="D132" s="19" t="n">
        <f aca="false">квітень!P132</f>
        <v>635.85</v>
      </c>
      <c r="E132" s="19" t="n">
        <f aca="false">квітень!Q132</f>
        <v>0</v>
      </c>
      <c r="F132" s="20" t="n">
        <f aca="false">квітень!F132</f>
        <v>0</v>
      </c>
      <c r="G132" s="21" t="n">
        <f aca="false">квітень!G132</f>
        <v>63</v>
      </c>
      <c r="H132" s="21" t="n">
        <f aca="false">квітень!H132</f>
        <v>0</v>
      </c>
      <c r="I132" s="22" t="n">
        <f aca="false">квітень!I132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894.15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квітень!B133</f>
        <v>Бондаренко Т.О.</v>
      </c>
      <c r="C133" s="18" t="str">
        <f aca="false">квітень!C133</f>
        <v>40125</v>
      </c>
      <c r="D133" s="19" t="n">
        <f aca="false">квітень!P133</f>
        <v>1663.4</v>
      </c>
      <c r="E133" s="19" t="n">
        <f aca="false">квітень!Q133</f>
        <v>0</v>
      </c>
      <c r="F133" s="20" t="n">
        <f aca="false">квітень!F133</f>
        <v>0</v>
      </c>
      <c r="G133" s="21" t="n">
        <f aca="false">квітень!G133</f>
        <v>34.7</v>
      </c>
      <c r="H133" s="21" t="n">
        <f aca="false">квітень!H133</f>
        <v>0</v>
      </c>
      <c r="I133" s="22" t="n">
        <f aca="false">квітень!I133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1805.67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квітень!B134</f>
        <v>Гайчев П.В.</v>
      </c>
      <c r="C134" s="18" t="str">
        <f aca="false">квітень!C134</f>
        <v>40126</v>
      </c>
      <c r="D134" s="19" t="n">
        <f aca="false">квітень!P134</f>
        <v>1206.2</v>
      </c>
      <c r="E134" s="19" t="n">
        <f aca="false">квітень!Q134</f>
        <v>0</v>
      </c>
      <c r="F134" s="20" t="n">
        <f aca="false">квітень!F134</f>
        <v>0</v>
      </c>
      <c r="G134" s="21" t="n">
        <f aca="false">квітень!G134</f>
        <v>49.2</v>
      </c>
      <c r="H134" s="21" t="n">
        <f aca="false">квітень!H134</f>
        <v>0</v>
      </c>
      <c r="I134" s="22" t="n">
        <f aca="false">квітень!I134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1407.92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квітень!B135</f>
        <v>Радченко О.С.</v>
      </c>
      <c r="C135" s="18" t="str">
        <f aca="false">квітень!C135</f>
        <v>40127</v>
      </c>
      <c r="D135" s="19" t="n">
        <f aca="false">квітень!P135</f>
        <v>262.659999999999</v>
      </c>
      <c r="E135" s="19" t="n">
        <f aca="false">квітень!Q135</f>
        <v>0</v>
      </c>
      <c r="F135" s="20" t="n">
        <f aca="false">квітень!F135</f>
        <v>0</v>
      </c>
      <c r="G135" s="21" t="n">
        <f aca="false">квітень!G135</f>
        <v>65.15</v>
      </c>
      <c r="H135" s="21" t="n">
        <f aca="false">квітень!H135</f>
        <v>0</v>
      </c>
      <c r="I135" s="22" t="n">
        <f aca="false">квітень!I135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529.779999999999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квітень!B136</f>
        <v>Шилін С.М.</v>
      </c>
      <c r="C136" s="18" t="str">
        <f aca="false">квітень!C136</f>
        <v>40128</v>
      </c>
      <c r="D136" s="19" t="n">
        <f aca="false">квітень!P136</f>
        <v>2298.3</v>
      </c>
      <c r="E136" s="19" t="n">
        <f aca="false">квітень!Q136</f>
        <v>0</v>
      </c>
      <c r="F136" s="20" t="n">
        <f aca="false">квітень!F136</f>
        <v>0</v>
      </c>
      <c r="G136" s="21" t="n">
        <f aca="false">квітень!G136</f>
        <v>62.3</v>
      </c>
      <c r="H136" s="21" t="n">
        <f aca="false">квітень!H136</f>
        <v>0</v>
      </c>
      <c r="I136" s="22" t="n">
        <f aca="false">квітень!I136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2553.73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квітень!B137</f>
        <v>Петрулевич В.М.</v>
      </c>
      <c r="C137" s="18" t="str">
        <f aca="false">квітень!C137</f>
        <v>40129</v>
      </c>
      <c r="D137" s="19" t="n">
        <f aca="false">квітень!P137</f>
        <v>1692.18</v>
      </c>
      <c r="E137" s="19" t="n">
        <f aca="false">квітень!Q137</f>
        <v>0</v>
      </c>
      <c r="F137" s="20" t="n">
        <f aca="false">квітень!F137</f>
        <v>0</v>
      </c>
      <c r="G137" s="21" t="n">
        <f aca="false">квітень!G137</f>
        <v>35.3</v>
      </c>
      <c r="H137" s="21" t="n">
        <f aca="false">квітень!H137</f>
        <v>0</v>
      </c>
      <c r="I137" s="22" t="n">
        <f aca="false">квітень!I137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1836.91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квітень!B138</f>
        <v>Кривошеєва Л.М.</v>
      </c>
      <c r="C138" s="18" t="str">
        <f aca="false">квітень!C138</f>
        <v>40130</v>
      </c>
      <c r="D138" s="19" t="n">
        <f aca="false">квітень!P138</f>
        <v>2288.82</v>
      </c>
      <c r="E138" s="19" t="n">
        <f aca="false">квітень!Q138</f>
        <v>0</v>
      </c>
      <c r="F138" s="20" t="n">
        <f aca="false">квітень!F138</f>
        <v>0</v>
      </c>
      <c r="G138" s="21" t="n">
        <f aca="false">квітень!G138</f>
        <v>49.78</v>
      </c>
      <c r="H138" s="21" t="n">
        <f aca="false">квітень!H138</f>
        <v>0</v>
      </c>
      <c r="I138" s="22" t="n">
        <f aca="false">квітень!I138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 t="n">
        <v>300</v>
      </c>
      <c r="P138" s="25" t="n">
        <f aca="false">IF(D138=0,IF((N138-E138-O138)&gt;0,(N138-E138-O138),0),IF((D138+N138-O138)&gt;0,(D138+N138-O138),0))</f>
        <v>2192.92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квітень!B139</f>
        <v>Харченко І.С.</v>
      </c>
      <c r="C139" s="18" t="str">
        <f aca="false">квітень!C139</f>
        <v>40131</v>
      </c>
      <c r="D139" s="19" t="n">
        <f aca="false">квітень!P139</f>
        <v>1145.95</v>
      </c>
      <c r="E139" s="19" t="n">
        <f aca="false">квітень!Q139</f>
        <v>0</v>
      </c>
      <c r="F139" s="20" t="n">
        <f aca="false">квітень!F139</f>
        <v>0</v>
      </c>
      <c r="G139" s="21" t="n">
        <f aca="false">квітень!G139</f>
        <v>65.93</v>
      </c>
      <c r="H139" s="21" t="n">
        <f aca="false">квітень!H139</f>
        <v>0</v>
      </c>
      <c r="I139" s="22" t="n">
        <f aca="false">квітень!I139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v>300</v>
      </c>
      <c r="P139" s="25" t="n">
        <f aca="false">IF(D139=0,IF((N139-E139-O139)&gt;0,(N139-E139-O139),0),IF((D139+N139-O139)&gt;0,(D139+N139-O139),0))</f>
        <v>1116.26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квітень!B140</f>
        <v>Куриленко І.О.</v>
      </c>
      <c r="C140" s="18" t="str">
        <f aca="false">квітень!C140</f>
        <v>40132</v>
      </c>
      <c r="D140" s="19" t="n">
        <f aca="false">квітень!P140</f>
        <v>4089.17</v>
      </c>
      <c r="E140" s="19" t="n">
        <f aca="false">квітень!Q140</f>
        <v>0</v>
      </c>
      <c r="F140" s="20" t="n">
        <f aca="false">квітень!F140</f>
        <v>0</v>
      </c>
      <c r="G140" s="21" t="n">
        <f aca="false">квітень!G140</f>
        <v>62.36</v>
      </c>
      <c r="H140" s="21" t="n">
        <f aca="false">квітень!H140</f>
        <v>0</v>
      </c>
      <c r="I140" s="22" t="n">
        <f aca="false">квітень!I140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4344.85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квітень!B141</f>
        <v>Єлсукова В.М.</v>
      </c>
      <c r="C141" s="18" t="str">
        <f aca="false">квітень!C141</f>
        <v>40133</v>
      </c>
      <c r="D141" s="19" t="n">
        <f aca="false">квітень!P141</f>
        <v>2302.56</v>
      </c>
      <c r="E141" s="19" t="n">
        <f aca="false">квітень!Q141</f>
        <v>0</v>
      </c>
      <c r="F141" s="20" t="n">
        <f aca="false">квітень!F141</f>
        <v>0</v>
      </c>
      <c r="G141" s="21" t="n">
        <f aca="false">квітень!G141</f>
        <v>35.1</v>
      </c>
      <c r="H141" s="21" t="n">
        <f aca="false">квітень!H141</f>
        <v>0</v>
      </c>
      <c r="I141" s="22" t="n">
        <f aca="false">квітень!I141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2446.47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квітень!B142</f>
        <v>Пімонова М.В.</v>
      </c>
      <c r="C142" s="18" t="str">
        <f aca="false">квітень!C142</f>
        <v>40134</v>
      </c>
      <c r="D142" s="19" t="n">
        <f aca="false">квітень!P142</f>
        <v>4783.95</v>
      </c>
      <c r="E142" s="19" t="n">
        <f aca="false">квітень!Q142</f>
        <v>0</v>
      </c>
      <c r="F142" s="20" t="n">
        <f aca="false">квітень!F142</f>
        <v>0</v>
      </c>
      <c r="G142" s="21" t="n">
        <f aca="false">квітень!G142</f>
        <v>49.47</v>
      </c>
      <c r="H142" s="21" t="n">
        <f aca="false">квітень!H142</f>
        <v>0</v>
      </c>
      <c r="I142" s="22" t="n">
        <f aca="false">квітень!I142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4986.78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квітень!B143</f>
        <v>Осипенко В.В.</v>
      </c>
      <c r="C143" s="18" t="str">
        <f aca="false">квітень!C143</f>
        <v>40135</v>
      </c>
      <c r="D143" s="19" t="n">
        <f aca="false">квітень!P143</f>
        <v>2151.55</v>
      </c>
      <c r="E143" s="19" t="n">
        <f aca="false">квітень!Q143</f>
        <v>0</v>
      </c>
      <c r="F143" s="20" t="n">
        <f aca="false">квітень!F143</f>
        <v>0</v>
      </c>
      <c r="G143" s="21" t="n">
        <f aca="false">квітень!G143</f>
        <v>65.65</v>
      </c>
      <c r="H143" s="21" t="n">
        <f aca="false">квітень!H143</f>
        <v>0</v>
      </c>
      <c r="I143" s="22" t="n">
        <f aca="false">квітень!I143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2420.72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квітень!B144</f>
        <v>Друзь О.О.</v>
      </c>
      <c r="C144" s="18" t="str">
        <f aca="false">квітень!C144</f>
        <v>40136</v>
      </c>
      <c r="D144" s="19" t="n">
        <f aca="false">квітень!P144</f>
        <v>2800.03</v>
      </c>
      <c r="E144" s="19" t="n">
        <f aca="false">квітень!Q144</f>
        <v>0</v>
      </c>
      <c r="F144" s="20" t="n">
        <f aca="false">квітень!F144</f>
        <v>0</v>
      </c>
      <c r="G144" s="21" t="n">
        <f aca="false">квітень!G144</f>
        <v>62.1</v>
      </c>
      <c r="H144" s="21" t="n">
        <f aca="false">квітень!H144</f>
        <v>0</v>
      </c>
      <c r="I144" s="22" t="n">
        <f aca="false">квітень!I144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3054.64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квітень!B145</f>
        <v>Вовченко Р.І.</v>
      </c>
      <c r="C145" s="18" t="str">
        <f aca="false">квітень!C145</f>
        <v>40137</v>
      </c>
      <c r="D145" s="19" t="n">
        <f aca="false">квітень!P145</f>
        <v>0</v>
      </c>
      <c r="E145" s="19" t="n">
        <f aca="false">квітень!Q145</f>
        <v>79.5200000000011</v>
      </c>
      <c r="F145" s="20" t="n">
        <f aca="false">квітень!F145</f>
        <v>0</v>
      </c>
      <c r="G145" s="21" t="n">
        <f aca="false">квітень!G145</f>
        <v>35.2</v>
      </c>
      <c r="H145" s="21" t="n">
        <f aca="false">квітень!H145</f>
        <v>0</v>
      </c>
      <c r="I145" s="22" t="n">
        <f aca="false">квітень!I145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64.7999999999989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квітень!B146</f>
        <v>Плакун Д.В.</v>
      </c>
      <c r="C146" s="18" t="str">
        <f aca="false">квітень!C146</f>
        <v>40138</v>
      </c>
      <c r="D146" s="19" t="n">
        <f aca="false">квітень!P146</f>
        <v>818.04</v>
      </c>
      <c r="E146" s="19" t="n">
        <f aca="false">квітень!Q146</f>
        <v>0</v>
      </c>
      <c r="F146" s="20" t="n">
        <f aca="false">квітень!F146</f>
        <v>0</v>
      </c>
      <c r="G146" s="21" t="n">
        <f aca="false">квітень!G146</f>
        <v>49.9</v>
      </c>
      <c r="H146" s="21" t="n">
        <f aca="false">квітень!H146</f>
        <v>0</v>
      </c>
      <c r="I146" s="22" t="n">
        <f aca="false">квітень!I146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1022.63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квітень!B147</f>
        <v>Гаврилова Ю.О.</v>
      </c>
      <c r="C147" s="18" t="str">
        <f aca="false">квітень!C147</f>
        <v>40139</v>
      </c>
      <c r="D147" s="19" t="n">
        <f aca="false">квітень!P147</f>
        <v>0</v>
      </c>
      <c r="E147" s="19" t="n">
        <f aca="false">квітень!Q147</f>
        <v>197.22</v>
      </c>
      <c r="F147" s="20" t="n">
        <f aca="false">квітень!F147</f>
        <v>0</v>
      </c>
      <c r="G147" s="21" t="n">
        <f aca="false">квітень!G147</f>
        <v>65.8</v>
      </c>
      <c r="H147" s="21" t="n">
        <f aca="false">квітень!H147</f>
        <v>0</v>
      </c>
      <c r="I147" s="22" t="n">
        <f aca="false">квітень!I147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72.5599999999997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квітень!B148</f>
        <v>Корзун Г.М.</v>
      </c>
      <c r="C148" s="18" t="str">
        <f aca="false">квітень!C148</f>
        <v>40140</v>
      </c>
      <c r="D148" s="19" t="n">
        <f aca="false">квітень!P148</f>
        <v>94.9999999999978</v>
      </c>
      <c r="E148" s="19" t="n">
        <f aca="false">квітень!Q148</f>
        <v>0</v>
      </c>
      <c r="F148" s="20" t="n">
        <f aca="false">квітень!F148</f>
        <v>0</v>
      </c>
      <c r="G148" s="21" t="n">
        <f aca="false">квітень!G148</f>
        <v>63.2</v>
      </c>
      <c r="H148" s="21" t="n">
        <f aca="false">квітень!H148</f>
        <v>0</v>
      </c>
      <c r="I148" s="22" t="n">
        <f aca="false">квітень!I148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354.119999999998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квітень!B149</f>
        <v>Бондаренко Л.Л.</v>
      </c>
      <c r="C149" s="18" t="str">
        <f aca="false">квітень!C149</f>
        <v>40141</v>
      </c>
      <c r="D149" s="19" t="n">
        <f aca="false">квітень!P149</f>
        <v>175.81</v>
      </c>
      <c r="E149" s="19" t="n">
        <f aca="false">квітень!Q149</f>
        <v>0</v>
      </c>
      <c r="F149" s="20" t="n">
        <f aca="false">квітень!F149</f>
        <v>0</v>
      </c>
      <c r="G149" s="21" t="n">
        <f aca="false">квітень!G149</f>
        <v>34.9</v>
      </c>
      <c r="H149" s="21" t="n">
        <f aca="false">квітень!H149</f>
        <v>0</v>
      </c>
      <c r="I149" s="22" t="n">
        <f aca="false">квітень!I149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318.9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квітень!B150</f>
        <v>Капелюш Н.А.</v>
      </c>
      <c r="C150" s="18" t="str">
        <f aca="false">квітень!C150</f>
        <v>40142</v>
      </c>
      <c r="D150" s="19" t="n">
        <f aca="false">квітень!P150</f>
        <v>2892.96</v>
      </c>
      <c r="E150" s="19" t="n">
        <f aca="false">квітень!Q150</f>
        <v>0</v>
      </c>
      <c r="F150" s="20" t="n">
        <f aca="false">квітень!F150</f>
        <v>0</v>
      </c>
      <c r="G150" s="21" t="n">
        <f aca="false">квітень!G150</f>
        <v>50.4</v>
      </c>
      <c r="H150" s="21" t="n">
        <f aca="false">квітень!H150</f>
        <v>0</v>
      </c>
      <c r="I150" s="22" t="n">
        <f aca="false">квітень!I150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3099.6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квітень!B151</f>
        <v>Кістрінь Л.П.</v>
      </c>
      <c r="C151" s="18" t="str">
        <f aca="false">квітень!C151</f>
        <v>40143</v>
      </c>
      <c r="D151" s="19" t="n">
        <f aca="false">квітень!P151</f>
        <v>5064.53</v>
      </c>
      <c r="E151" s="19" t="n">
        <f aca="false">квітень!Q151</f>
        <v>0</v>
      </c>
      <c r="F151" s="20" t="n">
        <f aca="false">квітень!F151</f>
        <v>0</v>
      </c>
      <c r="G151" s="21" t="n">
        <f aca="false">квітень!G151</f>
        <v>65.2</v>
      </c>
      <c r="H151" s="21" t="n">
        <f aca="false">квітень!H151</f>
        <v>0</v>
      </c>
      <c r="I151" s="22" t="n">
        <f aca="false">квітень!I151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5331.85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квітень!B152</f>
        <v>Козьміна І.В.</v>
      </c>
      <c r="C152" s="18" t="str">
        <f aca="false">квітень!C152</f>
        <v>50144</v>
      </c>
      <c r="D152" s="19" t="n">
        <f aca="false">квітень!P152</f>
        <v>1058.96</v>
      </c>
      <c r="E152" s="19" t="n">
        <f aca="false">квітень!Q152</f>
        <v>0</v>
      </c>
      <c r="F152" s="20" t="n">
        <f aca="false">квітень!F152</f>
        <v>0</v>
      </c>
      <c r="G152" s="21" t="n">
        <f aca="false">квітень!G152</f>
        <v>64.57</v>
      </c>
      <c r="H152" s="21" t="n">
        <f aca="false">квітень!H152</f>
        <v>0</v>
      </c>
      <c r="I152" s="22" t="n">
        <f aca="false">квітень!I152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 t="n">
        <v>1323.7</v>
      </c>
      <c r="P152" s="25" t="n">
        <f aca="false">IF(D152=0,IF((N152-E152-O152)&gt;0,(N152-E152-O152),0),IF((D152+N152-O152)&gt;0,(D152+N152-O152),0))</f>
        <v>0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квітень!B153</f>
        <v>Чала С.С.</v>
      </c>
      <c r="C153" s="18" t="str">
        <f aca="false">квітень!C153</f>
        <v>50145</v>
      </c>
      <c r="D153" s="19" t="n">
        <f aca="false">квітень!P153</f>
        <v>4650.77</v>
      </c>
      <c r="E153" s="19" t="n">
        <f aca="false">квітень!Q153</f>
        <v>0</v>
      </c>
      <c r="F153" s="20" t="n">
        <f aca="false">квітень!F153</f>
        <v>0</v>
      </c>
      <c r="G153" s="21" t="n">
        <f aca="false">квітень!G153</f>
        <v>48.7</v>
      </c>
      <c r="H153" s="21" t="n">
        <f aca="false">квітень!H153</f>
        <v>0</v>
      </c>
      <c r="I153" s="22" t="n">
        <f aca="false">квітень!I153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4850.44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квітень!B154</f>
        <v>Свєтайлова І.М.</v>
      </c>
      <c r="C154" s="18" t="str">
        <f aca="false">квітень!C154</f>
        <v>50146</v>
      </c>
      <c r="D154" s="19" t="n">
        <f aca="false">квітень!P154</f>
        <v>2158.65</v>
      </c>
      <c r="E154" s="19" t="n">
        <f aca="false">квітень!Q154</f>
        <v>0</v>
      </c>
      <c r="F154" s="20" t="n">
        <f aca="false">квітень!F154</f>
        <v>0</v>
      </c>
      <c r="G154" s="21" t="n">
        <f aca="false">квітень!G154</f>
        <v>35.1</v>
      </c>
      <c r="H154" s="21" t="n">
        <f aca="false">квітень!H154</f>
        <v>0</v>
      </c>
      <c r="I154" s="22" t="n">
        <f aca="false">квітень!I154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2302.56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квітень!B155</f>
        <v>Неделько Д.І.</v>
      </c>
      <c r="C155" s="18" t="str">
        <f aca="false">квітень!C155</f>
        <v>50147</v>
      </c>
      <c r="D155" s="19" t="n">
        <f aca="false">квітень!P155</f>
        <v>0</v>
      </c>
      <c r="E155" s="19" t="n">
        <f aca="false">квітень!Q155</f>
        <v>219.64</v>
      </c>
      <c r="F155" s="20" t="n">
        <f aca="false">квітень!F155</f>
        <v>0</v>
      </c>
      <c r="G155" s="21" t="n">
        <f aca="false">квітень!G155</f>
        <v>53.57</v>
      </c>
      <c r="H155" s="21" t="n">
        <f aca="false">квітень!H155</f>
        <v>0</v>
      </c>
      <c r="I155" s="22" t="n">
        <f aca="false">квітень!I155</f>
        <v>4.1</v>
      </c>
      <c r="J155" s="23" t="n">
        <f aca="false">ROUND(G155*I155,2)</f>
        <v>219.64</v>
      </c>
      <c r="K155" s="19"/>
      <c r="L155" s="19" t="n">
        <v>219.64</v>
      </c>
      <c r="M155" s="19"/>
      <c r="N155" s="19" t="n">
        <f aca="false">ROUND((G155*I155)-K155-L155-M155,2)</f>
        <v>-0</v>
      </c>
      <c r="O155" s="19"/>
      <c r="P155" s="25" t="n">
        <f aca="false">IF(D155=0,IF((N155-E155-O155)&gt;0,(N155-E155-O155),0),IF((D155+N155-O155)&gt;0,(D155+N155-O155),0))</f>
        <v>0</v>
      </c>
      <c r="Q155" s="25" t="n">
        <f aca="false">IF(E155=0,IF((D155+N155-O155)&lt;0,ABS(D155+N155-O155),0),IF((N155-E155-O155)&lt;0,ABS(N155-E155-O155),0))</f>
        <v>219.64</v>
      </c>
    </row>
    <row r="156" customFormat="false" ht="15" hidden="false" customHeight="false" outlineLevel="0" collapsed="false">
      <c r="A156" s="17" t="s">
        <v>464</v>
      </c>
      <c r="B156" s="18" t="str">
        <f aca="false">квітень!B156</f>
        <v>Самойленко Л.К.</v>
      </c>
      <c r="C156" s="18" t="str">
        <f aca="false">квітень!C156</f>
        <v>50148</v>
      </c>
      <c r="D156" s="19" t="n">
        <f aca="false">квітень!P156</f>
        <v>0</v>
      </c>
      <c r="E156" s="19" t="n">
        <f aca="false">квітень!Q156</f>
        <v>879.56</v>
      </c>
      <c r="F156" s="20" t="n">
        <f aca="false">квітень!F156</f>
        <v>0</v>
      </c>
      <c r="G156" s="21" t="n">
        <f aca="false">квітень!G156</f>
        <v>65.7</v>
      </c>
      <c r="H156" s="21" t="n">
        <f aca="false">квітень!H156</f>
        <v>0</v>
      </c>
      <c r="I156" s="22" t="n">
        <f aca="false">квітень!I156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916.21</v>
      </c>
    </row>
    <row r="157" customFormat="false" ht="15" hidden="false" customHeight="false" outlineLevel="0" collapsed="false">
      <c r="A157" s="17" t="s">
        <v>467</v>
      </c>
      <c r="B157" s="18" t="str">
        <f aca="false">квітень!B157</f>
        <v>Павлов Ю.В.</v>
      </c>
      <c r="C157" s="18" t="str">
        <f aca="false">квітень!C157</f>
        <v>50149</v>
      </c>
      <c r="D157" s="19" t="n">
        <f aca="false">квітень!P157</f>
        <v>2366.18</v>
      </c>
      <c r="E157" s="19" t="n">
        <f aca="false">квітень!Q157</f>
        <v>0</v>
      </c>
      <c r="F157" s="20" t="n">
        <f aca="false">квітень!F157</f>
        <v>0</v>
      </c>
      <c r="G157" s="21" t="n">
        <f aca="false">квітень!G157</f>
        <v>49.78</v>
      </c>
      <c r="H157" s="21" t="n">
        <f aca="false">квітень!H157</f>
        <v>0</v>
      </c>
      <c r="I157" s="22" t="n">
        <f aca="false">квітень!I157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2570.28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квітень!B158</f>
        <v>Коваленко Т.М.</v>
      </c>
      <c r="C158" s="18" t="str">
        <f aca="false">квітень!C158</f>
        <v>50150</v>
      </c>
      <c r="D158" s="19" t="n">
        <f aca="false">квітень!P158</f>
        <v>2296</v>
      </c>
      <c r="E158" s="19" t="n">
        <f aca="false">квітень!Q158</f>
        <v>0</v>
      </c>
      <c r="F158" s="20" t="n">
        <f aca="false">квітень!F158</f>
        <v>0</v>
      </c>
      <c r="G158" s="21" t="n">
        <f aca="false">квітень!G158</f>
        <v>35</v>
      </c>
      <c r="H158" s="21" t="n">
        <f aca="false">квітень!H158</f>
        <v>0</v>
      </c>
      <c r="I158" s="22" t="n">
        <f aca="false">квітень!I158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2439.5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квітень!B159</f>
        <v>Рощенко Л.Б.</v>
      </c>
      <c r="C159" s="18" t="str">
        <f aca="false">квітень!C159</f>
        <v>50151</v>
      </c>
      <c r="D159" s="19" t="n">
        <f aca="false">квітень!P159</f>
        <v>1750.01</v>
      </c>
      <c r="E159" s="19" t="n">
        <f aca="false">квітень!Q159</f>
        <v>0</v>
      </c>
      <c r="F159" s="20" t="n">
        <f aca="false">квітень!F159</f>
        <v>0</v>
      </c>
      <c r="G159" s="21" t="n">
        <f aca="false">квітень!G159</f>
        <v>62.08</v>
      </c>
      <c r="H159" s="21" t="n">
        <f aca="false">квітень!H159</f>
        <v>0</v>
      </c>
      <c r="I159" s="22" t="n">
        <f aca="false">квітень!I159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2004.54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квітень!B160</f>
        <v>Галушко С.Т.</v>
      </c>
      <c r="C160" s="18" t="str">
        <f aca="false">квітень!C160</f>
        <v>50152</v>
      </c>
      <c r="D160" s="19" t="n">
        <f aca="false">квітень!P160</f>
        <v>0</v>
      </c>
      <c r="E160" s="19" t="n">
        <f aca="false">квітень!Q160</f>
        <v>2.27373675443232E-013</v>
      </c>
      <c r="F160" s="20" t="n">
        <f aca="false">квітень!F160</f>
        <v>0</v>
      </c>
      <c r="G160" s="21" t="n">
        <f aca="false">квітень!G160</f>
        <v>65.86</v>
      </c>
      <c r="H160" s="21" t="n">
        <f aca="false">квітень!H160</f>
        <v>0</v>
      </c>
      <c r="I160" s="22" t="n">
        <f aca="false">квітень!I160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 t="n">
        <v>270.03</v>
      </c>
      <c r="P160" s="25" t="n">
        <f aca="false">IF(D160=0,IF((N160-E160-O160)&gt;0,(N160-E160-O160),0),IF((D160+N160-O160)&gt;0,(D160+N160-O160),0))</f>
        <v>0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квітень!B161</f>
        <v>Наумова Л.Я.</v>
      </c>
      <c r="C161" s="18" t="str">
        <f aca="false">квітень!C161</f>
        <v>50153</v>
      </c>
      <c r="D161" s="19" t="n">
        <f aca="false">квітень!P161</f>
        <v>2820.8</v>
      </c>
      <c r="E161" s="19" t="n">
        <f aca="false">квітень!Q161</f>
        <v>0</v>
      </c>
      <c r="F161" s="20" t="n">
        <f aca="false">квітень!F161</f>
        <v>0</v>
      </c>
      <c r="G161" s="21" t="n">
        <f aca="false">квітень!G161</f>
        <v>49.95</v>
      </c>
      <c r="H161" s="21" t="n">
        <f aca="false">квітень!H161</f>
        <v>0</v>
      </c>
      <c r="I161" s="22" t="n">
        <f aca="false">квітень!I161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3025.6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квітень!B162</f>
        <v>Грєк В.С.</v>
      </c>
      <c r="C162" s="18" t="str">
        <f aca="false">квітень!C162</f>
        <v>50154</v>
      </c>
      <c r="D162" s="19" t="n">
        <f aca="false">квітень!P162</f>
        <v>411.42</v>
      </c>
      <c r="E162" s="19" t="n">
        <f aca="false">квітень!Q162</f>
        <v>0</v>
      </c>
      <c r="F162" s="20" t="n">
        <f aca="false">квітень!F162</f>
        <v>0</v>
      </c>
      <c r="G162" s="21" t="n">
        <f aca="false">квітень!G162</f>
        <v>33.9</v>
      </c>
      <c r="H162" s="21" t="n">
        <f aca="false">квітень!H162</f>
        <v>0</v>
      </c>
      <c r="I162" s="22" t="n">
        <f aca="false">квітень!I162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550.41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квітень!B163</f>
        <v>Пермінов О.А.</v>
      </c>
      <c r="C163" s="18" t="str">
        <f aca="false">квітень!C163</f>
        <v>50155</v>
      </c>
      <c r="D163" s="19" t="n">
        <f aca="false">квітень!P163</f>
        <v>228.880000000001</v>
      </c>
      <c r="E163" s="19" t="n">
        <f aca="false">квітень!Q163</f>
        <v>0</v>
      </c>
      <c r="F163" s="20" t="n">
        <f aca="false">квітень!F163</f>
        <v>0</v>
      </c>
      <c r="G163" s="21" t="n">
        <f aca="false">квітень!G163</f>
        <v>62.43</v>
      </c>
      <c r="H163" s="21" t="n">
        <f aca="false">квітень!H163</f>
        <v>0</v>
      </c>
      <c r="I163" s="22" t="n">
        <f aca="false">квітень!I163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484.840000000001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квітень!B164</f>
        <v>Рябчук Л.П.</v>
      </c>
      <c r="C164" s="18" t="str">
        <f aca="false">квітень!C164</f>
        <v>50156</v>
      </c>
      <c r="D164" s="19" t="n">
        <f aca="false">квітень!P164</f>
        <v>1748.08</v>
      </c>
      <c r="E164" s="19" t="n">
        <f aca="false">квітень!Q164</f>
        <v>0</v>
      </c>
      <c r="F164" s="20" t="n">
        <f aca="false">квітень!F164</f>
        <v>0</v>
      </c>
      <c r="G164" s="21" t="n">
        <f aca="false">квітень!G164</f>
        <v>64.8</v>
      </c>
      <c r="H164" s="21" t="n">
        <f aca="false">квітень!H164</f>
        <v>0</v>
      </c>
      <c r="I164" s="22" t="n">
        <f aca="false">квітень!I164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 t="n">
        <v>100</v>
      </c>
      <c r="P164" s="25" t="n">
        <f aca="false">IF(D164=0,IF((N164-E164-O164)&gt;0,(N164-E164-O164),0),IF((D164+N164-O164)&gt;0,(D164+N164-O164),0))</f>
        <v>1913.76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квітень!B165</f>
        <v>Копасова Л.Б.</v>
      </c>
      <c r="C165" s="18" t="str">
        <f aca="false">квітень!C165</f>
        <v>50157</v>
      </c>
      <c r="D165" s="19" t="n">
        <f aca="false">квітень!P165</f>
        <v>2221.76</v>
      </c>
      <c r="E165" s="19" t="n">
        <f aca="false">квітень!Q165</f>
        <v>0</v>
      </c>
      <c r="F165" s="20" t="n">
        <f aca="false">квітень!F165</f>
        <v>0</v>
      </c>
      <c r="G165" s="21" t="n">
        <f aca="false">квітень!G165</f>
        <v>49.4</v>
      </c>
      <c r="H165" s="21" t="n">
        <f aca="false">квітень!H165</f>
        <v>0</v>
      </c>
      <c r="I165" s="22" t="n">
        <f aca="false">квітень!I165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2424.3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квітень!B166</f>
        <v>Киричинська Г.Я.</v>
      </c>
      <c r="C166" s="18" t="str">
        <f aca="false">квітень!C166</f>
        <v>50158</v>
      </c>
      <c r="D166" s="19" t="n">
        <f aca="false">квітень!P166</f>
        <v>1020.03</v>
      </c>
      <c r="E166" s="19" t="n">
        <f aca="false">квітень!Q166</f>
        <v>0</v>
      </c>
      <c r="F166" s="20" t="n">
        <f aca="false">квітень!F166</f>
        <v>0</v>
      </c>
      <c r="G166" s="21" t="n">
        <f aca="false">квітень!G166</f>
        <v>35.1</v>
      </c>
      <c r="H166" s="21" t="n">
        <f aca="false">квітень!H166</f>
        <v>0</v>
      </c>
      <c r="I166" s="22" t="n">
        <f aca="false">квітень!I166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1163.94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квітень!B167</f>
        <v>Бутрій К.В.</v>
      </c>
      <c r="C167" s="18" t="str">
        <f aca="false">квітень!C167</f>
        <v>50159</v>
      </c>
      <c r="D167" s="19" t="n">
        <f aca="false">квітень!P167</f>
        <v>2688.93</v>
      </c>
      <c r="E167" s="19" t="n">
        <f aca="false">квітень!Q167</f>
        <v>0</v>
      </c>
      <c r="F167" s="20" t="n">
        <f aca="false">квітень!F167</f>
        <v>0</v>
      </c>
      <c r="G167" s="21" t="n">
        <f aca="false">квітень!G167</f>
        <v>62.4</v>
      </c>
      <c r="H167" s="21" t="n">
        <f aca="false">квітень!H167</f>
        <v>0</v>
      </c>
      <c r="I167" s="22" t="n">
        <f aca="false">квітень!I167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2944.77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квітень!B168</f>
        <v>Кузьома Г.І.</v>
      </c>
      <c r="C168" s="18" t="str">
        <f aca="false">квітень!C168</f>
        <v>50160</v>
      </c>
      <c r="D168" s="19" t="n">
        <f aca="false">квітень!P168</f>
        <v>0</v>
      </c>
      <c r="E168" s="19" t="n">
        <f aca="false">квітень!Q168</f>
        <v>377.52</v>
      </c>
      <c r="F168" s="20" t="n">
        <f aca="false">квітень!F168</f>
        <v>0</v>
      </c>
      <c r="G168" s="21" t="n">
        <f aca="false">квітень!G168</f>
        <v>65.5</v>
      </c>
      <c r="H168" s="21" t="n">
        <f aca="false">квітень!H168</f>
        <v>0</v>
      </c>
      <c r="I168" s="22" t="n">
        <f aca="false">квітень!I168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0</v>
      </c>
      <c r="Q168" s="25" t="n">
        <f aca="false">IF(E168=0,IF((D168+N168-O168)&lt;0,ABS(D168+N168-O168),0),IF((N168-E168-O168)&lt;0,ABS(N168-E168-O168),0))</f>
        <v>108.97</v>
      </c>
    </row>
    <row r="169" customFormat="false" ht="15" hidden="false" customHeight="false" outlineLevel="0" collapsed="false">
      <c r="A169" s="17" t="s">
        <v>503</v>
      </c>
      <c r="B169" s="18" t="str">
        <f aca="false">квітень!B169</f>
        <v>Павленко В.М.</v>
      </c>
      <c r="C169" s="18" t="str">
        <f aca="false">квітень!C169</f>
        <v>50161</v>
      </c>
      <c r="D169" s="19" t="n">
        <f aca="false">квітень!P169</f>
        <v>3276</v>
      </c>
      <c r="E169" s="19" t="n">
        <f aca="false">квітень!Q169</f>
        <v>0</v>
      </c>
      <c r="F169" s="20" t="n">
        <f aca="false">квітень!F169</f>
        <v>0</v>
      </c>
      <c r="G169" s="21" t="n">
        <f aca="false">квітень!G169</f>
        <v>49.94</v>
      </c>
      <c r="H169" s="21" t="n">
        <f aca="false">квітень!H169</f>
        <v>0</v>
      </c>
      <c r="I169" s="22" t="n">
        <f aca="false">квітень!I169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3480.75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квітень!B170</f>
        <v>Качуровська С.А.</v>
      </c>
      <c r="C170" s="18" t="str">
        <f aca="false">квітень!C170</f>
        <v>50162</v>
      </c>
      <c r="D170" s="19" t="n">
        <f aca="false">квітень!P170</f>
        <v>138.66</v>
      </c>
      <c r="E170" s="19" t="n">
        <f aca="false">квітень!Q170</f>
        <v>0</v>
      </c>
      <c r="F170" s="20" t="n">
        <f aca="false">квітень!F170</f>
        <v>0</v>
      </c>
      <c r="G170" s="21" t="n">
        <f aca="false">квітень!G170</f>
        <v>35</v>
      </c>
      <c r="H170" s="21" t="n">
        <f aca="false">квітень!H170</f>
        <v>0</v>
      </c>
      <c r="I170" s="22" t="n">
        <f aca="false">квітень!I170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 t="n">
        <v>150</v>
      </c>
      <c r="P170" s="25" t="n">
        <f aca="false">IF(D170=0,IF((N170-E170-O170)&gt;0,(N170-E170-O170),0),IF((D170+N170-O170)&gt;0,(D170+N170-O170),0))</f>
        <v>132.16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квітень!B171</f>
        <v>Білецький Б.Г.</v>
      </c>
      <c r="C171" s="18" t="str">
        <f aca="false">квітень!C171</f>
        <v>50163</v>
      </c>
      <c r="D171" s="19" t="n">
        <f aca="false">квітень!P171</f>
        <v>255.68</v>
      </c>
      <c r="E171" s="19" t="n">
        <f aca="false">квітень!Q171</f>
        <v>0</v>
      </c>
      <c r="F171" s="20" t="n">
        <f aca="false">квітень!F171</f>
        <v>0</v>
      </c>
      <c r="G171" s="21" t="n">
        <f aca="false">квітень!G171</f>
        <v>62.36</v>
      </c>
      <c r="H171" s="21" t="n">
        <f aca="false">квітень!H171</f>
        <v>0</v>
      </c>
      <c r="I171" s="22" t="n">
        <f aca="false">квітень!I171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квітень!B172</f>
        <v>Кузнєцова В.В.</v>
      </c>
      <c r="C172" s="18" t="str">
        <f aca="false">квітень!C172</f>
        <v>50164</v>
      </c>
      <c r="D172" s="19" t="n">
        <f aca="false">квітень!P172</f>
        <v>1614.56</v>
      </c>
      <c r="E172" s="19" t="n">
        <f aca="false">квітень!Q172</f>
        <v>0</v>
      </c>
      <c r="F172" s="20" t="n">
        <f aca="false">квітень!F172</f>
        <v>0</v>
      </c>
      <c r="G172" s="21" t="n">
        <f aca="false">квітень!G172</f>
        <v>65.63</v>
      </c>
      <c r="H172" s="21" t="n">
        <f aca="false">квітень!H172</f>
        <v>0</v>
      </c>
      <c r="I172" s="22" t="n">
        <f aca="false">квітень!I172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1883.64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квітень!B173</f>
        <v>Сидоренко Б.Й.</v>
      </c>
      <c r="C173" s="18" t="str">
        <f aca="false">квітень!C173</f>
        <v>50165</v>
      </c>
      <c r="D173" s="19" t="n">
        <f aca="false">квітень!P173</f>
        <v>9644.39</v>
      </c>
      <c r="E173" s="19" t="n">
        <f aca="false">квітень!Q173</f>
        <v>0</v>
      </c>
      <c r="F173" s="20" t="n">
        <f aca="false">квітень!F173</f>
        <v>0</v>
      </c>
      <c r="G173" s="21" t="n">
        <f aca="false">квітень!G173</f>
        <v>49.8</v>
      </c>
      <c r="H173" s="21" t="n">
        <f aca="false">квітень!H173</f>
        <v>0</v>
      </c>
      <c r="I173" s="22" t="n">
        <f aca="false">квітень!I173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9848.57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квітень!B174</f>
        <v>Кузнєцова О.А.</v>
      </c>
      <c r="C174" s="18" t="str">
        <f aca="false">квітень!C174</f>
        <v>50166</v>
      </c>
      <c r="D174" s="19" t="n">
        <f aca="false">квітень!P174</f>
        <v>717.5</v>
      </c>
      <c r="E174" s="19" t="n">
        <f aca="false">квітень!Q174</f>
        <v>0</v>
      </c>
      <c r="F174" s="20" t="n">
        <f aca="false">квітень!F174</f>
        <v>0</v>
      </c>
      <c r="G174" s="21" t="n">
        <f aca="false">квітень!G174</f>
        <v>35</v>
      </c>
      <c r="H174" s="21" t="n">
        <f aca="false">квітень!H174</f>
        <v>0</v>
      </c>
      <c r="I174" s="22" t="n">
        <f aca="false">квітень!I174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861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квітень!B175</f>
        <v>Васильєва О.Г.</v>
      </c>
      <c r="C175" s="18" t="str">
        <f aca="false">квітень!C175</f>
        <v>50167</v>
      </c>
      <c r="D175" s="19" t="n">
        <f aca="false">квітень!P175</f>
        <v>4030.61</v>
      </c>
      <c r="E175" s="19" t="n">
        <f aca="false">квітень!Q175</f>
        <v>0</v>
      </c>
      <c r="F175" s="20" t="n">
        <f aca="false">квітень!F175</f>
        <v>0</v>
      </c>
      <c r="G175" s="21" t="n">
        <f aca="false">квітень!G175</f>
        <v>61.7</v>
      </c>
      <c r="H175" s="21" t="n">
        <f aca="false">квітень!H175</f>
        <v>0</v>
      </c>
      <c r="I175" s="22" t="n">
        <f aca="false">квітень!I175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4283.58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квітень!B176</f>
        <v>Кудінова Л.М.</v>
      </c>
      <c r="C176" s="18" t="str">
        <f aca="false">квітень!C176</f>
        <v>50168</v>
      </c>
      <c r="D176" s="19" t="n">
        <f aca="false">квітень!P176</f>
        <v>1318.67</v>
      </c>
      <c r="E176" s="19" t="n">
        <f aca="false">квітень!Q176</f>
        <v>0</v>
      </c>
      <c r="F176" s="20" t="n">
        <f aca="false">квітень!F176</f>
        <v>0</v>
      </c>
      <c r="G176" s="21" t="n">
        <f aca="false">квітень!G176</f>
        <v>65.58</v>
      </c>
      <c r="H176" s="21" t="n">
        <f aca="false">квітень!H176</f>
        <v>0</v>
      </c>
      <c r="I176" s="22" t="n">
        <f aca="false">квітень!I176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1587.55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квітень!B177</f>
        <v>Спільний І.В.</v>
      </c>
      <c r="C177" s="18" t="str">
        <f aca="false">квітень!C177</f>
        <v>50169</v>
      </c>
      <c r="D177" s="19" t="n">
        <f aca="false">квітень!P177</f>
        <v>0</v>
      </c>
      <c r="E177" s="19" t="n">
        <f aca="false">квітень!Q177</f>
        <v>839.93</v>
      </c>
      <c r="F177" s="20" t="n">
        <f aca="false">квітень!F177</f>
        <v>0</v>
      </c>
      <c r="G177" s="21" t="n">
        <f aca="false">квітень!G177</f>
        <v>49.5</v>
      </c>
      <c r="H177" s="21" t="n">
        <f aca="false">квітень!H177</f>
        <v>0</v>
      </c>
      <c r="I177" s="22" t="n">
        <f aca="false">квітень!I177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0</v>
      </c>
      <c r="Q177" s="25" t="n">
        <f aca="false">IF(E177=0,IF((D177+N177-O177)&lt;0,ABS(D177+N177-O177),0),IF((N177-E177-O177)&lt;0,ABS(N177-E177-O177),0))</f>
        <v>636.98</v>
      </c>
    </row>
    <row r="178" customFormat="false" ht="15" hidden="false" customHeight="false" outlineLevel="0" collapsed="false">
      <c r="A178" s="17" t="s">
        <v>530</v>
      </c>
      <c r="B178" s="18" t="str">
        <f aca="false">квітень!B178</f>
        <v>Кружаліна Т.А.</v>
      </c>
      <c r="C178" s="18" t="str">
        <f aca="false">квітень!C178</f>
        <v>50170</v>
      </c>
      <c r="D178" s="19" t="n">
        <f aca="false">квітень!P178</f>
        <v>143.910000000001</v>
      </c>
      <c r="E178" s="19" t="n">
        <f aca="false">квітень!Q178</f>
        <v>0</v>
      </c>
      <c r="F178" s="20" t="n">
        <f aca="false">квітень!F178</f>
        <v>0</v>
      </c>
      <c r="G178" s="21" t="n">
        <f aca="false">квітень!G178</f>
        <v>35.1</v>
      </c>
      <c r="H178" s="21" t="n">
        <f aca="false">квітень!H178</f>
        <v>0</v>
      </c>
      <c r="I178" s="22" t="n">
        <f aca="false">квітень!I178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 t="n">
        <v>500</v>
      </c>
      <c r="P178" s="25" t="n">
        <f aca="false">IF(D178=0,IF((N178-E178-O178)&gt;0,(N178-E178-O178),0),IF((D178+N178-O178)&gt;0,(D178+N178-O178),0))</f>
        <v>0</v>
      </c>
      <c r="Q178" s="25" t="n">
        <f aca="false">IF(E178=0,IF((D178+N178-O178)&lt;0,ABS(D178+N178-O178),0),IF((N178-E178-O178)&lt;0,ABS(N178-E178-O178),0))</f>
        <v>212.179999999999</v>
      </c>
    </row>
    <row r="179" customFormat="false" ht="15" hidden="false" customHeight="false" outlineLevel="0" collapsed="false">
      <c r="A179" s="17" t="s">
        <v>533</v>
      </c>
      <c r="B179" s="18" t="str">
        <f aca="false">квітень!B179</f>
        <v>Григоренко Н.Е.</v>
      </c>
      <c r="C179" s="18" t="str">
        <f aca="false">квітень!C179</f>
        <v>50171</v>
      </c>
      <c r="D179" s="19" t="n">
        <f aca="false">квітень!P179</f>
        <v>3025.95</v>
      </c>
      <c r="E179" s="19" t="n">
        <f aca="false">квітень!Q179</f>
        <v>0</v>
      </c>
      <c r="F179" s="20" t="n">
        <f aca="false">квітень!F179</f>
        <v>0</v>
      </c>
      <c r="G179" s="21" t="n">
        <f aca="false">квітень!G179</f>
        <v>62.91</v>
      </c>
      <c r="H179" s="21" t="n">
        <f aca="false">квітень!H179</f>
        <v>0</v>
      </c>
      <c r="I179" s="22" t="n">
        <f aca="false">квітень!I179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 t="n">
        <f aca="false">169.14+400+200</f>
        <v>769.14</v>
      </c>
      <c r="P179" s="25" t="n">
        <f aca="false">IF(D179=0,IF((N179-E179-O179)&gt;0,(N179-E179-O179),0),IF((D179+N179-O179)&gt;0,(D179+N179-O179),0))</f>
        <v>2514.74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квітень!B180</f>
        <v>Бондарчук В.В.</v>
      </c>
      <c r="C180" s="18" t="str">
        <f aca="false">квітень!C180</f>
        <v>50172</v>
      </c>
      <c r="D180" s="19" t="n">
        <f aca="false">квітень!P180</f>
        <v>0</v>
      </c>
      <c r="E180" s="19" t="n">
        <f aca="false">квітень!Q180</f>
        <v>541.439999999999</v>
      </c>
      <c r="F180" s="20" t="n">
        <f aca="false">квітень!F180</f>
        <v>0</v>
      </c>
      <c r="G180" s="21" t="n">
        <f aca="false">квітень!G180</f>
        <v>66.03</v>
      </c>
      <c r="H180" s="21" t="n">
        <f aca="false">квітень!H180</f>
        <v>0</v>
      </c>
      <c r="I180" s="22" t="n">
        <f aca="false">квітень!I180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270.719999999999</v>
      </c>
    </row>
    <row r="181" customFormat="false" ht="15" hidden="false" customHeight="false" outlineLevel="0" collapsed="false">
      <c r="A181" s="17" t="s">
        <v>539</v>
      </c>
      <c r="B181" s="18" t="str">
        <f aca="false">квітень!B181</f>
        <v>Рябініна Н.І.</v>
      </c>
      <c r="C181" s="18" t="str">
        <f aca="false">квітень!C181</f>
        <v>50173</v>
      </c>
      <c r="D181" s="19" t="n">
        <f aca="false">квітень!P181</f>
        <v>2068.85</v>
      </c>
      <c r="E181" s="19" t="n">
        <f aca="false">квітень!Q181</f>
        <v>0</v>
      </c>
      <c r="F181" s="20" t="n">
        <f aca="false">квітень!F181</f>
        <v>0</v>
      </c>
      <c r="G181" s="21" t="n">
        <f aca="false">квітень!G181</f>
        <v>49.9</v>
      </c>
      <c r="H181" s="21" t="n">
        <f aca="false">квітень!H181</f>
        <v>0</v>
      </c>
      <c r="I181" s="22" t="n">
        <f aca="false">квітень!I181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 t="n">
        <v>500</v>
      </c>
      <c r="P181" s="25" t="n">
        <f aca="false">IF(D181=0,IF((N181-E181-O181)&gt;0,(N181-E181-O181),0),IF((D181+N181-O181)&gt;0,(D181+N181-O181),0))</f>
        <v>1773.44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квітень!B182</f>
        <v>Шапіро В.І.</v>
      </c>
      <c r="C182" s="18" t="str">
        <f aca="false">квітень!C182</f>
        <v>50174</v>
      </c>
      <c r="D182" s="19" t="n">
        <f aca="false">квітень!P182</f>
        <v>143.17</v>
      </c>
      <c r="E182" s="19" t="n">
        <f aca="false">квітень!Q182</f>
        <v>0</v>
      </c>
      <c r="F182" s="20" t="n">
        <f aca="false">квітень!F182</f>
        <v>0</v>
      </c>
      <c r="G182" s="21" t="n">
        <f aca="false">квітень!G182</f>
        <v>34.92</v>
      </c>
      <c r="H182" s="21" t="n">
        <f aca="false">квітень!H182</f>
        <v>0</v>
      </c>
      <c r="I182" s="22" t="n">
        <f aca="false">квітень!I182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квітень!B183</f>
        <v>Крамаренко О.О.</v>
      </c>
      <c r="C183" s="18" t="str">
        <f aca="false">квітень!C183</f>
        <v>50175</v>
      </c>
      <c r="D183" s="19" t="n">
        <f aca="false">квітень!P183</f>
        <v>1055.39</v>
      </c>
      <c r="E183" s="19" t="n">
        <f aca="false">квітень!Q183</f>
        <v>0</v>
      </c>
      <c r="F183" s="20" t="n">
        <f aca="false">квітень!F183</f>
        <v>0</v>
      </c>
      <c r="G183" s="21" t="n">
        <f aca="false">квітень!G183</f>
        <v>61.91</v>
      </c>
      <c r="H183" s="21" t="n">
        <f aca="false">квітень!H183</f>
        <v>0</v>
      </c>
      <c r="I183" s="22" t="n">
        <f aca="false">квітень!I183</f>
        <v>4.1</v>
      </c>
      <c r="J183" s="23" t="n">
        <f aca="false">ROUND(G183*I183,2)</f>
        <v>253.83</v>
      </c>
      <c r="K183" s="19"/>
      <c r="L183" s="19" t="n">
        <v>253.83</v>
      </c>
      <c r="M183" s="19"/>
      <c r="N183" s="19" t="n">
        <f aca="false">ROUND((G183*I183)-K183-L183-M183,2)</f>
        <v>0</v>
      </c>
      <c r="O183" s="19"/>
      <c r="P183" s="25" t="n">
        <f aca="false">IF(D183=0,IF((N183-E183-O183)&gt;0,(N183-E183-O183),0),IF((D183+N183-O183)&gt;0,(D183+N183-O183),0))</f>
        <v>1055.39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квітень!B184</f>
        <v>Свиридов В.Ф.</v>
      </c>
      <c r="C184" s="18" t="str">
        <f aca="false">квітень!C184</f>
        <v>50176</v>
      </c>
      <c r="D184" s="19" t="n">
        <f aca="false">квітень!P184</f>
        <v>3526.27</v>
      </c>
      <c r="E184" s="19" t="n">
        <f aca="false">квітень!Q184</f>
        <v>0</v>
      </c>
      <c r="F184" s="20" t="n">
        <f aca="false">квітень!F184</f>
        <v>0</v>
      </c>
      <c r="G184" s="21" t="n">
        <f aca="false">квітень!G184</f>
        <v>65.15</v>
      </c>
      <c r="H184" s="21" t="n">
        <f aca="false">квітень!H184</f>
        <v>0</v>
      </c>
      <c r="I184" s="22" t="n">
        <f aca="false">квітень!I184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3793.39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квітень!B185</f>
        <v>Домацький В.А.</v>
      </c>
      <c r="C185" s="18" t="str">
        <f aca="false">квітень!C185</f>
        <v>50177</v>
      </c>
      <c r="D185" s="19" t="n">
        <f aca="false">квітень!P185</f>
        <v>2459.98</v>
      </c>
      <c r="E185" s="19" t="n">
        <f aca="false">квітень!Q185</f>
        <v>0</v>
      </c>
      <c r="F185" s="20" t="n">
        <f aca="false">квітень!F185</f>
        <v>0</v>
      </c>
      <c r="G185" s="21" t="n">
        <f aca="false">квітень!G185</f>
        <v>50</v>
      </c>
      <c r="H185" s="21" t="n">
        <f aca="false">квітень!H185</f>
        <v>0</v>
      </c>
      <c r="I185" s="22" t="n">
        <f aca="false">квітень!I185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2664.98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квітень!B186</f>
        <v>Шаповалова І.А.</v>
      </c>
      <c r="C186" s="18" t="str">
        <f aca="false">квітень!C186</f>
        <v>50178</v>
      </c>
      <c r="D186" s="19" t="n">
        <f aca="false">квітень!P186</f>
        <v>1582.29</v>
      </c>
      <c r="E186" s="19" t="n">
        <f aca="false">квітень!Q186</f>
        <v>0</v>
      </c>
      <c r="F186" s="20" t="n">
        <f aca="false">квітень!F186</f>
        <v>0</v>
      </c>
      <c r="G186" s="21" t="n">
        <f aca="false">квітень!G186</f>
        <v>35.1</v>
      </c>
      <c r="H186" s="21" t="n">
        <f aca="false">квітень!H186</f>
        <v>0</v>
      </c>
      <c r="I186" s="22" t="n">
        <f aca="false">квітень!I186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1726.2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квітень!B187</f>
        <v>Кононенко О.В.</v>
      </c>
      <c r="C187" s="18" t="str">
        <f aca="false">квітень!C187</f>
        <v>50179</v>
      </c>
      <c r="D187" s="19" t="n">
        <f aca="false">квітень!P187</f>
        <v>4053.47</v>
      </c>
      <c r="E187" s="19" t="n">
        <f aca="false">квітень!Q187</f>
        <v>0</v>
      </c>
      <c r="F187" s="20" t="n">
        <f aca="false">квітень!F187</f>
        <v>0</v>
      </c>
      <c r="G187" s="21" t="n">
        <f aca="false">квітень!G187</f>
        <v>61.8</v>
      </c>
      <c r="H187" s="21" t="n">
        <f aca="false">квітень!H187</f>
        <v>0</v>
      </c>
      <c r="I187" s="22" t="n">
        <f aca="false">квітень!I187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4306.85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квітень!B188</f>
        <v>Овчаренко Т.І.</v>
      </c>
      <c r="C188" s="18" t="str">
        <f aca="false">квітень!C188</f>
        <v>60180</v>
      </c>
      <c r="D188" s="19" t="n">
        <f aca="false">квітень!P188</f>
        <v>567.03</v>
      </c>
      <c r="E188" s="19" t="n">
        <f aca="false">квітень!Q188</f>
        <v>0</v>
      </c>
      <c r="F188" s="20" t="n">
        <f aca="false">квітень!F188</f>
        <v>0</v>
      </c>
      <c r="G188" s="21" t="n">
        <f aca="false">квітень!G188</f>
        <v>71.06</v>
      </c>
      <c r="H188" s="21" t="n">
        <f aca="false">квітень!H188</f>
        <v>0</v>
      </c>
      <c r="I188" s="22" t="n">
        <f aca="false">квітень!I188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 t="n">
        <v>176</v>
      </c>
      <c r="P188" s="25" t="n">
        <f aca="false">IF(D188=0,IF((N188-E188-O188)&gt;0,(N188-E188-O188),0),IF((D188+N188-O188)&gt;0,(D188+N188-O188),0))</f>
        <v>682.38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квітень!B189</f>
        <v>Попукайло О.Г.</v>
      </c>
      <c r="C189" s="18" t="str">
        <f aca="false">квітень!C189</f>
        <v>60181</v>
      </c>
      <c r="D189" s="19" t="n">
        <f aca="false">квітень!P189</f>
        <v>806.08</v>
      </c>
      <c r="E189" s="19" t="n">
        <f aca="false">квітень!Q189</f>
        <v>0</v>
      </c>
      <c r="F189" s="20" t="n">
        <f aca="false">квітень!F189</f>
        <v>0</v>
      </c>
      <c r="G189" s="21" t="n">
        <f aca="false">квітень!G189</f>
        <v>49.15</v>
      </c>
      <c r="H189" s="21" t="n">
        <f aca="false">квітень!H189</f>
        <v>0</v>
      </c>
      <c r="I189" s="22" t="n">
        <f aca="false">квітень!I189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1007.6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квітень!B190</f>
        <v>Онищенко А.В.</v>
      </c>
      <c r="C190" s="18" t="str">
        <f aca="false">квітень!C190</f>
        <v>60182</v>
      </c>
      <c r="D190" s="19" t="n">
        <f aca="false">квітень!P190</f>
        <v>926.28</v>
      </c>
      <c r="E190" s="19" t="n">
        <f aca="false">квітень!Q190</f>
        <v>0</v>
      </c>
      <c r="F190" s="20" t="n">
        <f aca="false">квітень!F190</f>
        <v>0</v>
      </c>
      <c r="G190" s="21" t="n">
        <f aca="false">квітень!G190</f>
        <v>53.72</v>
      </c>
      <c r="H190" s="21" t="n">
        <f aca="false">квітень!H190</f>
        <v>0</v>
      </c>
      <c r="I190" s="22" t="n">
        <f aca="false">квітень!I190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1146.53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квітень!B191</f>
        <v>Соколова О.О.</v>
      </c>
      <c r="C191" s="18" t="str">
        <f aca="false">квітень!C191</f>
        <v>60183</v>
      </c>
      <c r="D191" s="19" t="n">
        <f aca="false">квітень!P191</f>
        <v>551.839999999999</v>
      </c>
      <c r="E191" s="19" t="n">
        <f aca="false">квітень!Q191</f>
        <v>0</v>
      </c>
      <c r="F191" s="20" t="n">
        <f aca="false">квітень!F191</f>
        <v>0</v>
      </c>
      <c r="G191" s="21" t="n">
        <f aca="false">квітень!G191</f>
        <v>68.97</v>
      </c>
      <c r="H191" s="21" t="n">
        <f aca="false">квітень!H191</f>
        <v>0</v>
      </c>
      <c r="I191" s="22" t="n">
        <f aca="false">квітень!I191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 t="n">
        <v>853</v>
      </c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18.380000000001</v>
      </c>
    </row>
    <row r="192" customFormat="false" ht="15" hidden="false" customHeight="false" outlineLevel="0" collapsed="false">
      <c r="A192" s="17" t="s">
        <v>572</v>
      </c>
      <c r="B192" s="18" t="str">
        <f aca="false">квітень!B192</f>
        <v>Ільіна В.П.</v>
      </c>
      <c r="C192" s="18" t="str">
        <f aca="false">квітень!C192</f>
        <v>60184</v>
      </c>
      <c r="D192" s="19" t="n">
        <f aca="false">квітень!P192</f>
        <v>4906.32</v>
      </c>
      <c r="E192" s="19" t="n">
        <f aca="false">квітень!Q192</f>
        <v>0</v>
      </c>
      <c r="F192" s="20" t="n">
        <f aca="false">квітень!F192</f>
        <v>0</v>
      </c>
      <c r="G192" s="21" t="n">
        <f aca="false">квітень!G192</f>
        <v>49.86</v>
      </c>
      <c r="H192" s="21" t="n">
        <f aca="false">квітень!H192</f>
        <v>0</v>
      </c>
      <c r="I192" s="22" t="n">
        <f aca="false">квітень!I192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5110.75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квітень!B193</f>
        <v>Чешок Г.К.</v>
      </c>
      <c r="C193" s="18" t="str">
        <f aca="false">квітень!C193</f>
        <v>60185</v>
      </c>
      <c r="D193" s="19" t="n">
        <f aca="false">квітень!P193</f>
        <v>3901.49</v>
      </c>
      <c r="E193" s="19" t="n">
        <f aca="false">квітень!Q193</f>
        <v>0</v>
      </c>
      <c r="F193" s="20" t="n">
        <f aca="false">квітень!F193</f>
        <v>0</v>
      </c>
      <c r="G193" s="21" t="n">
        <f aca="false">квітень!G193</f>
        <v>60.86</v>
      </c>
      <c r="H193" s="21" t="n">
        <f aca="false">квітень!H193</f>
        <v>0</v>
      </c>
      <c r="I193" s="22" t="n">
        <f aca="false">квітень!I193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4151.02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квітень!B194</f>
        <v>Бердников В.А.</v>
      </c>
      <c r="C194" s="18" t="str">
        <f aca="false">квітень!C194</f>
        <v>60186</v>
      </c>
      <c r="D194" s="19" t="n">
        <f aca="false">квітень!P194</f>
        <v>1644.35</v>
      </c>
      <c r="E194" s="19" t="n">
        <f aca="false">квітень!Q194</f>
        <v>0</v>
      </c>
      <c r="F194" s="20" t="n">
        <f aca="false">квітень!F194</f>
        <v>0</v>
      </c>
      <c r="G194" s="21" t="n">
        <f aca="false">квітень!G194</f>
        <v>66.75</v>
      </c>
      <c r="H194" s="21" t="n">
        <f aca="false">квітень!H194</f>
        <v>0</v>
      </c>
      <c r="I194" s="22" t="n">
        <f aca="false">квітень!I194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1918.03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квітень!B195</f>
        <v>Щербак Н.В.</v>
      </c>
      <c r="C195" s="18" t="str">
        <f aca="false">квітень!C195</f>
        <v>60187</v>
      </c>
      <c r="D195" s="19" t="n">
        <f aca="false">квітень!P195</f>
        <v>3566.42</v>
      </c>
      <c r="E195" s="19" t="n">
        <f aca="false">квітень!Q195</f>
        <v>0</v>
      </c>
      <c r="F195" s="20" t="n">
        <f aca="false">квітень!F195</f>
        <v>0</v>
      </c>
      <c r="G195" s="21" t="n">
        <f aca="false">квітень!G195</f>
        <v>72.49</v>
      </c>
      <c r="H195" s="21" t="n">
        <f aca="false">квітень!H195</f>
        <v>0</v>
      </c>
      <c r="I195" s="22" t="n">
        <f aca="false">квітень!I195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3863.63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квітень!B196</f>
        <v>Рожков Ю.М.</v>
      </c>
      <c r="C196" s="18" t="str">
        <f aca="false">квітень!C196</f>
        <v>60188</v>
      </c>
      <c r="D196" s="19" t="n">
        <f aca="false">квітень!P196</f>
        <v>788.42</v>
      </c>
      <c r="E196" s="19" t="n">
        <f aca="false">квітень!Q196</f>
        <v>0</v>
      </c>
      <c r="F196" s="20" t="n">
        <f aca="false">квітень!F196</f>
        <v>0</v>
      </c>
      <c r="G196" s="21" t="n">
        <f aca="false">квітень!G196</f>
        <v>49.8</v>
      </c>
      <c r="H196" s="21" t="n">
        <f aca="false">квітень!H196</f>
        <v>0</v>
      </c>
      <c r="I196" s="22" t="n">
        <f aca="false">квітень!I196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992.6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квітень!B197</f>
        <v>Кобець В.В.</v>
      </c>
      <c r="C197" s="18" t="str">
        <f aca="false">квітень!C197</f>
        <v>60189</v>
      </c>
      <c r="D197" s="19" t="n">
        <f aca="false">квітень!P197</f>
        <v>2057.51</v>
      </c>
      <c r="E197" s="19" t="n">
        <f aca="false">квітень!Q197</f>
        <v>0</v>
      </c>
      <c r="F197" s="20" t="n">
        <f aca="false">квітень!F197</f>
        <v>0</v>
      </c>
      <c r="G197" s="21" t="n">
        <f aca="false">квітень!G197</f>
        <v>62.36</v>
      </c>
      <c r="H197" s="21" t="n">
        <f aca="false">квітень!H197</f>
        <v>0</v>
      </c>
      <c r="I197" s="22" t="n">
        <f aca="false">квітень!I197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2313.19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квітень!B198</f>
        <v>Щерба Л.О.</v>
      </c>
      <c r="C198" s="18" t="str">
        <f aca="false">квітень!C198</f>
        <v>60190</v>
      </c>
      <c r="D198" s="19" t="n">
        <f aca="false">квітень!P198</f>
        <v>3753.8</v>
      </c>
      <c r="E198" s="19" t="n">
        <f aca="false">квітень!Q198</f>
        <v>0</v>
      </c>
      <c r="F198" s="20" t="n">
        <f aca="false">квітень!F198</f>
        <v>0</v>
      </c>
      <c r="G198" s="21" t="n">
        <f aca="false">квітень!G198</f>
        <v>68.5</v>
      </c>
      <c r="H198" s="21" t="n">
        <f aca="false">квітень!H198</f>
        <v>0</v>
      </c>
      <c r="I198" s="22" t="n">
        <f aca="false">квітень!I198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 t="n">
        <v>500</v>
      </c>
      <c r="P198" s="25" t="n">
        <f aca="false">IF(D198=0,IF((N198-E198-O198)&gt;0,(N198-E198-O198),0),IF((D198+N198-O198)&gt;0,(D198+N198-O198),0))</f>
        <v>3534.65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квітень!B199</f>
        <v>Сапунова І.В.</v>
      </c>
      <c r="C199" s="18" t="str">
        <f aca="false">квітень!C199</f>
        <v>60191</v>
      </c>
      <c r="D199" s="19" t="n">
        <f aca="false">квітень!P199</f>
        <v>1773.28</v>
      </c>
      <c r="E199" s="19" t="n">
        <f aca="false">квітень!Q199</f>
        <v>0</v>
      </c>
      <c r="F199" s="20" t="n">
        <f aca="false">квітень!F199</f>
        <v>0</v>
      </c>
      <c r="G199" s="21" t="n">
        <f aca="false">квітень!G199</f>
        <v>70.42</v>
      </c>
      <c r="H199" s="21" t="n">
        <f aca="false">квітень!H199</f>
        <v>0</v>
      </c>
      <c r="I199" s="22" t="n">
        <f aca="false">квітень!I199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2062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квітень!B200</f>
        <v>Саввідіс В.О.</v>
      </c>
      <c r="C200" s="18" t="str">
        <f aca="false">квітень!C200</f>
        <v>60192</v>
      </c>
      <c r="D200" s="19" t="n">
        <f aca="false">квітень!P200</f>
        <v>3558.1</v>
      </c>
      <c r="E200" s="19" t="n">
        <f aca="false">квітень!Q200</f>
        <v>0</v>
      </c>
      <c r="F200" s="20" t="n">
        <f aca="false">квітень!F200</f>
        <v>0</v>
      </c>
      <c r="G200" s="21" t="n">
        <f aca="false">квітень!G200</f>
        <v>49.7</v>
      </c>
      <c r="H200" s="21" t="n">
        <f aca="false">квітень!H200</f>
        <v>0</v>
      </c>
      <c r="I200" s="22" t="n">
        <f aca="false">квітень!I200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3761.87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квітень!B201</f>
        <v>Кашина Г.І.</v>
      </c>
      <c r="C201" s="18" t="str">
        <f aca="false">квітень!C201</f>
        <v>60193</v>
      </c>
      <c r="D201" s="19" t="n">
        <f aca="false">квітень!P201</f>
        <v>3849.9</v>
      </c>
      <c r="E201" s="19" t="n">
        <f aca="false">квітень!Q201</f>
        <v>0</v>
      </c>
      <c r="F201" s="20" t="n">
        <f aca="false">квітень!F201</f>
        <v>0</v>
      </c>
      <c r="G201" s="21" t="n">
        <f aca="false">квітень!G201</f>
        <v>62.6</v>
      </c>
      <c r="H201" s="21" t="n">
        <f aca="false">квітень!H201</f>
        <v>0</v>
      </c>
      <c r="I201" s="22" t="n">
        <f aca="false">квітень!I201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4106.56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квітень!B202</f>
        <v>Фадеєва Є.А.</v>
      </c>
      <c r="C202" s="18" t="str">
        <f aca="false">квітень!C202</f>
        <v>60194</v>
      </c>
      <c r="D202" s="19" t="n">
        <f aca="false">квітень!P202</f>
        <v>3175.04</v>
      </c>
      <c r="E202" s="19" t="n">
        <f aca="false">квітень!Q202</f>
        <v>0</v>
      </c>
      <c r="F202" s="20" t="n">
        <f aca="false">квітень!F202</f>
        <v>0</v>
      </c>
      <c r="G202" s="21" t="n">
        <f aca="false">квітень!G202</f>
        <v>70.4</v>
      </c>
      <c r="H202" s="21" t="n">
        <f aca="false">квітень!H202</f>
        <v>0</v>
      </c>
      <c r="I202" s="22" t="n">
        <f aca="false">квітень!I202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3463.68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квітень!B203</f>
        <v>Бойко О.А.</v>
      </c>
      <c r="C203" s="18" t="str">
        <f aca="false">квітень!C203</f>
        <v>60195</v>
      </c>
      <c r="D203" s="19" t="n">
        <f aca="false">квітень!P203</f>
        <v>3444.69</v>
      </c>
      <c r="E203" s="19" t="n">
        <f aca="false">квітень!Q203</f>
        <v>0</v>
      </c>
      <c r="F203" s="20" t="n">
        <f aca="false">квітень!F203</f>
        <v>0</v>
      </c>
      <c r="G203" s="21" t="n">
        <f aca="false">квітень!G203</f>
        <v>70.2</v>
      </c>
      <c r="H203" s="21" t="n">
        <f aca="false">квітень!H203</f>
        <v>0</v>
      </c>
      <c r="I203" s="22" t="n">
        <f aca="false">квітень!I203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3732.51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квітень!B204</f>
        <v>Дудник І.А.</v>
      </c>
      <c r="C204" s="18" t="str">
        <f aca="false">квітень!C204</f>
        <v>60196</v>
      </c>
      <c r="D204" s="19" t="n">
        <f aca="false">квітень!P204</f>
        <v>2508.27</v>
      </c>
      <c r="E204" s="19" t="n">
        <f aca="false">квітень!Q204</f>
        <v>0</v>
      </c>
      <c r="F204" s="20" t="n">
        <f aca="false">квітень!F204</f>
        <v>0</v>
      </c>
      <c r="G204" s="21" t="n">
        <f aca="false">квітень!G204</f>
        <v>49.94</v>
      </c>
      <c r="H204" s="21" t="n">
        <f aca="false">квітень!H204</f>
        <v>0</v>
      </c>
      <c r="I204" s="22" t="n">
        <f aca="false">квітень!I204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2713.02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квітень!B205</f>
        <v>Лебедєва Т.В.</v>
      </c>
      <c r="C205" s="18" t="str">
        <f aca="false">квітень!C205</f>
        <v>60197</v>
      </c>
      <c r="D205" s="19" t="n">
        <f aca="false">квітень!P205</f>
        <v>1783.44</v>
      </c>
      <c r="E205" s="19" t="n">
        <f aca="false">квітень!Q205</f>
        <v>0</v>
      </c>
      <c r="F205" s="20" t="n">
        <f aca="false">квітень!F205</f>
        <v>0</v>
      </c>
      <c r="G205" s="21" t="n">
        <f aca="false">квітень!G205</f>
        <v>62.3</v>
      </c>
      <c r="H205" s="21" t="n">
        <f aca="false">квітень!H205</f>
        <v>0</v>
      </c>
      <c r="I205" s="22" t="n">
        <f aca="false">квітень!I205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2038.87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квітень!B206</f>
        <v>Криницький Л.С.</v>
      </c>
      <c r="C206" s="18" t="str">
        <f aca="false">квітень!C206</f>
        <v>60198</v>
      </c>
      <c r="D206" s="19" t="n">
        <f aca="false">квітень!P206</f>
        <v>277.2</v>
      </c>
      <c r="E206" s="19" t="n">
        <f aca="false">квітень!Q206</f>
        <v>0</v>
      </c>
      <c r="F206" s="20" t="n">
        <f aca="false">квітень!F206</f>
        <v>0</v>
      </c>
      <c r="G206" s="21" t="n">
        <f aca="false">квітень!G206</f>
        <v>67.61</v>
      </c>
      <c r="H206" s="21" t="n">
        <f aca="false">квітень!H206</f>
        <v>0</v>
      </c>
      <c r="I206" s="22" t="n">
        <f aca="false">квітень!I206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 t="n">
        <v>554.4</v>
      </c>
      <c r="P206" s="25" t="n">
        <f aca="false">IF(D206=0,IF((N206-E206-O206)&gt;0,(N206-E206-O206),0),IF((D206+N206-O206)&gt;0,(D206+N206-O206),0))</f>
        <v>0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квітень!B207</f>
        <v>Сафонов В.В.</v>
      </c>
      <c r="C207" s="18" t="str">
        <f aca="false">квітень!C207</f>
        <v>60199</v>
      </c>
      <c r="D207" s="19" t="n">
        <f aca="false">квітень!P207</f>
        <v>3071.98</v>
      </c>
      <c r="E207" s="19" t="n">
        <f aca="false">квітень!Q207</f>
        <v>0</v>
      </c>
      <c r="F207" s="20" t="n">
        <f aca="false">квітень!F207</f>
        <v>0</v>
      </c>
      <c r="G207" s="21" t="n">
        <f aca="false">квітень!G207</f>
        <v>70.38</v>
      </c>
      <c r="H207" s="21" t="n">
        <f aca="false">квітень!H207</f>
        <v>0</v>
      </c>
      <c r="I207" s="22" t="n">
        <f aca="false">квітень!I207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3360.54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квітень!B208</f>
        <v>Мільковська Р.Г.</v>
      </c>
      <c r="C208" s="18" t="str">
        <f aca="false">квітень!C208</f>
        <v>60200</v>
      </c>
      <c r="D208" s="19" t="n">
        <f aca="false">квітень!P208</f>
        <v>2287.58</v>
      </c>
      <c r="E208" s="19" t="n">
        <f aca="false">квітень!Q208</f>
        <v>0</v>
      </c>
      <c r="F208" s="20" t="n">
        <f aca="false">квітень!F208</f>
        <v>0</v>
      </c>
      <c r="G208" s="21" t="n">
        <f aca="false">квітень!G208</f>
        <v>49.88</v>
      </c>
      <c r="H208" s="21" t="n">
        <f aca="false">квітень!H208</f>
        <v>0</v>
      </c>
      <c r="I208" s="22" t="n">
        <f aca="false">квітень!I208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2492.09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квітень!B209</f>
        <v>Заранкін С.М.</v>
      </c>
      <c r="C209" s="18" t="str">
        <f aca="false">квітень!C209</f>
        <v>60201</v>
      </c>
      <c r="D209" s="19" t="n">
        <f aca="false">квітень!P209</f>
        <v>1986.36</v>
      </c>
      <c r="E209" s="19" t="n">
        <f aca="false">квітень!Q209</f>
        <v>0</v>
      </c>
      <c r="F209" s="20" t="n">
        <f aca="false">квітень!F209</f>
        <v>0</v>
      </c>
      <c r="G209" s="21" t="n">
        <f aca="false">квітень!G209</f>
        <v>62.02</v>
      </c>
      <c r="H209" s="21" t="n">
        <f aca="false">квітень!H209</f>
        <v>0</v>
      </c>
      <c r="I209" s="22" t="n">
        <f aca="false">квітень!I209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2240.64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квітень!B210</f>
        <v>Сіянко О.М.</v>
      </c>
      <c r="C210" s="18" t="str">
        <f aca="false">квітень!C210</f>
        <v>60202</v>
      </c>
      <c r="D210" s="19" t="n">
        <f aca="false">квітень!P210</f>
        <v>2755.35</v>
      </c>
      <c r="E210" s="19" t="n">
        <f aca="false">квітень!Q210</f>
        <v>0</v>
      </c>
      <c r="F210" s="20" t="n">
        <f aca="false">квітень!F210</f>
        <v>0</v>
      </c>
      <c r="G210" s="21" t="n">
        <f aca="false">квітень!G210</f>
        <v>67.6</v>
      </c>
      <c r="H210" s="21" t="n">
        <f aca="false">квітень!H210</f>
        <v>0</v>
      </c>
      <c r="I210" s="22" t="n">
        <f aca="false">квітень!I210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3032.51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квітень!B211</f>
        <v>Осипов В.В.</v>
      </c>
      <c r="C211" s="18" t="str">
        <f aca="false">квітень!C211</f>
        <v>60203</v>
      </c>
      <c r="D211" s="19" t="n">
        <f aca="false">квітень!P211</f>
        <v>4619.52</v>
      </c>
      <c r="E211" s="19" t="n">
        <f aca="false">квітень!Q211</f>
        <v>0</v>
      </c>
      <c r="F211" s="20" t="n">
        <f aca="false">квітень!F211</f>
        <v>0</v>
      </c>
      <c r="G211" s="21" t="n">
        <f aca="false">квітень!G211</f>
        <v>70.42</v>
      </c>
      <c r="H211" s="21" t="n">
        <f aca="false">квітень!H211</f>
        <v>0</v>
      </c>
      <c r="I211" s="22" t="n">
        <f aca="false">квітень!I211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4908.24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квітень!B212</f>
        <v>Перепьолкін А.Л.</v>
      </c>
      <c r="C212" s="18" t="str">
        <f aca="false">квітень!C212</f>
        <v>60204</v>
      </c>
      <c r="D212" s="19" t="n">
        <f aca="false">квітень!P212</f>
        <v>958.46</v>
      </c>
      <c r="E212" s="19" t="n">
        <f aca="false">квітень!Q212</f>
        <v>0</v>
      </c>
      <c r="F212" s="20" t="n">
        <f aca="false">квітень!F212</f>
        <v>0</v>
      </c>
      <c r="G212" s="21" t="n">
        <f aca="false">квітень!G212</f>
        <v>49.8</v>
      </c>
      <c r="H212" s="21" t="n">
        <f aca="false">квітень!H212</f>
        <v>0</v>
      </c>
      <c r="I212" s="22" t="n">
        <f aca="false">квітень!I212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 t="n">
        <f aca="false">204.18+173</f>
        <v>377.18</v>
      </c>
      <c r="P212" s="25" t="n">
        <f aca="false">IF(D212=0,IF((N212-E212-O212)&gt;0,(N212-E212-O212),0),IF((D212+N212-O212)&gt;0,(D212+N212-O212),0))</f>
        <v>785.46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квітень!B213</f>
        <v>Синегрибова В.В.</v>
      </c>
      <c r="C213" s="18" t="str">
        <f aca="false">квітень!C213</f>
        <v>60205</v>
      </c>
      <c r="D213" s="19" t="n">
        <f aca="false">квітень!P213</f>
        <v>4329.28</v>
      </c>
      <c r="E213" s="19" t="n">
        <f aca="false">квітень!Q213</f>
        <v>0</v>
      </c>
      <c r="F213" s="20" t="n">
        <f aca="false">квітень!F213</f>
        <v>0</v>
      </c>
      <c r="G213" s="21" t="n">
        <f aca="false">квітень!G213</f>
        <v>62.7</v>
      </c>
      <c r="H213" s="21" t="n">
        <f aca="false">квітень!H213</f>
        <v>0</v>
      </c>
      <c r="I213" s="22" t="n">
        <f aca="false">квітень!I213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4586.35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квітень!B214</f>
        <v>Юдін М.В.</v>
      </c>
      <c r="C214" s="18" t="str">
        <f aca="false">квітень!C214</f>
        <v>60206</v>
      </c>
      <c r="D214" s="19" t="n">
        <f aca="false">квітень!P214</f>
        <v>204</v>
      </c>
      <c r="E214" s="19" t="n">
        <f aca="false">квітень!Q214</f>
        <v>0</v>
      </c>
      <c r="F214" s="20" t="n">
        <f aca="false">квітень!F214</f>
        <v>0</v>
      </c>
      <c r="G214" s="21" t="n">
        <f aca="false">квітень!G214</f>
        <v>68</v>
      </c>
      <c r="H214" s="21" t="n">
        <f aca="false">квітень!H214</f>
        <v>0</v>
      </c>
      <c r="I214" s="22" t="n">
        <f aca="false">квітень!I214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квітень!B215</f>
        <v>Сергєєва Н.О.</v>
      </c>
      <c r="C215" s="18" t="str">
        <f aca="false">квітень!C215</f>
        <v>60207</v>
      </c>
      <c r="D215" s="19" t="n">
        <f aca="false">квітень!P215</f>
        <v>0</v>
      </c>
      <c r="E215" s="19" t="n">
        <f aca="false">квітень!Q215</f>
        <v>93.6999999999993</v>
      </c>
      <c r="F215" s="20" t="n">
        <f aca="false">квітень!F215</f>
        <v>0</v>
      </c>
      <c r="G215" s="21" t="n">
        <f aca="false">квітень!G215</f>
        <v>72.1</v>
      </c>
      <c r="H215" s="21" t="n">
        <f aca="false">квітень!H215</f>
        <v>0</v>
      </c>
      <c r="I215" s="22" t="n">
        <f aca="false">квітень!I215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/>
      <c r="P215" s="25" t="n">
        <f aca="false">IF(D215=0,IF((N215-E215-O215)&gt;0,(N215-E215-O215),0),IF((D215+N215-O215)&gt;0,(D215+N215-O215),0))</f>
        <v>201.910000000001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квітень!B216</f>
        <v>Рева І.П.</v>
      </c>
      <c r="C216" s="18" t="str">
        <f aca="false">квітень!C216</f>
        <v>60208</v>
      </c>
      <c r="D216" s="19" t="n">
        <f aca="false">квітень!P216</f>
        <v>1619.3</v>
      </c>
      <c r="E216" s="19" t="n">
        <f aca="false">квітень!Q216</f>
        <v>0</v>
      </c>
      <c r="F216" s="20" t="n">
        <f aca="false">квітень!F216</f>
        <v>0</v>
      </c>
      <c r="G216" s="21" t="n">
        <f aca="false">квітень!G216</f>
        <v>49.72</v>
      </c>
      <c r="H216" s="21" t="n">
        <f aca="false">квітень!H216</f>
        <v>0</v>
      </c>
      <c r="I216" s="22" t="n">
        <f aca="false">квітень!I216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1823.15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квітень!B217</f>
        <v>Почапський Ю.Т.</v>
      </c>
      <c r="C217" s="18" t="str">
        <f aca="false">квітень!C217</f>
        <v>60209</v>
      </c>
      <c r="D217" s="19" t="n">
        <f aca="false">квітень!P217</f>
        <v>247.69</v>
      </c>
      <c r="E217" s="19" t="n">
        <f aca="false">квітень!Q217</f>
        <v>0</v>
      </c>
      <c r="F217" s="20" t="n">
        <f aca="false">квітень!F217</f>
        <v>0</v>
      </c>
      <c r="G217" s="21" t="n">
        <f aca="false">квітень!G217</f>
        <v>62.39</v>
      </c>
      <c r="H217" s="21" t="n">
        <f aca="false">квітень!H217</f>
        <v>0</v>
      </c>
      <c r="I217" s="22" t="n">
        <f aca="false">квітень!I217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 t="n">
        <v>256</v>
      </c>
      <c r="P217" s="25" t="n">
        <f aca="false">IF(D217=0,IF((N217-E217-O217)&gt;0,(N217-E217-O217),0),IF((D217+N217-O217)&gt;0,(D217+N217-O217),0))</f>
        <v>247.49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квітень!B218</f>
        <v>Васильченко М.П.</v>
      </c>
      <c r="C218" s="18" t="str">
        <f aca="false">квітень!C218</f>
        <v>60210</v>
      </c>
      <c r="D218" s="19" t="n">
        <f aca="false">квітень!P218</f>
        <v>3863.97</v>
      </c>
      <c r="E218" s="19" t="n">
        <f aca="false">квітень!Q218</f>
        <v>0</v>
      </c>
      <c r="F218" s="20" t="n">
        <f aca="false">квітень!F218</f>
        <v>0</v>
      </c>
      <c r="G218" s="21" t="n">
        <f aca="false">квітень!G218</f>
        <v>67.47</v>
      </c>
      <c r="H218" s="21" t="n">
        <f aca="false">квітень!H218</f>
        <v>0</v>
      </c>
      <c r="I218" s="22" t="n">
        <f aca="false">квітень!I218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4140.6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квітень!B219</f>
        <v>Черненко Т.А.</v>
      </c>
      <c r="C219" s="18" t="str">
        <f aca="false">квітень!C219</f>
        <v>60211</v>
      </c>
      <c r="D219" s="19" t="n">
        <f aca="false">квітень!P219</f>
        <v>3337.2</v>
      </c>
      <c r="E219" s="19" t="n">
        <f aca="false">квітень!Q219</f>
        <v>0</v>
      </c>
      <c r="F219" s="20" t="n">
        <f aca="false">квітень!F219</f>
        <v>0</v>
      </c>
      <c r="G219" s="21" t="n">
        <f aca="false">квітень!G219</f>
        <v>70.41</v>
      </c>
      <c r="H219" s="21" t="n">
        <f aca="false">квітень!H219</f>
        <v>0</v>
      </c>
      <c r="I219" s="22" t="n">
        <f aca="false">квітень!I219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3625.88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квітень!B220</f>
        <v>Сиротенко Я.О.</v>
      </c>
      <c r="C220" s="18" t="str">
        <f aca="false">квітень!C220</f>
        <v>60212</v>
      </c>
      <c r="D220" s="19" t="n">
        <f aca="false">квітень!P220</f>
        <v>1973.97</v>
      </c>
      <c r="E220" s="19" t="n">
        <f aca="false">квітень!Q220</f>
        <v>0</v>
      </c>
      <c r="F220" s="20" t="n">
        <f aca="false">квітень!F220</f>
        <v>0</v>
      </c>
      <c r="G220" s="21" t="n">
        <f aca="false">квітень!G220</f>
        <v>49.73</v>
      </c>
      <c r="H220" s="21" t="n">
        <f aca="false">квітень!H220</f>
        <v>0</v>
      </c>
      <c r="I220" s="22" t="n">
        <f aca="false">квітень!I220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2177.86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квітень!B221</f>
        <v>Корнюшенко О.О.</v>
      </c>
      <c r="C221" s="18" t="str">
        <f aca="false">квітень!C221</f>
        <v>60213</v>
      </c>
      <c r="D221" s="28" t="n">
        <f aca="false">квітень!P221</f>
        <v>5390.4</v>
      </c>
      <c r="E221" s="29" t="n">
        <f aca="false">квітень!Q221</f>
        <v>0</v>
      </c>
      <c r="F221" s="20" t="n">
        <f aca="false">квітень!F221</f>
        <v>0</v>
      </c>
      <c r="G221" s="21" t="n">
        <f aca="false">квітень!G221</f>
        <v>62</v>
      </c>
      <c r="H221" s="21" t="n">
        <f aca="false">квітень!H221</f>
        <v>0</v>
      </c>
      <c r="I221" s="22" t="n">
        <f aca="false">квітень!I221</f>
        <v>4.1</v>
      </c>
      <c r="J221" s="23" t="n">
        <f aca="false">ROUND(G221*I221,2)</f>
        <v>254.2</v>
      </c>
      <c r="K221" s="19"/>
      <c r="L221" s="29"/>
      <c r="M221" s="29"/>
      <c r="N221" s="1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5644.6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409896.73</v>
      </c>
      <c r="E222" s="33" t="n">
        <f aca="false">SUM(E7:E221)</f>
        <v>7909.08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940.68</v>
      </c>
      <c r="M222" s="37" t="n">
        <f aca="false">SUM(M7:M221)</f>
        <v>0</v>
      </c>
      <c r="N222" s="38" t="n">
        <f aca="false">SUM(N7:N221)</f>
        <v>46834.31</v>
      </c>
      <c r="O222" s="37" t="n">
        <f aca="false">SUM(O7:O221)</f>
        <v>28695.9</v>
      </c>
      <c r="P222" s="39" t="n">
        <f aca="false">SUM(P7:P221)</f>
        <v>428806.17</v>
      </c>
      <c r="Q222" s="33" t="n">
        <f aca="false">SUM(Q7:Q221)</f>
        <v>8680.11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401987.65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420126.06</v>
      </c>
      <c r="Q223" s="41"/>
      <c r="V223" s="42" t="n">
        <f aca="false">[1]травень!$F$85</f>
        <v>28695.9</v>
      </c>
    </row>
    <row r="226" customFormat="false" ht="15" hidden="false" customHeight="false" outlineLevel="0" collapsed="false">
      <c r="V226" s="42" t="n">
        <f aca="false">[1]травень!$F$130</f>
        <v>0</v>
      </c>
    </row>
    <row r="227" customFormat="false" ht="15" hidden="false" customHeight="false" outlineLevel="0" collapsed="false">
      <c r="U227" s="42"/>
    </row>
    <row r="228" customFormat="false" ht="15" hidden="false" customHeight="false" outlineLevel="0" collapsed="false">
      <c r="Q228" s="42"/>
      <c r="U228" s="42"/>
    </row>
    <row r="229" customFormat="false" ht="15" hidden="false" customHeight="false" outlineLevel="0" collapsed="false">
      <c r="O229" s="42"/>
    </row>
    <row r="232" customFormat="false" ht="15" hidden="false" customHeight="false" outlineLevel="0" collapsed="false">
      <c r="T232" s="42"/>
    </row>
    <row r="233" customFormat="false" ht="15" hidden="false" customHeight="false" outlineLevel="0" collapsed="false">
      <c r="T233" s="26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26">
      <formula>0</formula>
    </cfRule>
    <cfRule type="cellIs" priority="3" operator="equal" aboveAverage="0" equalAverage="0" bottom="0" percent="0" rank="0" text="" dxfId="27">
      <formula>0</formula>
    </cfRule>
  </conditionalFormatting>
  <conditionalFormatting sqref="L2:L5 M4:M89 N2:Q89 L7:L221 M90:Q221 N8:N221 D2:K221">
    <cfRule type="cellIs" priority="4" operator="equal" aboveAverage="0" equalAverage="0" bottom="0" percent="0" rank="0" text="" dxfId="28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29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30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31">
      <formula>0</formula>
    </cfRule>
  </conditionalFormatting>
  <printOptions headings="false" gridLines="false" gridLinesSet="true" horizontalCentered="true" verticalCentered="false"/>
  <pageMargins left="0.118055555555556" right="0.118055555555556" top="0.157638888888889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7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1.14"/>
    <col collapsed="false" customWidth="true" hidden="false" outlineLevel="0" max="3" min="3" style="0" width="8"/>
    <col collapsed="false" customWidth="true" hidden="false" outlineLevel="0" max="5" min="5" style="0" width="8.15"/>
    <col collapsed="false" customWidth="true" hidden="false" outlineLevel="0" max="6" min="6" style="0" width="4.86"/>
    <col collapsed="false" customWidth="true" hidden="false" outlineLevel="0" max="7" min="7" style="0" width="7.29"/>
    <col collapsed="false" customWidth="true" hidden="false" outlineLevel="0" max="8" min="8" style="0" width="5.71"/>
    <col collapsed="false" customWidth="true" hidden="false" outlineLevel="0" max="9" min="9" style="0" width="7.29"/>
    <col collapsed="false" customWidth="true" hidden="false" outlineLevel="0" max="11" min="11" style="0" width="7.15"/>
    <col collapsed="false" customWidth="true" hidden="false" outlineLevel="0" max="12" min="12" style="0" width="7.42"/>
    <col collapsed="false" customWidth="true" hidden="false" outlineLevel="0" max="13" min="13" style="0" width="6"/>
    <col collapsed="false" customWidth="true" hidden="false" outlineLevel="0" max="15" min="15" style="0" width="9"/>
    <col collapsed="false" customWidth="true" hidden="false" outlineLevel="0" max="21" min="21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24.75" hidden="false" customHeight="tru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24" hidden="false" customHeight="true" outlineLevel="0" collapsed="false">
      <c r="A3" s="4"/>
      <c r="B3" s="8" t="s">
        <v>667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2.7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2.75" hidden="false" customHeight="true" outlineLevel="0" collapsed="false">
      <c r="I5" s="2"/>
    </row>
    <row r="6" customFormat="false" ht="77.1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травень!B7</f>
        <v>Бережний В.М.</v>
      </c>
      <c r="C7" s="18" t="str">
        <f aca="false">травень!C7</f>
        <v>1001</v>
      </c>
      <c r="D7" s="19" t="n">
        <f aca="false">травень!P7</f>
        <v>368.580000000002</v>
      </c>
      <c r="E7" s="19" t="n">
        <f aca="false">травень!Q7</f>
        <v>0</v>
      </c>
      <c r="F7" s="20" t="n">
        <f aca="false">травень!F7</f>
        <v>0</v>
      </c>
      <c r="G7" s="21" t="n">
        <f aca="false">травень!G7</f>
        <v>64.26</v>
      </c>
      <c r="H7" s="21" t="n">
        <f aca="false">травень!H7</f>
        <v>0</v>
      </c>
      <c r="I7" s="22" t="n">
        <f aca="false">травень!I7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632.050000000002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травень!B8</f>
        <v>Старикова Т.О.</v>
      </c>
      <c r="C8" s="18" t="str">
        <f aca="false">травень!C8</f>
        <v>1002</v>
      </c>
      <c r="D8" s="19" t="n">
        <f aca="false">травень!P8</f>
        <v>3322.61</v>
      </c>
      <c r="E8" s="19" t="n">
        <f aca="false">травень!Q8</f>
        <v>0</v>
      </c>
      <c r="F8" s="20" t="n">
        <f aca="false">травень!F8</f>
        <v>0</v>
      </c>
      <c r="G8" s="21" t="n">
        <f aca="false">травень!G8</f>
        <v>48.71</v>
      </c>
      <c r="H8" s="21" t="n">
        <f aca="false">травень!H8</f>
        <v>0</v>
      </c>
      <c r="I8" s="22" t="n">
        <f aca="false">травень!I8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3522.32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травень!B9</f>
        <v>Мазур Т.В.</v>
      </c>
      <c r="C9" s="18" t="str">
        <f aca="false">травень!C9</f>
        <v>1003</v>
      </c>
      <c r="D9" s="19" t="n">
        <f aca="false">травень!P9</f>
        <v>11.5</v>
      </c>
      <c r="E9" s="19" t="n">
        <f aca="false">травень!Q9</f>
        <v>0</v>
      </c>
      <c r="F9" s="20" t="n">
        <f aca="false">травень!F9</f>
        <v>0</v>
      </c>
      <c r="G9" s="21" t="n">
        <f aca="false">травень!G9</f>
        <v>35</v>
      </c>
      <c r="H9" s="21" t="n">
        <f aca="false">травень!H9</f>
        <v>0</v>
      </c>
      <c r="I9" s="22" t="n">
        <f aca="false">травень!I9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155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травень!B10</f>
        <v>Сокол О.В.</v>
      </c>
      <c r="C10" s="18" t="str">
        <f aca="false">травень!C10</f>
        <v>1004</v>
      </c>
      <c r="D10" s="19" t="n">
        <f aca="false">травень!P10</f>
        <v>0</v>
      </c>
      <c r="E10" s="19" t="n">
        <f aca="false">травень!Q10</f>
        <v>252.59</v>
      </c>
      <c r="F10" s="20" t="n">
        <f aca="false">травень!F10</f>
        <v>0</v>
      </c>
      <c r="G10" s="21" t="n">
        <f aca="false">травень!G10</f>
        <v>61.6</v>
      </c>
      <c r="H10" s="21" t="n">
        <f aca="false">травень!H10</f>
        <v>0</v>
      </c>
      <c r="I10" s="22" t="n">
        <f aca="false">травень!I10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 t="n">
        <v>252.56</v>
      </c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252.59</v>
      </c>
    </row>
    <row r="11" customFormat="false" ht="15" hidden="false" customHeight="false" outlineLevel="0" collapsed="false">
      <c r="A11" s="17" t="s">
        <v>31</v>
      </c>
      <c r="B11" s="18" t="str">
        <f aca="false">травень!B11</f>
        <v>Семко Л.І.</v>
      </c>
      <c r="C11" s="18" t="str">
        <f aca="false">травень!C11</f>
        <v>1005</v>
      </c>
      <c r="D11" s="19" t="n">
        <f aca="false">травень!P11</f>
        <v>0</v>
      </c>
      <c r="E11" s="19" t="n">
        <f aca="false">травень!Q11</f>
        <v>258.019999999999</v>
      </c>
      <c r="F11" s="20" t="n">
        <f aca="false">травень!F11</f>
        <v>0</v>
      </c>
      <c r="G11" s="21" t="n">
        <f aca="false">травень!G11</f>
        <v>28.34</v>
      </c>
      <c r="H11" s="21" t="n">
        <f aca="false">травень!H11</f>
        <v>0</v>
      </c>
      <c r="I11" s="22" t="n">
        <f aca="false">травень!I11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0</v>
      </c>
      <c r="Q11" s="25" t="n">
        <f aca="false">IF(E11=0,IF((D11+N11-O11)&lt;0,ABS(D11+N11-O11),0),IF((N11-E11-O11)&lt;0,ABS(N11-E11-O11),0))</f>
        <v>141.829999999999</v>
      </c>
    </row>
    <row r="12" customFormat="false" ht="15" hidden="false" customHeight="false" outlineLevel="0" collapsed="false">
      <c r="A12" s="17" t="s">
        <v>31</v>
      </c>
      <c r="B12" s="18" t="str">
        <f aca="false">травень!B12</f>
        <v>Гаркуша Н.І.</v>
      </c>
      <c r="C12" s="18" t="str">
        <f aca="false">травень!C12</f>
        <v>1005-а</v>
      </c>
      <c r="D12" s="19" t="n">
        <f aca="false">травень!P12</f>
        <v>49.650000000001</v>
      </c>
      <c r="E12" s="19" t="n">
        <f aca="false">травень!Q12</f>
        <v>0</v>
      </c>
      <c r="F12" s="20" t="n">
        <f aca="false">травень!F12</f>
        <v>0</v>
      </c>
      <c r="G12" s="21" t="n">
        <f aca="false">травень!G12</f>
        <v>36.66</v>
      </c>
      <c r="H12" s="21" t="n">
        <f aca="false">травень!H12</f>
        <v>0</v>
      </c>
      <c r="I12" s="22" t="n">
        <f aca="false">травень!I12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199.960000000001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травень!B13</f>
        <v>Андріяшев В.М</v>
      </c>
      <c r="C13" s="18" t="str">
        <f aca="false">травень!C13</f>
        <v>1006</v>
      </c>
      <c r="D13" s="19" t="n">
        <f aca="false">травень!P13</f>
        <v>234.98</v>
      </c>
      <c r="E13" s="19" t="n">
        <f aca="false">травень!Q13</f>
        <v>0</v>
      </c>
      <c r="F13" s="20" t="n">
        <f aca="false">травень!F13</f>
        <v>0</v>
      </c>
      <c r="G13" s="21" t="n">
        <f aca="false">травень!G13</f>
        <v>49.8</v>
      </c>
      <c r="H13" s="21" t="n">
        <f aca="false">травень!H13</f>
        <v>0</v>
      </c>
      <c r="I13" s="22" t="n">
        <f aca="false">травень!I13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 t="n">
        <v>410</v>
      </c>
      <c r="P13" s="25" t="n">
        <f aca="false">IF(D13=0,IF((N13-E13-O13)&gt;0,(N13-E13-O13),0),IF((D13+N13-O13)&gt;0,(D13+N13-O13),0))</f>
        <v>29.1600000000004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травень!B14</f>
        <v>Старчикова О.М.</v>
      </c>
      <c r="C14" s="18" t="str">
        <f aca="false">травень!C14</f>
        <v>1007</v>
      </c>
      <c r="D14" s="19" t="n">
        <f aca="false">травень!P14</f>
        <v>140.19</v>
      </c>
      <c r="E14" s="19" t="n">
        <f aca="false">травень!Q14</f>
        <v>0</v>
      </c>
      <c r="F14" s="20" t="n">
        <f aca="false">травень!F14</f>
        <v>0</v>
      </c>
      <c r="G14" s="21" t="n">
        <f aca="false">травень!G14</f>
        <v>34.65</v>
      </c>
      <c r="H14" s="21" t="n">
        <f aca="false">травень!H14</f>
        <v>0</v>
      </c>
      <c r="I14" s="22" t="n">
        <f aca="false">травень!I14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142</v>
      </c>
      <c r="P14" s="25" t="n">
        <f aca="false">IF(D14=0,IF((N14-E14-O14)&gt;0,(N14-E14-O14),0),IF((D14+N14-O14)&gt;0,(D14+N14-O14),0))</f>
        <v>140.26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травень!B15</f>
        <v>Безер Т.М</v>
      </c>
      <c r="C15" s="18" t="str">
        <f aca="false">травень!C15</f>
        <v>1008</v>
      </c>
      <c r="D15" s="19" t="n">
        <f aca="false">травень!P15</f>
        <v>0</v>
      </c>
      <c r="E15" s="19" t="n">
        <f aca="false">травень!Q15</f>
        <v>29.9000000000001</v>
      </c>
      <c r="F15" s="20" t="n">
        <f aca="false">травень!F15</f>
        <v>0</v>
      </c>
      <c r="G15" s="21" t="n">
        <f aca="false">травень!G15</f>
        <v>62.14</v>
      </c>
      <c r="H15" s="21" t="n">
        <f aca="false">травень!H15</f>
        <v>0</v>
      </c>
      <c r="I15" s="22" t="n">
        <f aca="false">травень!I15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224.87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травень!B16</f>
        <v>Решетило М.М</v>
      </c>
      <c r="C16" s="18" t="str">
        <f aca="false">травень!C16</f>
        <v>1009</v>
      </c>
      <c r="D16" s="19" t="n">
        <f aca="false">травень!P16</f>
        <v>1241.76</v>
      </c>
      <c r="E16" s="19" t="n">
        <f aca="false">травень!Q16</f>
        <v>0</v>
      </c>
      <c r="F16" s="20" t="n">
        <f aca="false">травень!F16</f>
        <v>0</v>
      </c>
      <c r="G16" s="21" t="n">
        <f aca="false">травень!G16</f>
        <v>65.16</v>
      </c>
      <c r="H16" s="21" t="n">
        <f aca="false">травень!H16</f>
        <v>0</v>
      </c>
      <c r="I16" s="22" t="n">
        <f aca="false">травень!I16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 t="n">
        <v>1200</v>
      </c>
      <c r="P16" s="25" t="n">
        <f aca="false">IF(D16=0,IF((N16-E16-O16)&gt;0,(N16-E16-O16),0),IF((D16+N16-O16)&gt;0,(D16+N16-O16),0))</f>
        <v>308.919999999999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травень!B17</f>
        <v>Фесенко О.В.</v>
      </c>
      <c r="C17" s="18" t="str">
        <f aca="false">травень!C17</f>
        <v>1010</v>
      </c>
      <c r="D17" s="19" t="n">
        <f aca="false">травень!P17</f>
        <v>2608.98</v>
      </c>
      <c r="E17" s="19" t="n">
        <f aca="false">травень!Q17</f>
        <v>0</v>
      </c>
      <c r="F17" s="20" t="n">
        <f aca="false">травень!F17</f>
        <v>0</v>
      </c>
      <c r="G17" s="21" t="n">
        <f aca="false">травень!G17</f>
        <v>50.1</v>
      </c>
      <c r="H17" s="21" t="n">
        <f aca="false">травень!H17</f>
        <v>0</v>
      </c>
      <c r="I17" s="22" t="n">
        <f aca="false">травень!I17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2814.39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травень!B18</f>
        <v>Петренко О.М.</v>
      </c>
      <c r="C18" s="18" t="str">
        <f aca="false">травень!C18</f>
        <v>1011</v>
      </c>
      <c r="D18" s="19" t="n">
        <f aca="false">травень!P18</f>
        <v>2074.28</v>
      </c>
      <c r="E18" s="19" t="n">
        <f aca="false">травень!Q18</f>
        <v>0</v>
      </c>
      <c r="F18" s="20" t="n">
        <f aca="false">травень!F18</f>
        <v>0</v>
      </c>
      <c r="G18" s="21" t="n">
        <f aca="false">травень!G18</f>
        <v>35.2</v>
      </c>
      <c r="H18" s="21" t="n">
        <f aca="false">травень!H18</f>
        <v>0</v>
      </c>
      <c r="I18" s="22" t="n">
        <f aca="false">травень!I18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2218.6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травень!B19</f>
        <v>Зеленюк А.Д</v>
      </c>
      <c r="C19" s="18" t="str">
        <f aca="false">травень!C19</f>
        <v>1012</v>
      </c>
      <c r="D19" s="19" t="n">
        <f aca="false">травень!P19</f>
        <v>4200.21</v>
      </c>
      <c r="E19" s="19" t="n">
        <f aca="false">травень!Q19</f>
        <v>0</v>
      </c>
      <c r="F19" s="20" t="n">
        <f aca="false">травень!F19</f>
        <v>0</v>
      </c>
      <c r="G19" s="21" t="n">
        <f aca="false">травень!G19</f>
        <v>62.78</v>
      </c>
      <c r="H19" s="21" t="n">
        <f aca="false">травень!H19</f>
        <v>0</v>
      </c>
      <c r="I19" s="22" t="n">
        <f aca="false">травень!I19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4457.61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травень!B20</f>
        <v>Вовк І.В</v>
      </c>
      <c r="C20" s="18" t="str">
        <f aca="false">травень!C20</f>
        <v>1013</v>
      </c>
      <c r="D20" s="19" t="n">
        <f aca="false">травень!P20</f>
        <v>2715.57</v>
      </c>
      <c r="E20" s="19" t="n">
        <f aca="false">травень!Q20</f>
        <v>0</v>
      </c>
      <c r="F20" s="20" t="n">
        <f aca="false">травень!F20</f>
        <v>0</v>
      </c>
      <c r="G20" s="21" t="n">
        <f aca="false">травень!G20</f>
        <v>28.23</v>
      </c>
      <c r="H20" s="21" t="n">
        <f aca="false">травень!H20</f>
        <v>0</v>
      </c>
      <c r="I20" s="22" t="n">
        <f aca="false">травень!I20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2831.31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травень!B21</f>
        <v>Романовський В.М</v>
      </c>
      <c r="C21" s="18" t="str">
        <f aca="false">травень!C21</f>
        <v>1013-а</v>
      </c>
      <c r="D21" s="19" t="n">
        <f aca="false">травень!P21</f>
        <v>4033.6</v>
      </c>
      <c r="E21" s="19" t="n">
        <f aca="false">травень!Q21</f>
        <v>0</v>
      </c>
      <c r="F21" s="20" t="n">
        <f aca="false">травень!F21</f>
        <v>0</v>
      </c>
      <c r="G21" s="21" t="n">
        <f aca="false">травень!G21</f>
        <v>37.84</v>
      </c>
      <c r="H21" s="21" t="n">
        <f aca="false">травень!H21</f>
        <v>0</v>
      </c>
      <c r="I21" s="22" t="n">
        <f aca="false">травень!I21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4188.74</v>
      </c>
      <c r="Q21" s="25" t="n">
        <f aca="false">IF(E21=0,IF((D21+N21-O21)&lt;0,ABS(D21+N21-O21),0),IF((N21-E21-O21)&lt;0,ABS(N21-E21-O21),0))</f>
        <v>0</v>
      </c>
      <c r="W21" s="50"/>
    </row>
    <row r="22" customFormat="false" ht="15" hidden="false" customHeight="false" outlineLevel="0" collapsed="false">
      <c r="A22" s="17" t="s">
        <v>62</v>
      </c>
      <c r="B22" s="18" t="str">
        <f aca="false">травень!B22</f>
        <v>Ряба Л.І</v>
      </c>
      <c r="C22" s="18" t="str">
        <f aca="false">травень!C22</f>
        <v>1014</v>
      </c>
      <c r="D22" s="19" t="n">
        <f aca="false">травень!P22</f>
        <v>1020.68</v>
      </c>
      <c r="E22" s="19" t="n">
        <f aca="false">травень!Q22</f>
        <v>0</v>
      </c>
      <c r="F22" s="20" t="n">
        <f aca="false">травень!F22</f>
        <v>0</v>
      </c>
      <c r="G22" s="21" t="n">
        <f aca="false">травень!G22</f>
        <v>49.24</v>
      </c>
      <c r="H22" s="21" t="n">
        <f aca="false">травень!H22</f>
        <v>0</v>
      </c>
      <c r="I22" s="22" t="n">
        <f aca="false">травень!I22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1222.56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травень!B23</f>
        <v>Кас'янова О.А.</v>
      </c>
      <c r="C23" s="18" t="str">
        <f aca="false">травень!C23</f>
        <v>1015</v>
      </c>
      <c r="D23" s="19" t="n">
        <f aca="false">травень!P23</f>
        <v>1628.59</v>
      </c>
      <c r="E23" s="19" t="n">
        <f aca="false">травень!Q23</f>
        <v>0</v>
      </c>
      <c r="F23" s="20" t="n">
        <f aca="false">травень!F23</f>
        <v>0</v>
      </c>
      <c r="G23" s="21" t="n">
        <f aca="false">травень!G23</f>
        <v>35.1</v>
      </c>
      <c r="H23" s="21" t="n">
        <f aca="false">травень!H23</f>
        <v>0</v>
      </c>
      <c r="I23" s="22" t="n">
        <f aca="false">травень!I23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1772.5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травень!B24</f>
        <v>Корякіна М.В.</v>
      </c>
      <c r="C24" s="18" t="str">
        <f aca="false">травень!C24</f>
        <v>1016</v>
      </c>
      <c r="D24" s="19" t="n">
        <f aca="false">травень!P24</f>
        <v>2621.36</v>
      </c>
      <c r="E24" s="19" t="n">
        <f aca="false">травень!Q24</f>
        <v>0</v>
      </c>
      <c r="F24" s="20" t="n">
        <f aca="false">травень!F24</f>
        <v>0</v>
      </c>
      <c r="G24" s="21" t="n">
        <f aca="false">травень!G24</f>
        <v>61.9</v>
      </c>
      <c r="H24" s="21" t="n">
        <f aca="false">травень!H24</f>
        <v>0</v>
      </c>
      <c r="I24" s="22" t="n">
        <f aca="false">травень!I24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 t="n">
        <v>1621.36</v>
      </c>
      <c r="P24" s="25" t="n">
        <f aca="false">IF(D24=0,IF((N24-E24-O24)&gt;0,(N24-E24-O24),0),IF((D24+N24-O24)&gt;0,(D24+N24-O24),0))</f>
        <v>1253.79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травень!B25</f>
        <v>Сокерчак А.В.</v>
      </c>
      <c r="C25" s="18" t="str">
        <f aca="false">травень!C25</f>
        <v>1017</v>
      </c>
      <c r="D25" s="19" t="n">
        <f aca="false">травень!P25</f>
        <v>543.659999999999</v>
      </c>
      <c r="E25" s="19" t="n">
        <f aca="false">травень!Q25</f>
        <v>0</v>
      </c>
      <c r="F25" s="20" t="n">
        <f aca="false">травень!F25</f>
        <v>0</v>
      </c>
      <c r="G25" s="21" t="n">
        <f aca="false">травень!G25</f>
        <v>66.3</v>
      </c>
      <c r="H25" s="21" t="n">
        <f aca="false">травень!H25</f>
        <v>0</v>
      </c>
      <c r="I25" s="22" t="n">
        <f aca="false">травень!I25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815.489999999999</v>
      </c>
      <c r="Q25" s="25" t="n">
        <f aca="false">IF(E25=0,IF((D25+N25-O25)&lt;0,ABS(D25+N25-O25),0),IF((N25-E25-O25)&lt;0,ABS(N25-E25-O25),0))</f>
        <v>0</v>
      </c>
    </row>
    <row r="26" customFormat="false" ht="15" hidden="false" customHeight="false" outlineLevel="0" collapsed="false">
      <c r="A26" s="17" t="s">
        <v>74</v>
      </c>
      <c r="B26" s="18" t="str">
        <f aca="false">травень!B26</f>
        <v>Кравченко В.А</v>
      </c>
      <c r="C26" s="18" t="str">
        <f aca="false">травень!C26</f>
        <v>1018</v>
      </c>
      <c r="D26" s="19" t="n">
        <f aca="false">травень!P26</f>
        <v>0</v>
      </c>
      <c r="E26" s="19" t="n">
        <f aca="false">травень!Q26</f>
        <v>772.86</v>
      </c>
      <c r="F26" s="20" t="n">
        <f aca="false">травень!F26</f>
        <v>0</v>
      </c>
      <c r="G26" s="21" t="n">
        <f aca="false">травень!G26</f>
        <v>51.48</v>
      </c>
      <c r="H26" s="21" t="n">
        <f aca="false">травень!H26</f>
        <v>0</v>
      </c>
      <c r="I26" s="22" t="n">
        <f aca="false">травень!I26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561.79</v>
      </c>
    </row>
    <row r="27" customFormat="false" ht="15" hidden="false" customHeight="false" outlineLevel="0" collapsed="false">
      <c r="A27" s="17" t="s">
        <v>77</v>
      </c>
      <c r="B27" s="18" t="str">
        <f aca="false">травень!B27</f>
        <v>Чичикало А.С</v>
      </c>
      <c r="C27" s="18" t="str">
        <f aca="false">травень!C27</f>
        <v>1019</v>
      </c>
      <c r="D27" s="19" t="n">
        <f aca="false">травень!P27</f>
        <v>217.93</v>
      </c>
      <c r="E27" s="19" t="n">
        <f aca="false">травень!Q27</f>
        <v>0</v>
      </c>
      <c r="F27" s="20" t="n">
        <f aca="false">травень!F27</f>
        <v>0</v>
      </c>
      <c r="G27" s="21" t="n">
        <f aca="false">травень!G27</f>
        <v>35.1</v>
      </c>
      <c r="H27" s="21" t="n">
        <f aca="false">травень!H27</f>
        <v>0</v>
      </c>
      <c r="I27" s="22" t="n">
        <f aca="false">травень!I27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361.84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травень!B28</f>
        <v>Сільващук А.А</v>
      </c>
      <c r="C28" s="18" t="str">
        <f aca="false">травень!C28</f>
        <v>1020</v>
      </c>
      <c r="D28" s="19" t="n">
        <f aca="false">травень!P28</f>
        <v>0</v>
      </c>
      <c r="E28" s="19" t="n">
        <f aca="false">травень!Q28</f>
        <v>1.02318153949454E-012</v>
      </c>
      <c r="F28" s="20" t="n">
        <f aca="false">травень!F28</f>
        <v>0</v>
      </c>
      <c r="G28" s="21" t="n">
        <f aca="false">травень!G28</f>
        <v>62.7</v>
      </c>
      <c r="H28" s="21" t="n">
        <f aca="false">травень!H28</f>
        <v>0</v>
      </c>
      <c r="I28" s="22" t="n">
        <f aca="false">травень!I28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257.069999999999</v>
      </c>
      <c r="Q28" s="25" t="n">
        <f aca="false">IF(E28=0,IF((D28+N28-O28)&lt;0,ABS(D28+N28-O28),0),IF((N28-E28-O28)&lt;0,ABS(N28-E28-O28),0))</f>
        <v>0</v>
      </c>
    </row>
    <row r="29" customFormat="false" ht="15" hidden="false" customHeight="false" outlineLevel="0" collapsed="false">
      <c r="A29" s="17" t="s">
        <v>83</v>
      </c>
      <c r="B29" s="18" t="str">
        <f aca="false">травень!B29</f>
        <v>Стеценко Г.М</v>
      </c>
      <c r="C29" s="18" t="str">
        <f aca="false">травень!C29</f>
        <v>1021</v>
      </c>
      <c r="D29" s="19" t="n">
        <f aca="false">травень!P29</f>
        <v>1642.78</v>
      </c>
      <c r="E29" s="19" t="n">
        <f aca="false">травень!Q29</f>
        <v>0</v>
      </c>
      <c r="F29" s="20" t="n">
        <f aca="false">травень!F29</f>
        <v>0</v>
      </c>
      <c r="G29" s="21" t="n">
        <f aca="false">травень!G29</f>
        <v>65.32</v>
      </c>
      <c r="H29" s="21" t="n">
        <f aca="false">травень!H29</f>
        <v>0</v>
      </c>
      <c r="I29" s="22" t="n">
        <f aca="false">травень!I29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 t="n">
        <v>500</v>
      </c>
      <c r="P29" s="25" t="n">
        <f aca="false">IF(D29=0,IF((N29-E29-O29)&gt;0,(N29-E29-O29),0),IF((D29+N29-O29)&gt;0,(D29+N29-O29),0))</f>
        <v>1410.59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травень!B30</f>
        <v>Кирдячкіна П.А</v>
      </c>
      <c r="C30" s="18" t="str">
        <f aca="false">травень!C30</f>
        <v>1022</v>
      </c>
      <c r="D30" s="19" t="n">
        <f aca="false">травень!P30</f>
        <v>1519.01</v>
      </c>
      <c r="E30" s="19" t="n">
        <f aca="false">травень!Q30</f>
        <v>0</v>
      </c>
      <c r="F30" s="20" t="n">
        <f aca="false">травень!F30</f>
        <v>0</v>
      </c>
      <c r="G30" s="21" t="n">
        <f aca="false">травень!G30</f>
        <v>49.7</v>
      </c>
      <c r="H30" s="21" t="n">
        <f aca="false">травень!H30</f>
        <v>0</v>
      </c>
      <c r="I30" s="22" t="n">
        <f aca="false">травень!I30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 t="n">
        <v>1000</v>
      </c>
      <c r="P30" s="25" t="n">
        <f aca="false">IF(D30=0,IF((N30-E30-O30)&gt;0,(N30-E30-O30),0),IF((D30+N30-O30)&gt;0,(D30+N30-O30),0))</f>
        <v>722.78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травень!B31</f>
        <v>Фоміченко Л.А</v>
      </c>
      <c r="C31" s="18" t="str">
        <f aca="false">травень!C31</f>
        <v>1023</v>
      </c>
      <c r="D31" s="19" t="n">
        <f aca="false">травень!P31</f>
        <v>719.55</v>
      </c>
      <c r="E31" s="19" t="n">
        <f aca="false">травень!Q31</f>
        <v>0</v>
      </c>
      <c r="F31" s="20" t="n">
        <f aca="false">травень!F31</f>
        <v>0</v>
      </c>
      <c r="G31" s="21" t="n">
        <f aca="false">травень!G31</f>
        <v>35.1</v>
      </c>
      <c r="H31" s="21" t="n">
        <f aca="false">травень!H31</f>
        <v>0</v>
      </c>
      <c r="I31" s="22" t="n">
        <f aca="false">травень!I31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863.46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травень!B32</f>
        <v>Сердюк А.Г</v>
      </c>
      <c r="C32" s="18" t="str">
        <f aca="false">травень!C32</f>
        <v>1024</v>
      </c>
      <c r="D32" s="19" t="n">
        <f aca="false">травень!P32</f>
        <v>1505.96</v>
      </c>
      <c r="E32" s="19" t="n">
        <f aca="false">травень!Q32</f>
        <v>0</v>
      </c>
      <c r="F32" s="20" t="n">
        <f aca="false">травень!F32</f>
        <v>0</v>
      </c>
      <c r="G32" s="21" t="n">
        <f aca="false">травень!G32</f>
        <v>62.31</v>
      </c>
      <c r="H32" s="21" t="n">
        <f aca="false">травень!H32</f>
        <v>0</v>
      </c>
      <c r="I32" s="22" t="n">
        <f aca="false">травень!I32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 t="n">
        <v>500</v>
      </c>
      <c r="P32" s="25" t="n">
        <f aca="false">IF(D32=0,IF((N32-E32-O32)&gt;0,(N32-E32-O32),0),IF((D32+N32-O32)&gt;0,(D32+N32-O32),0))</f>
        <v>1261.43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травень!B33</f>
        <v>Михальченко Г.М</v>
      </c>
      <c r="C33" s="18" t="str">
        <f aca="false">травень!C33</f>
        <v>1025</v>
      </c>
      <c r="D33" s="19" t="n">
        <f aca="false">травень!P33</f>
        <v>4120.78</v>
      </c>
      <c r="E33" s="19" t="n">
        <f aca="false">травень!Q33</f>
        <v>0</v>
      </c>
      <c r="F33" s="20" t="n">
        <f aca="false">травень!F33</f>
        <v>0</v>
      </c>
      <c r="G33" s="21" t="n">
        <f aca="false">травень!G33</f>
        <v>65.04</v>
      </c>
      <c r="H33" s="21" t="n">
        <f aca="false">травень!H33</f>
        <v>0</v>
      </c>
      <c r="I33" s="22" t="n">
        <f aca="false">травень!I33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4387.44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травень!B34</f>
        <v>Замуховська Я.С</v>
      </c>
      <c r="C34" s="18" t="str">
        <f aca="false">травень!C34</f>
        <v>1026</v>
      </c>
      <c r="D34" s="19" t="n">
        <f aca="false">травень!P34</f>
        <v>2057.87</v>
      </c>
      <c r="E34" s="19" t="n">
        <f aca="false">травень!Q34</f>
        <v>0</v>
      </c>
      <c r="F34" s="20" t="n">
        <f aca="false">травень!F34</f>
        <v>0</v>
      </c>
      <c r="G34" s="21" t="n">
        <f aca="false">травень!G34</f>
        <v>49.8</v>
      </c>
      <c r="H34" s="21" t="n">
        <f aca="false">травень!H34</f>
        <v>0</v>
      </c>
      <c r="I34" s="22" t="n">
        <f aca="false">травень!I34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2262.05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травень!B35</f>
        <v>Мержиєвська Г.К</v>
      </c>
      <c r="C35" s="18" t="str">
        <f aca="false">травень!C35</f>
        <v>1027</v>
      </c>
      <c r="D35" s="19" t="n">
        <f aca="false">травень!P35</f>
        <v>239.9</v>
      </c>
      <c r="E35" s="19" t="n">
        <f aca="false">травень!Q35</f>
        <v>0</v>
      </c>
      <c r="F35" s="20" t="n">
        <f aca="false">травень!F35</f>
        <v>0</v>
      </c>
      <c r="G35" s="21" t="n">
        <f aca="false">травень!G35</f>
        <v>35.17</v>
      </c>
      <c r="H35" s="21" t="n">
        <f aca="false">травень!H35</f>
        <v>0</v>
      </c>
      <c r="I35" s="22" t="n">
        <f aca="false">травень!I35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 t="n">
        <v>500</v>
      </c>
      <c r="P35" s="25" t="n">
        <f aca="false">IF(D35=0,IF((N35-E35-O35)&gt;0,(N35-E35-O35),0),IF((D35+N35-O35)&gt;0,(D35+N35-O35),0))</f>
        <v>0</v>
      </c>
      <c r="Q35" s="25" t="n">
        <f aca="false">IF(E35=0,IF((D35+N35-O35)&lt;0,ABS(D35+N35-O35),0),IF((N35-E35-O35)&lt;0,ABS(N35-E35-O35),0))</f>
        <v>115.9</v>
      </c>
    </row>
    <row r="36" customFormat="false" ht="15" hidden="false" customHeight="false" outlineLevel="0" collapsed="false">
      <c r="A36" s="17" t="s">
        <v>104</v>
      </c>
      <c r="B36" s="18" t="str">
        <f aca="false">травень!B36</f>
        <v>Кулакова Л.В.</v>
      </c>
      <c r="C36" s="18" t="str">
        <f aca="false">травень!C36</f>
        <v>1028</v>
      </c>
      <c r="D36" s="19" t="n">
        <f aca="false">травень!P36</f>
        <v>1253.96</v>
      </c>
      <c r="E36" s="19" t="n">
        <f aca="false">травень!Q36</f>
        <v>0</v>
      </c>
      <c r="F36" s="20" t="n">
        <f aca="false">травень!F36</f>
        <v>0</v>
      </c>
      <c r="G36" s="21" t="n">
        <f aca="false">травень!G36</f>
        <v>62.47</v>
      </c>
      <c r="H36" s="21" t="n">
        <f aca="false">травень!H36</f>
        <v>0</v>
      </c>
      <c r="I36" s="22" t="n">
        <f aca="false">травень!I36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1510.09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травень!B37</f>
        <v>Бочаров В.Л.</v>
      </c>
      <c r="C37" s="18" t="str">
        <f aca="false">травень!C37</f>
        <v>1029</v>
      </c>
      <c r="D37" s="19" t="n">
        <f aca="false">травень!P37</f>
        <v>2826.54</v>
      </c>
      <c r="E37" s="19" t="n">
        <f aca="false">травень!Q37</f>
        <v>0</v>
      </c>
      <c r="F37" s="20" t="n">
        <f aca="false">травень!F37</f>
        <v>0</v>
      </c>
      <c r="G37" s="21" t="n">
        <f aca="false">травень!G37</f>
        <v>65.75</v>
      </c>
      <c r="H37" s="21" t="n">
        <f aca="false">травень!H37</f>
        <v>0</v>
      </c>
      <c r="I37" s="22" t="n">
        <f aca="false">травень!I37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3096.12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травень!B38</f>
        <v>Лучков В.Л.</v>
      </c>
      <c r="C38" s="18" t="str">
        <f aca="false">травень!C38</f>
        <v>1030</v>
      </c>
      <c r="D38" s="19" t="n">
        <f aca="false">травень!P38</f>
        <v>3251.68</v>
      </c>
      <c r="E38" s="19" t="n">
        <f aca="false">травень!Q38</f>
        <v>0</v>
      </c>
      <c r="F38" s="20" t="n">
        <f aca="false">травень!F38</f>
        <v>0</v>
      </c>
      <c r="G38" s="21" t="n">
        <f aca="false">травень!G38</f>
        <v>49.7</v>
      </c>
      <c r="H38" s="21" t="n">
        <f aca="false">травень!H38</f>
        <v>0</v>
      </c>
      <c r="I38" s="22" t="n">
        <f aca="false">травень!I38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3455.45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травень!B39</f>
        <v>Кашкар Т.М.</v>
      </c>
      <c r="C39" s="18" t="str">
        <f aca="false">травень!C39</f>
        <v>1031</v>
      </c>
      <c r="D39" s="19" t="n">
        <f aca="false">травень!P39</f>
        <v>143.91</v>
      </c>
      <c r="E39" s="19" t="n">
        <f aca="false">травень!Q39</f>
        <v>0</v>
      </c>
      <c r="F39" s="20" t="n">
        <f aca="false">травень!F39</f>
        <v>0</v>
      </c>
      <c r="G39" s="21" t="n">
        <f aca="false">травень!G39</f>
        <v>35.1</v>
      </c>
      <c r="H39" s="21" t="n">
        <f aca="false">травень!H39</f>
        <v>0</v>
      </c>
      <c r="I39" s="22" t="n">
        <f aca="false">травень!I39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287.82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травень!B40</f>
        <v>Стецюк Н.П.</v>
      </c>
      <c r="C40" s="18" t="str">
        <f aca="false">травень!C40</f>
        <v>1032</v>
      </c>
      <c r="D40" s="19" t="n">
        <f aca="false">травень!P40</f>
        <v>3028.62</v>
      </c>
      <c r="E40" s="19" t="n">
        <f aca="false">травень!Q40</f>
        <v>0</v>
      </c>
      <c r="F40" s="20" t="n">
        <f aca="false">травень!F40</f>
        <v>0</v>
      </c>
      <c r="G40" s="21" t="n">
        <f aca="false">травень!G40</f>
        <v>61.9</v>
      </c>
      <c r="H40" s="21" t="n">
        <f aca="false">травень!H40</f>
        <v>0</v>
      </c>
      <c r="I40" s="22" t="n">
        <f aca="false">травень!I40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3282.41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травень!B41</f>
        <v>Маханько В.О.</v>
      </c>
      <c r="C41" s="18" t="str">
        <f aca="false">травень!C41</f>
        <v>1033</v>
      </c>
      <c r="D41" s="19" t="n">
        <f aca="false">травень!P41</f>
        <v>1232.64</v>
      </c>
      <c r="E41" s="19" t="n">
        <f aca="false">травень!Q41</f>
        <v>0</v>
      </c>
      <c r="F41" s="20" t="n">
        <f aca="false">травень!F41</f>
        <v>0</v>
      </c>
      <c r="G41" s="21" t="n">
        <f aca="false">травень!G41</f>
        <v>65.53</v>
      </c>
      <c r="H41" s="21" t="n">
        <f aca="false">травень!H41</f>
        <v>0</v>
      </c>
      <c r="I41" s="22" t="n">
        <f aca="false">травень!I41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1501.31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травень!B42</f>
        <v>Реуцька Р.С.</v>
      </c>
      <c r="C42" s="18" t="str">
        <f aca="false">травень!C42</f>
        <v>1034</v>
      </c>
      <c r="D42" s="19" t="n">
        <f aca="false">травень!P42</f>
        <v>1944.59</v>
      </c>
      <c r="E42" s="19" t="n">
        <f aca="false">травень!Q42</f>
        <v>0</v>
      </c>
      <c r="F42" s="20" t="n">
        <f aca="false">травень!F42</f>
        <v>0</v>
      </c>
      <c r="G42" s="21" t="n">
        <f aca="false">травень!G42</f>
        <v>49.7</v>
      </c>
      <c r="H42" s="21" t="n">
        <f aca="false">травень!H42</f>
        <v>0</v>
      </c>
      <c r="I42" s="22" t="n">
        <f aca="false">травень!I42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2148.36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травень!B43</f>
        <v>Колесникова Р.Г.</v>
      </c>
      <c r="C43" s="18" t="str">
        <f aca="false">травень!C43</f>
        <v>1035</v>
      </c>
      <c r="D43" s="19" t="n">
        <f aca="false">травень!P43</f>
        <v>1015.85</v>
      </c>
      <c r="E43" s="19" t="n">
        <f aca="false">травень!Q43</f>
        <v>0</v>
      </c>
      <c r="F43" s="20" t="n">
        <f aca="false">травень!F43</f>
        <v>0</v>
      </c>
      <c r="G43" s="21" t="n">
        <f aca="false">травень!G43</f>
        <v>35.1</v>
      </c>
      <c r="H43" s="21" t="n">
        <f aca="false">травень!H43</f>
        <v>0</v>
      </c>
      <c r="I43" s="22" t="n">
        <f aca="false">травень!I43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 t="n">
        <v>400</v>
      </c>
      <c r="P43" s="25" t="n">
        <f aca="false">IF(D43=0,IF((N43-E43-O43)&gt;0,(N43-E43-O43),0),IF((D43+N43-O43)&gt;0,(D43+N43-O43),0))</f>
        <v>759.76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травень!B44</f>
        <v>Кучеренко М.М.</v>
      </c>
      <c r="C44" s="18" t="str">
        <f aca="false">травень!C44</f>
        <v>1036</v>
      </c>
      <c r="D44" s="19" t="n">
        <f aca="false">травень!P44</f>
        <v>4156.38</v>
      </c>
      <c r="E44" s="19" t="n">
        <f aca="false">травень!Q44</f>
        <v>0</v>
      </c>
      <c r="F44" s="20" t="n">
        <f aca="false">травень!F44</f>
        <v>0</v>
      </c>
      <c r="G44" s="21" t="n">
        <f aca="false">травень!G44</f>
        <v>61.88</v>
      </c>
      <c r="H44" s="21" t="n">
        <f aca="false">травень!H44</f>
        <v>0</v>
      </c>
      <c r="I44" s="22" t="n">
        <f aca="false">травень!I44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4410.09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травень!B45</f>
        <v>Гурова О.М.</v>
      </c>
      <c r="C45" s="18" t="str">
        <f aca="false">травень!C45</f>
        <v>2037</v>
      </c>
      <c r="D45" s="19" t="n">
        <f aca="false">травень!P45</f>
        <v>0</v>
      </c>
      <c r="E45" s="19" t="n">
        <f aca="false">травень!Q45</f>
        <v>316.43</v>
      </c>
      <c r="F45" s="20" t="n">
        <f aca="false">травень!F45</f>
        <v>0</v>
      </c>
      <c r="G45" s="21" t="n">
        <f aca="false">травень!G45</f>
        <v>62.2</v>
      </c>
      <c r="H45" s="21" t="n">
        <f aca="false">травень!H45</f>
        <v>0</v>
      </c>
      <c r="I45" s="22" t="n">
        <f aca="false">травень!I45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0</v>
      </c>
      <c r="Q45" s="25" t="n">
        <f aca="false">IF(E45=0,IF((D45+N45-O45)&lt;0,ABS(D45+N45-O45),0),IF((N45-E45-O45)&lt;0,ABS(N45-E45-O45),0))</f>
        <v>61.4099999999996</v>
      </c>
    </row>
    <row r="46" customFormat="false" ht="15" hidden="false" customHeight="false" outlineLevel="0" collapsed="false">
      <c r="A46" s="17" t="s">
        <v>134</v>
      </c>
      <c r="B46" s="18" t="str">
        <f aca="false">травень!B46</f>
        <v>Федорова В.І.</v>
      </c>
      <c r="C46" s="18" t="str">
        <f aca="false">травень!C46</f>
        <v>2038</v>
      </c>
      <c r="D46" s="19" t="n">
        <f aca="false">травень!P46</f>
        <v>142.45</v>
      </c>
      <c r="E46" s="19" t="n">
        <f aca="false">травень!Q46</f>
        <v>0</v>
      </c>
      <c r="F46" s="20" t="n">
        <f aca="false">травень!F46</f>
        <v>0</v>
      </c>
      <c r="G46" s="21" t="n">
        <f aca="false">травень!G46</f>
        <v>34.9</v>
      </c>
      <c r="H46" s="21" t="n">
        <f aca="false">травень!H46</f>
        <v>0</v>
      </c>
      <c r="I46" s="22" t="n">
        <f aca="false">травень!I46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 t="n">
        <v>300</v>
      </c>
      <c r="P46" s="25" t="n">
        <f aca="false">IF(D46=0,IF((N46-E46-O46)&gt;0,(N46-E46-O46),0),IF((D46+N46-O46)&gt;0,(D46+N46-O46),0))</f>
        <v>0</v>
      </c>
      <c r="Q46" s="25" t="n">
        <f aca="false">IF(E46=0,IF((D46+N46-O46)&lt;0,ABS(D46+N46-O46),0),IF((N46-E46-O46)&lt;0,ABS(N46-E46-O46),0))</f>
        <v>14.4599999999998</v>
      </c>
    </row>
    <row r="47" customFormat="false" ht="15" hidden="false" customHeight="false" outlineLevel="0" collapsed="false">
      <c r="A47" s="17" t="s">
        <v>137</v>
      </c>
      <c r="B47" s="18" t="str">
        <f aca="false">травень!B47</f>
        <v>Лаптєв В.І.</v>
      </c>
      <c r="C47" s="18" t="str">
        <f aca="false">травень!C47</f>
        <v>2039</v>
      </c>
      <c r="D47" s="19" t="n">
        <f aca="false">травень!P47</f>
        <v>200.040000000001</v>
      </c>
      <c r="E47" s="19" t="n">
        <f aca="false">травень!Q47</f>
        <v>0</v>
      </c>
      <c r="F47" s="20" t="n">
        <f aca="false">травень!F47</f>
        <v>0</v>
      </c>
      <c r="G47" s="21" t="n">
        <f aca="false">травень!G47</f>
        <v>48.8</v>
      </c>
      <c r="H47" s="21" t="n">
        <f aca="false">травень!H47</f>
        <v>0</v>
      </c>
      <c r="I47" s="22" t="n">
        <f aca="false">травень!I47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200.020000000001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травень!B48</f>
        <v>Тимощук О.Є.</v>
      </c>
      <c r="C48" s="18" t="str">
        <f aca="false">травень!C48</f>
        <v>2040</v>
      </c>
      <c r="D48" s="19" t="n">
        <f aca="false">травень!P48</f>
        <v>498.920000000001</v>
      </c>
      <c r="E48" s="19" t="n">
        <f aca="false">травень!Q48</f>
        <v>0</v>
      </c>
      <c r="F48" s="20" t="n">
        <f aca="false">травень!F48</f>
        <v>0</v>
      </c>
      <c r="G48" s="21" t="n">
        <f aca="false">травень!G48</f>
        <v>57.3</v>
      </c>
      <c r="H48" s="21" t="n">
        <f aca="false">травень!H48</f>
        <v>0</v>
      </c>
      <c r="I48" s="22" t="n">
        <f aca="false">травень!I48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v>250</v>
      </c>
      <c r="P48" s="25" t="n">
        <f aca="false">IF(D48=0,IF((N48-E48-O48)&gt;0,(N48-E48-O48),0),IF((D48+N48-O48)&gt;0,(D48+N48-O48),0))</f>
        <v>483.850000000001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травень!B49</f>
        <v>Котяш О.В.</v>
      </c>
      <c r="C49" s="18" t="str">
        <f aca="false">травень!C49</f>
        <v>2041</v>
      </c>
      <c r="D49" s="19" t="n">
        <f aca="false">травень!P49</f>
        <v>3112.22</v>
      </c>
      <c r="E49" s="19" t="n">
        <f aca="false">травень!Q49</f>
        <v>0</v>
      </c>
      <c r="F49" s="20" t="n">
        <f aca="false">травень!F49</f>
        <v>0</v>
      </c>
      <c r="G49" s="21" t="n">
        <f aca="false">травень!G49</f>
        <v>63.3</v>
      </c>
      <c r="H49" s="21" t="n">
        <f aca="false">травень!H49</f>
        <v>0</v>
      </c>
      <c r="I49" s="22" t="n">
        <f aca="false">травень!I49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3371.75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травень!B50</f>
        <v>Токовило-Паращенко Л.П.</v>
      </c>
      <c r="C50" s="18" t="str">
        <f aca="false">травень!C50</f>
        <v>2042</v>
      </c>
      <c r="D50" s="19" t="n">
        <f aca="false">травень!P50</f>
        <v>1762.82</v>
      </c>
      <c r="E50" s="19" t="n">
        <f aca="false">травень!Q50</f>
        <v>0</v>
      </c>
      <c r="F50" s="20" t="n">
        <f aca="false">травень!F50</f>
        <v>0</v>
      </c>
      <c r="G50" s="21" t="n">
        <f aca="false">травень!G50</f>
        <v>35.68</v>
      </c>
      <c r="H50" s="21" t="n">
        <f aca="false">травень!H50</f>
        <v>0</v>
      </c>
      <c r="I50" s="22" t="n">
        <f aca="false">травень!I50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 t="n">
        <v>160</v>
      </c>
      <c r="P50" s="25" t="n">
        <f aca="false">IF(D50=0,IF((N50-E50-O50)&gt;0,(N50-E50-O50),0),IF((D50+N50-O50)&gt;0,(D50+N50-O50),0))</f>
        <v>1749.11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травень!B51</f>
        <v>Бєлая К.В.</v>
      </c>
      <c r="C51" s="18" t="str">
        <f aca="false">травень!C51</f>
        <v>2043</v>
      </c>
      <c r="D51" s="19" t="n">
        <f aca="false">травень!P51</f>
        <v>1837.62</v>
      </c>
      <c r="E51" s="19" t="n">
        <f aca="false">травень!Q51</f>
        <v>0</v>
      </c>
      <c r="F51" s="20" t="n">
        <f aca="false">травень!F51</f>
        <v>0</v>
      </c>
      <c r="G51" s="21" t="n">
        <f aca="false">травень!G51</f>
        <v>49.8</v>
      </c>
      <c r="H51" s="21" t="n">
        <f aca="false">травень!H51</f>
        <v>0</v>
      </c>
      <c r="I51" s="22" t="n">
        <f aca="false">травень!I51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 t="n">
        <v>2041.8</v>
      </c>
      <c r="P51" s="25" t="n">
        <f aca="false">IF(D51=0,IF((N51-E51-O51)&gt;0,(N51-E51-O51),0),IF((D51+N51-O51)&gt;0,(D51+N51-O51),0))</f>
        <v>0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травень!B52</f>
        <v>Стадник О.Ф.</v>
      </c>
      <c r="C52" s="18" t="str">
        <f aca="false">травень!C52</f>
        <v>2044</v>
      </c>
      <c r="D52" s="19" t="n">
        <f aca="false">травень!P52</f>
        <v>3834.14</v>
      </c>
      <c r="E52" s="19" t="n">
        <f aca="false">травень!Q52</f>
        <v>0</v>
      </c>
      <c r="F52" s="20" t="n">
        <f aca="false">травень!F52</f>
        <v>0</v>
      </c>
      <c r="G52" s="21" t="n">
        <f aca="false">травень!G52</f>
        <v>65.9</v>
      </c>
      <c r="H52" s="21" t="n">
        <f aca="false">травень!H52</f>
        <v>0</v>
      </c>
      <c r="I52" s="22" t="n">
        <f aca="false">травень!I52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 t="n">
        <v>1080.76</v>
      </c>
      <c r="P52" s="25" t="n">
        <f aca="false">IF(D52=0,IF((N52-E52-O52)&gt;0,(N52-E52-O52),0),IF((D52+N52-O52)&gt;0,(D52+N52-O52),0))</f>
        <v>3023.57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травень!B53</f>
        <v>Ляшенко В.М.</v>
      </c>
      <c r="C53" s="18" t="str">
        <f aca="false">травень!C53</f>
        <v>2045</v>
      </c>
      <c r="D53" s="19" t="n">
        <f aca="false">травень!P53</f>
        <v>508.399999999999</v>
      </c>
      <c r="E53" s="19" t="n">
        <f aca="false">травень!Q53</f>
        <v>0</v>
      </c>
      <c r="F53" s="20" t="n">
        <f aca="false">травень!F53</f>
        <v>0</v>
      </c>
      <c r="G53" s="21" t="n">
        <f aca="false">травень!G53</f>
        <v>62</v>
      </c>
      <c r="H53" s="21" t="n">
        <f aca="false">травень!H53</f>
        <v>0</v>
      </c>
      <c r="I53" s="22" t="n">
        <f aca="false">травень!I53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 t="n">
        <v>762.6</v>
      </c>
      <c r="P53" s="25" t="n">
        <f aca="false">IF(D53=0,IF((N53-E53-O53)&gt;0,(N53-E53-O53),0),IF((D53+N53-O53)&gt;0,(D53+N53-O53),0))</f>
        <v>0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травень!B54</f>
        <v>Смоленська Т.О.</v>
      </c>
      <c r="C54" s="18" t="str">
        <f aca="false">травень!C54</f>
        <v>2046</v>
      </c>
      <c r="D54" s="19" t="n">
        <f aca="false">травень!P54</f>
        <v>1719.55</v>
      </c>
      <c r="E54" s="19" t="n">
        <f aca="false">травень!Q54</f>
        <v>0</v>
      </c>
      <c r="F54" s="20" t="n">
        <f aca="false">травень!F54</f>
        <v>0</v>
      </c>
      <c r="G54" s="21" t="n">
        <f aca="false">травень!G54</f>
        <v>35.1</v>
      </c>
      <c r="H54" s="21" t="n">
        <f aca="false">травень!H54</f>
        <v>0</v>
      </c>
      <c r="I54" s="22" t="n">
        <f aca="false">травень!I54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1863.46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травень!B55</f>
        <v>Дудка І.В.</v>
      </c>
      <c r="C55" s="18" t="str">
        <f aca="false">травень!C55</f>
        <v>2047</v>
      </c>
      <c r="D55" s="19" t="n">
        <f aca="false">травень!P55</f>
        <v>203.36</v>
      </c>
      <c r="E55" s="19" t="n">
        <f aca="false">травень!Q55</f>
        <v>0</v>
      </c>
      <c r="F55" s="20" t="n">
        <f aca="false">травень!F55</f>
        <v>0</v>
      </c>
      <c r="G55" s="21" t="n">
        <f aca="false">травень!G55</f>
        <v>49.6</v>
      </c>
      <c r="H55" s="21" t="n">
        <f aca="false">травень!H55</f>
        <v>0</v>
      </c>
      <c r="I55" s="22" t="n">
        <f aca="false">травень!I55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406.720000000001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травень!B56</f>
        <v>Буланова Л.І.</v>
      </c>
      <c r="C56" s="18" t="str">
        <f aca="false">травень!C56</f>
        <v>2048</v>
      </c>
      <c r="D56" s="19" t="n">
        <f aca="false">травень!P56</f>
        <v>272.4</v>
      </c>
      <c r="E56" s="19" t="n">
        <f aca="false">травень!Q56</f>
        <v>0</v>
      </c>
      <c r="F56" s="20" t="n">
        <f aca="false">травень!F56</f>
        <v>0</v>
      </c>
      <c r="G56" s="21" t="n">
        <f aca="false">травень!G56</f>
        <v>66.44</v>
      </c>
      <c r="H56" s="21" t="n">
        <f aca="false">травень!H56</f>
        <v>0</v>
      </c>
      <c r="I56" s="22" t="n">
        <f aca="false">травень!I56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544.8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травень!B57</f>
        <v>Шалімова О.О.</v>
      </c>
      <c r="C57" s="18" t="str">
        <f aca="false">травень!C57</f>
        <v>2049</v>
      </c>
      <c r="D57" s="19" t="n">
        <f aca="false">травень!P57</f>
        <v>3033.32</v>
      </c>
      <c r="E57" s="19" t="n">
        <f aca="false">травень!Q57</f>
        <v>0</v>
      </c>
      <c r="F57" s="20" t="n">
        <f aca="false">травень!F57</f>
        <v>0</v>
      </c>
      <c r="G57" s="21" t="n">
        <f aca="false">травень!G57</f>
        <v>62.1</v>
      </c>
      <c r="H57" s="21" t="n">
        <f aca="false">травень!H57</f>
        <v>0</v>
      </c>
      <c r="I57" s="22" t="n">
        <f aca="false">травень!I57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3287.93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травень!B58</f>
        <v>Андросик О.О.</v>
      </c>
      <c r="C58" s="18" t="str">
        <f aca="false">травень!C58</f>
        <v>2050</v>
      </c>
      <c r="D58" s="19" t="n">
        <f aca="false">травень!P58</f>
        <v>0</v>
      </c>
      <c r="E58" s="19" t="n">
        <f aca="false">травень!Q58</f>
        <v>0</v>
      </c>
      <c r="F58" s="20" t="n">
        <f aca="false">травень!F58</f>
        <v>0</v>
      </c>
      <c r="G58" s="21" t="n">
        <f aca="false">травень!G58</f>
        <v>34.9</v>
      </c>
      <c r="H58" s="21" t="n">
        <f aca="false">травень!H58</f>
        <v>0</v>
      </c>
      <c r="I58" s="22" t="n">
        <f aca="false">травень!I58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 t="n">
        <v>143.09</v>
      </c>
      <c r="P58" s="25" t="n">
        <f aca="false">IF(D58=0,IF((N58-E58-O58)&gt;0,(N58-E58-O58),0),IF((D58+N58-O58)&gt;0,(D58+N58-O58),0))</f>
        <v>0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травень!B59</f>
        <v>Токар Є.А.</v>
      </c>
      <c r="C59" s="18" t="str">
        <f aca="false">травень!C59</f>
        <v>2051</v>
      </c>
      <c r="D59" s="19" t="n">
        <f aca="false">травень!P59</f>
        <v>2567.15</v>
      </c>
      <c r="E59" s="19" t="n">
        <f aca="false">травень!Q59</f>
        <v>0</v>
      </c>
      <c r="F59" s="20" t="n">
        <f aca="false">травень!F59</f>
        <v>0</v>
      </c>
      <c r="G59" s="21" t="n">
        <f aca="false">травень!G59</f>
        <v>49.22</v>
      </c>
      <c r="H59" s="21" t="n">
        <f aca="false">травень!H59</f>
        <v>0</v>
      </c>
      <c r="I59" s="22" t="n">
        <f aca="false">травень!I59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2768.95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травень!B60</f>
        <v>Констанчук І.В.</v>
      </c>
      <c r="C60" s="18" t="str">
        <f aca="false">травень!C60</f>
        <v>2052</v>
      </c>
      <c r="D60" s="19" t="n">
        <f aca="false">травень!P60</f>
        <v>3187.16</v>
      </c>
      <c r="E60" s="19" t="n">
        <f aca="false">травень!Q60</f>
        <v>0</v>
      </c>
      <c r="F60" s="20" t="n">
        <f aca="false">травень!F60</f>
        <v>0</v>
      </c>
      <c r="G60" s="21" t="n">
        <f aca="false">травень!G60</f>
        <v>65.5</v>
      </c>
      <c r="H60" s="21" t="n">
        <f aca="false">травень!H60</f>
        <v>0</v>
      </c>
      <c r="I60" s="22" t="n">
        <f aca="false">травень!I60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3455.71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травень!B61</f>
        <v>Гончаров В.В.</v>
      </c>
      <c r="C61" s="18" t="str">
        <f aca="false">травень!C61</f>
        <v>2053</v>
      </c>
      <c r="D61" s="19" t="n">
        <f aca="false">травень!P61</f>
        <v>0</v>
      </c>
      <c r="E61" s="19" t="n">
        <f aca="false">травень!Q61</f>
        <v>1797.74</v>
      </c>
      <c r="F61" s="20" t="n">
        <f aca="false">травень!F61</f>
        <v>0</v>
      </c>
      <c r="G61" s="21" t="n">
        <f aca="false">травень!G61</f>
        <v>62.64</v>
      </c>
      <c r="H61" s="21" t="n">
        <f aca="false">травень!H61</f>
        <v>0</v>
      </c>
      <c r="I61" s="22" t="n">
        <f aca="false">травень!I61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1540.92</v>
      </c>
    </row>
    <row r="62" customFormat="false" ht="15" hidden="false" customHeight="false" outlineLevel="0" collapsed="false">
      <c r="A62" s="17" t="s">
        <v>182</v>
      </c>
      <c r="B62" s="18" t="str">
        <f aca="false">травень!B62</f>
        <v>Ляхомський В.О.</v>
      </c>
      <c r="C62" s="18" t="str">
        <f aca="false">травень!C62</f>
        <v>2054</v>
      </c>
      <c r="D62" s="19" t="n">
        <f aca="false">травень!P62</f>
        <v>576.84</v>
      </c>
      <c r="E62" s="19" t="n">
        <f aca="false">травень!Q62</f>
        <v>0</v>
      </c>
      <c r="F62" s="20" t="n">
        <f aca="false">травень!F62</f>
        <v>0</v>
      </c>
      <c r="G62" s="21" t="n">
        <f aca="false">травень!G62</f>
        <v>34.9</v>
      </c>
      <c r="H62" s="21" t="n">
        <f aca="false">травень!H62</f>
        <v>0</v>
      </c>
      <c r="I62" s="22" t="n">
        <f aca="false">травень!I62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719.93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травень!B63</f>
        <v>Крамаренко В.П.</v>
      </c>
      <c r="C63" s="18" t="str">
        <f aca="false">травень!C63</f>
        <v>2055</v>
      </c>
      <c r="D63" s="19" t="n">
        <f aca="false">травень!P63</f>
        <v>2456.64</v>
      </c>
      <c r="E63" s="19" t="n">
        <f aca="false">травень!Q63</f>
        <v>0</v>
      </c>
      <c r="F63" s="20" t="n">
        <f aca="false">травень!F63</f>
        <v>0</v>
      </c>
      <c r="G63" s="21" t="n">
        <f aca="false">травень!G63</f>
        <v>49.79</v>
      </c>
      <c r="H63" s="21" t="n">
        <f aca="false">травень!H63</f>
        <v>0</v>
      </c>
      <c r="I63" s="22" t="n">
        <f aca="false">травень!I63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2660.78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травень!B64</f>
        <v>Родзик С.Г.</v>
      </c>
      <c r="C64" s="18" t="str">
        <f aca="false">травень!C64</f>
        <v>2056</v>
      </c>
      <c r="D64" s="19" t="n">
        <f aca="false">травень!P64</f>
        <v>488.249999999999</v>
      </c>
      <c r="E64" s="19" t="n">
        <f aca="false">травень!Q64</f>
        <v>0</v>
      </c>
      <c r="F64" s="20" t="n">
        <f aca="false">травень!F64</f>
        <v>0</v>
      </c>
      <c r="G64" s="21" t="n">
        <f aca="false">травень!G64</f>
        <v>65.2</v>
      </c>
      <c r="H64" s="21" t="n">
        <f aca="false">травень!H64</f>
        <v>0</v>
      </c>
      <c r="I64" s="22" t="n">
        <f aca="false">травень!I64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755.569999999999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травень!B65</f>
        <v>Никоненко Н.С.</v>
      </c>
      <c r="C65" s="18" t="str">
        <f aca="false">травень!C65</f>
        <v>2057</v>
      </c>
      <c r="D65" s="19" t="n">
        <f aca="false">травень!P65</f>
        <v>2178.01</v>
      </c>
      <c r="E65" s="19" t="n">
        <f aca="false">травень!Q65</f>
        <v>0</v>
      </c>
      <c r="F65" s="20" t="n">
        <f aca="false">травень!F65</f>
        <v>0</v>
      </c>
      <c r="G65" s="21" t="n">
        <f aca="false">травень!G65</f>
        <v>61.88</v>
      </c>
      <c r="H65" s="21" t="n">
        <f aca="false">травень!H65</f>
        <v>0</v>
      </c>
      <c r="I65" s="22" t="n">
        <f aca="false">травень!I65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2431.72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травень!B66</f>
        <v>Чепок О.В.</v>
      </c>
      <c r="C66" s="18" t="str">
        <f aca="false">травень!C66</f>
        <v>2058</v>
      </c>
      <c r="D66" s="19" t="n">
        <f aca="false">травень!P66</f>
        <v>3335.41</v>
      </c>
      <c r="E66" s="19" t="n">
        <f aca="false">травень!Q66</f>
        <v>0</v>
      </c>
      <c r="F66" s="20" t="n">
        <f aca="false">травень!F66</f>
        <v>0</v>
      </c>
      <c r="G66" s="21" t="n">
        <f aca="false">травень!G66</f>
        <v>35</v>
      </c>
      <c r="H66" s="21" t="n">
        <f aca="false">травень!H66</f>
        <v>0</v>
      </c>
      <c r="I66" s="22" t="n">
        <f aca="false">травень!I66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3478.91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травень!B67</f>
        <v>Горошенко Л.С.</v>
      </c>
      <c r="C67" s="18" t="str">
        <f aca="false">травень!C67</f>
        <v>2059</v>
      </c>
      <c r="D67" s="19" t="n">
        <f aca="false">травень!P67</f>
        <v>0</v>
      </c>
      <c r="E67" s="19" t="n">
        <f aca="false">травень!Q67</f>
        <v>1467.98</v>
      </c>
      <c r="F67" s="20" t="n">
        <f aca="false">травень!F67</f>
        <v>0</v>
      </c>
      <c r="G67" s="21" t="n">
        <f aca="false">травень!G67</f>
        <v>49.3</v>
      </c>
      <c r="H67" s="21" t="n">
        <f aca="false">травень!H67</f>
        <v>0</v>
      </c>
      <c r="I67" s="22" t="n">
        <f aca="false">травень!I67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300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1565.85</v>
      </c>
    </row>
    <row r="68" customFormat="false" ht="15" hidden="false" customHeight="false" outlineLevel="0" collapsed="false">
      <c r="A68" s="17" t="s">
        <v>200</v>
      </c>
      <c r="B68" s="18" t="str">
        <f aca="false">травень!B68</f>
        <v>Неграчева Л.Г.</v>
      </c>
      <c r="C68" s="18" t="str">
        <f aca="false">травень!C68</f>
        <v>2060</v>
      </c>
      <c r="D68" s="19" t="n">
        <f aca="false">травень!P68</f>
        <v>0</v>
      </c>
      <c r="E68" s="19" t="n">
        <f aca="false">травень!Q68</f>
        <v>143.920000000001</v>
      </c>
      <c r="F68" s="20" t="n">
        <f aca="false">травень!F68</f>
        <v>0</v>
      </c>
      <c r="G68" s="21" t="n">
        <f aca="false">травень!G68</f>
        <v>66.6</v>
      </c>
      <c r="H68" s="21" t="n">
        <f aca="false">травень!H68</f>
        <v>0</v>
      </c>
      <c r="I68" s="22" t="n">
        <f aca="false">травень!I68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 t="n">
        <v>300</v>
      </c>
      <c r="P68" s="25" t="n">
        <f aca="false">IF(D68=0,IF((N68-E68-O68)&gt;0,(N68-E68-O68),0),IF((D68+N68-O68)&gt;0,(D68+N68-O68),0))</f>
        <v>0</v>
      </c>
      <c r="Q68" s="25" t="n">
        <f aca="false">IF(E68=0,IF((D68+N68-O68)&lt;0,ABS(D68+N68-O68),0),IF((N68-E68-O68)&lt;0,ABS(N68-E68-O68),0))</f>
        <v>170.860000000001</v>
      </c>
    </row>
    <row r="69" customFormat="false" ht="15" hidden="false" customHeight="false" outlineLevel="0" collapsed="false">
      <c r="A69" s="17" t="s">
        <v>203</v>
      </c>
      <c r="B69" s="18" t="str">
        <f aca="false">травень!B69</f>
        <v>Брежнєв О.В.</v>
      </c>
      <c r="C69" s="18" t="str">
        <f aca="false">травень!C69</f>
        <v>2061</v>
      </c>
      <c r="D69" s="19" t="n">
        <f aca="false">травень!P69</f>
        <v>4039.23</v>
      </c>
      <c r="E69" s="19" t="n">
        <f aca="false">травень!Q69</f>
        <v>0</v>
      </c>
      <c r="F69" s="20" t="n">
        <f aca="false">травень!F69</f>
        <v>0</v>
      </c>
      <c r="G69" s="21" t="n">
        <f aca="false">травень!G69</f>
        <v>61.88</v>
      </c>
      <c r="H69" s="21" t="n">
        <f aca="false">травень!H69</f>
        <v>0</v>
      </c>
      <c r="I69" s="22" t="n">
        <f aca="false">травень!I69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4292.94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травень!B70</f>
        <v>Горбатюк К.О.</v>
      </c>
      <c r="C70" s="18" t="str">
        <f aca="false">травень!C70</f>
        <v>2062</v>
      </c>
      <c r="D70" s="19" t="n">
        <f aca="false">травень!P70</f>
        <v>1563.78</v>
      </c>
      <c r="E70" s="19" t="n">
        <f aca="false">травень!Q70</f>
        <v>0</v>
      </c>
      <c r="F70" s="20" t="n">
        <f aca="false">травень!F70</f>
        <v>0</v>
      </c>
      <c r="G70" s="21" t="n">
        <f aca="false">травень!G70</f>
        <v>34.96</v>
      </c>
      <c r="H70" s="21" t="n">
        <f aca="false">травень!H70</f>
        <v>0</v>
      </c>
      <c r="I70" s="22" t="n">
        <f aca="false">травень!I70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1707.12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травень!B71</f>
        <v>Божик М.О.</v>
      </c>
      <c r="C71" s="18" t="str">
        <f aca="false">травень!C71</f>
        <v>2063</v>
      </c>
      <c r="D71" s="19" t="n">
        <f aca="false">травень!P71</f>
        <v>1013.6</v>
      </c>
      <c r="E71" s="19" t="n">
        <f aca="false">травень!Q71</f>
        <v>0</v>
      </c>
      <c r="F71" s="20" t="n">
        <f aca="false">травень!F71</f>
        <v>0</v>
      </c>
      <c r="G71" s="21" t="n">
        <f aca="false">травень!G71</f>
        <v>50.03</v>
      </c>
      <c r="H71" s="21" t="n">
        <f aca="false">травень!H71</f>
        <v>0</v>
      </c>
      <c r="I71" s="22" t="n">
        <f aca="false">травень!I71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 t="n">
        <v>1000</v>
      </c>
      <c r="P71" s="25" t="n">
        <f aca="false">IF(D71=0,IF((N71-E71-O71)&gt;0,(N71-E71-O71),0),IF((D71+N71-O71)&gt;0,(D71+N71-O71),0))</f>
        <v>218.72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травень!B72</f>
        <v>Зайченко С.Л</v>
      </c>
      <c r="C72" s="18" t="str">
        <f aca="false">травень!C72</f>
        <v>2064</v>
      </c>
      <c r="D72" s="19" t="n">
        <f aca="false">травень!P72</f>
        <v>4244.25</v>
      </c>
      <c r="E72" s="19" t="n">
        <f aca="false">травень!Q72</f>
        <v>0</v>
      </c>
      <c r="F72" s="20" t="n">
        <f aca="false">травень!F72</f>
        <v>0</v>
      </c>
      <c r="G72" s="21" t="n">
        <f aca="false">травень!G72</f>
        <v>65.15</v>
      </c>
      <c r="H72" s="21" t="n">
        <f aca="false">травень!H72</f>
        <v>0</v>
      </c>
      <c r="I72" s="22" t="n">
        <f aca="false">травень!I72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4511.37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травень!B73</f>
        <v>Бессараб Н.Г.</v>
      </c>
      <c r="C73" s="18" t="str">
        <f aca="false">травень!C73</f>
        <v>2065</v>
      </c>
      <c r="D73" s="19" t="n">
        <f aca="false">травень!P73</f>
        <v>0</v>
      </c>
      <c r="E73" s="19" t="n">
        <f aca="false">травень!Q73</f>
        <v>211.41</v>
      </c>
      <c r="F73" s="20" t="n">
        <f aca="false">травень!F73</f>
        <v>0</v>
      </c>
      <c r="G73" s="21" t="n">
        <f aca="false">травень!G73</f>
        <v>63.41</v>
      </c>
      <c r="H73" s="21" t="n">
        <f aca="false">травень!H73</f>
        <v>0</v>
      </c>
      <c r="I73" s="22" t="n">
        <f aca="false">травень!I73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 t="n">
        <v>300</v>
      </c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251.43</v>
      </c>
    </row>
    <row r="74" customFormat="false" ht="15" hidden="false" customHeight="false" outlineLevel="0" collapsed="false">
      <c r="A74" s="17" t="s">
        <v>218</v>
      </c>
      <c r="B74" s="18" t="str">
        <f aca="false">травень!B74</f>
        <v>Прохорова С.І.</v>
      </c>
      <c r="C74" s="18" t="str">
        <f aca="false">травень!C74</f>
        <v>2066</v>
      </c>
      <c r="D74" s="19" t="n">
        <f aca="false">травень!P74</f>
        <v>2095.39</v>
      </c>
      <c r="E74" s="19" t="n">
        <f aca="false">травень!Q74</f>
        <v>0</v>
      </c>
      <c r="F74" s="20" t="n">
        <f aca="false">травень!F74</f>
        <v>0</v>
      </c>
      <c r="G74" s="21" t="n">
        <f aca="false">травень!G74</f>
        <v>35.19</v>
      </c>
      <c r="H74" s="21" t="n">
        <f aca="false">травень!H74</f>
        <v>0</v>
      </c>
      <c r="I74" s="22" t="n">
        <f aca="false">травень!I74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2239.67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травень!B75</f>
        <v>Браташ А.Ф.</v>
      </c>
      <c r="C75" s="18" t="str">
        <f aca="false">травень!C75</f>
        <v>2067</v>
      </c>
      <c r="D75" s="19" t="n">
        <f aca="false">травень!P75</f>
        <v>3540.02</v>
      </c>
      <c r="E75" s="19" t="n">
        <f aca="false">травень!Q75</f>
        <v>0</v>
      </c>
      <c r="F75" s="20" t="n">
        <f aca="false">травень!F75</f>
        <v>0</v>
      </c>
      <c r="G75" s="21" t="n">
        <f aca="false">травень!G75</f>
        <v>49.89</v>
      </c>
      <c r="H75" s="21" t="n">
        <f aca="false">травень!H75</f>
        <v>0</v>
      </c>
      <c r="I75" s="22" t="n">
        <f aca="false">травень!I75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3744.57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травень!B76</f>
        <v>Кудас Д.О.</v>
      </c>
      <c r="C76" s="18" t="str">
        <f aca="false">травень!C76</f>
        <v>2068</v>
      </c>
      <c r="D76" s="19" t="n">
        <f aca="false">травень!P76</f>
        <v>0</v>
      </c>
      <c r="E76" s="19" t="n">
        <f aca="false">травень!Q76</f>
        <v>200.9</v>
      </c>
      <c r="F76" s="20" t="n">
        <f aca="false">травень!F76</f>
        <v>0</v>
      </c>
      <c r="G76" s="21" t="n">
        <f aca="false">травень!G76</f>
        <v>65.03</v>
      </c>
      <c r="H76" s="21" t="n">
        <f aca="false">травень!H76</f>
        <v>0</v>
      </c>
      <c r="I76" s="22" t="n">
        <f aca="false">травень!I76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65.72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травень!B77</f>
        <v>Шушлєбін Б.В.</v>
      </c>
      <c r="C77" s="18" t="str">
        <f aca="false">травень!C77</f>
        <v>2069</v>
      </c>
      <c r="D77" s="19" t="n">
        <f aca="false">травень!P77</f>
        <v>0</v>
      </c>
      <c r="E77" s="19" t="n">
        <f aca="false">травень!Q77</f>
        <v>20.1399999999999</v>
      </c>
      <c r="F77" s="20" t="n">
        <f aca="false">травень!F77</f>
        <v>0</v>
      </c>
      <c r="G77" s="21" t="n">
        <f aca="false">травень!G77</f>
        <v>62.11</v>
      </c>
      <c r="H77" s="21" t="n">
        <f aca="false">травень!H77</f>
        <v>0</v>
      </c>
      <c r="I77" s="22" t="n">
        <f aca="false">травень!I77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234.51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травень!B78</f>
        <v>Бородіна І.О.</v>
      </c>
      <c r="C78" s="18" t="str">
        <f aca="false">травень!C78</f>
        <v>2070</v>
      </c>
      <c r="D78" s="19" t="n">
        <f aca="false">травень!P78</f>
        <v>2330.2</v>
      </c>
      <c r="E78" s="19" t="n">
        <f aca="false">травень!Q78</f>
        <v>0</v>
      </c>
      <c r="F78" s="20" t="n">
        <f aca="false">травень!F78</f>
        <v>0</v>
      </c>
      <c r="G78" s="21" t="n">
        <f aca="false">травень!G78</f>
        <v>34.9</v>
      </c>
      <c r="H78" s="21" t="n">
        <f aca="false">травень!H78</f>
        <v>0</v>
      </c>
      <c r="I78" s="22" t="n">
        <f aca="false">травень!I78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2473.29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травень!B79</f>
        <v>Котурга Л.Й.</v>
      </c>
      <c r="C79" s="18" t="str">
        <f aca="false">травень!C79</f>
        <v>2071</v>
      </c>
      <c r="D79" s="19" t="n">
        <f aca="false">травень!P79</f>
        <v>1448.78</v>
      </c>
      <c r="E79" s="19" t="n">
        <f aca="false">травень!Q79</f>
        <v>0</v>
      </c>
      <c r="F79" s="20" t="n">
        <f aca="false">травень!F79</f>
        <v>0</v>
      </c>
      <c r="G79" s="21" t="n">
        <f aca="false">травень!G79</f>
        <v>49.2</v>
      </c>
      <c r="H79" s="21" t="n">
        <f aca="false">травень!H79</f>
        <v>0</v>
      </c>
      <c r="I79" s="22" t="n">
        <f aca="false">травень!I79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1650.5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травень!B80</f>
        <v>Горова О.І.</v>
      </c>
      <c r="C80" s="18" t="str">
        <f aca="false">травень!C80</f>
        <v>2072</v>
      </c>
      <c r="D80" s="19" t="n">
        <f aca="false">травень!P80</f>
        <v>3017.77</v>
      </c>
      <c r="E80" s="19" t="n">
        <f aca="false">травень!Q80</f>
        <v>0</v>
      </c>
      <c r="F80" s="20" t="n">
        <f aca="false">травень!F80</f>
        <v>0</v>
      </c>
      <c r="G80" s="21" t="n">
        <f aca="false">травень!G80</f>
        <v>65.43</v>
      </c>
      <c r="H80" s="21" t="n">
        <f aca="false">травень!H80</f>
        <v>0</v>
      </c>
      <c r="I80" s="22" t="n">
        <f aca="false">травень!I80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3286.03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травень!B81</f>
        <v>Рибакевич М.П.</v>
      </c>
      <c r="C81" s="18" t="str">
        <f aca="false">травень!C81</f>
        <v>3073</v>
      </c>
      <c r="D81" s="19" t="n">
        <f aca="false">травень!P81</f>
        <v>3974.35</v>
      </c>
      <c r="E81" s="19" t="n">
        <f aca="false">травень!Q81</f>
        <v>0</v>
      </c>
      <c r="F81" s="20" t="n">
        <f aca="false">травень!F81</f>
        <v>0</v>
      </c>
      <c r="G81" s="21" t="n">
        <f aca="false">травень!G81</f>
        <v>64.5</v>
      </c>
      <c r="H81" s="21" t="n">
        <f aca="false">травень!H81</f>
        <v>0</v>
      </c>
      <c r="I81" s="22" t="n">
        <f aca="false">травень!I81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4238.8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травень!B82</f>
        <v>Башкалов В.В.</v>
      </c>
      <c r="C82" s="18" t="str">
        <f aca="false">травень!C82</f>
        <v>3074</v>
      </c>
      <c r="D82" s="19" t="n">
        <f aca="false">травень!P82</f>
        <v>276.4</v>
      </c>
      <c r="E82" s="19" t="n">
        <f aca="false">травень!Q82</f>
        <v>0</v>
      </c>
      <c r="F82" s="20" t="n">
        <f aca="false">травень!F82</f>
        <v>0</v>
      </c>
      <c r="G82" s="21" t="n">
        <f aca="false">травень!G82</f>
        <v>50.8</v>
      </c>
      <c r="H82" s="21" t="n">
        <f aca="false">травень!H82</f>
        <v>0</v>
      </c>
      <c r="I82" s="22" t="n">
        <f aca="false">травень!I82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484.68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травень!B83</f>
        <v>Тіхенко Г.Д.</v>
      </c>
      <c r="C83" s="18" t="str">
        <f aca="false">травень!C83</f>
        <v>3075</v>
      </c>
      <c r="D83" s="19" t="n">
        <f aca="false">травень!P83</f>
        <v>1881.72</v>
      </c>
      <c r="E83" s="19" t="n">
        <f aca="false">травень!Q83</f>
        <v>0</v>
      </c>
      <c r="F83" s="20" t="n">
        <f aca="false">травень!F83</f>
        <v>0</v>
      </c>
      <c r="G83" s="21" t="n">
        <f aca="false">травень!G83</f>
        <v>34.9</v>
      </c>
      <c r="H83" s="21" t="n">
        <f aca="false">травень!H83</f>
        <v>0</v>
      </c>
      <c r="I83" s="22" t="n">
        <f aca="false">травень!I83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2024.81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травень!B84</f>
        <v>Головченко В.Г.</v>
      </c>
      <c r="C84" s="18" t="str">
        <f aca="false">травень!C84</f>
        <v>3076</v>
      </c>
      <c r="D84" s="19" t="n">
        <f aca="false">травень!P84</f>
        <v>698.08</v>
      </c>
      <c r="E84" s="19" t="n">
        <f aca="false">травень!Q84</f>
        <v>0</v>
      </c>
      <c r="F84" s="20" t="n">
        <f aca="false">травень!F84</f>
        <v>0</v>
      </c>
      <c r="G84" s="21" t="n">
        <f aca="false">травень!G84</f>
        <v>61</v>
      </c>
      <c r="H84" s="21" t="n">
        <f aca="false">травень!H84</f>
        <v>0</v>
      </c>
      <c r="I84" s="22" t="n">
        <f aca="false">травень!I84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 t="n">
        <v>250</v>
      </c>
      <c r="P84" s="25" t="n">
        <f aca="false">IF(D84=0,IF((N84-E84-O84)&gt;0,(N84-E84-O84),0),IF((D84+N84-O84)&gt;0,(D84+N84-O84),0))</f>
        <v>698.18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травень!B85</f>
        <v>Семанішина Є.С.</v>
      </c>
      <c r="C85" s="18" t="str">
        <f aca="false">травень!C85</f>
        <v>3077</v>
      </c>
      <c r="D85" s="19" t="n">
        <f aca="false">травень!P85</f>
        <v>2901.7</v>
      </c>
      <c r="E85" s="19" t="n">
        <f aca="false">травень!Q85</f>
        <v>0</v>
      </c>
      <c r="F85" s="20" t="n">
        <f aca="false">травень!F85</f>
        <v>0</v>
      </c>
      <c r="G85" s="21" t="n">
        <f aca="false">травень!G85</f>
        <v>64.5</v>
      </c>
      <c r="H85" s="21" t="n">
        <f aca="false">травень!H85</f>
        <v>0</v>
      </c>
      <c r="I85" s="22" t="n">
        <f aca="false">травень!I85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3166.15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травень!B86</f>
        <v>Зінченко Ю.В.</v>
      </c>
      <c r="C86" s="18" t="str">
        <f aca="false">травень!C86</f>
        <v>3078</v>
      </c>
      <c r="D86" s="19" t="n">
        <f aca="false">травень!P86</f>
        <v>194.26</v>
      </c>
      <c r="E86" s="19" t="n">
        <f aca="false">травень!Q86</f>
        <v>0</v>
      </c>
      <c r="F86" s="20" t="n">
        <f aca="false">травень!F86</f>
        <v>0</v>
      </c>
      <c r="G86" s="21" t="n">
        <f aca="false">травень!G86</f>
        <v>49.3</v>
      </c>
      <c r="H86" s="21" t="n">
        <f aca="false">травень!H86</f>
        <v>0</v>
      </c>
      <c r="I86" s="22" t="n">
        <f aca="false">травень!I86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 t="n">
        <v>210</v>
      </c>
      <c r="P86" s="25" t="n">
        <f aca="false">IF(D86=0,IF((N86-E86-O86)&gt;0,(N86-E86-O86),0),IF((D86+N86-O86)&gt;0,(D86+N86-O86),0))</f>
        <v>186.39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травень!B87</f>
        <v>Рилова Г.П.</v>
      </c>
      <c r="C87" s="18" t="str">
        <f aca="false">травень!C87</f>
        <v>3079</v>
      </c>
      <c r="D87" s="19" t="n">
        <f aca="false">травень!P87</f>
        <v>0</v>
      </c>
      <c r="E87" s="19" t="n">
        <f aca="false">травень!Q87</f>
        <v>5.10000000000025</v>
      </c>
      <c r="F87" s="20" t="n">
        <f aca="false">травень!F87</f>
        <v>0</v>
      </c>
      <c r="G87" s="21" t="n">
        <f aca="false">травень!G87</f>
        <v>35</v>
      </c>
      <c r="H87" s="21" t="n">
        <f aca="false">травень!H87</f>
        <v>0</v>
      </c>
      <c r="I87" s="22" t="n">
        <f aca="false">травень!I87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 t="n">
        <v>145</v>
      </c>
      <c r="P87" s="25" t="n">
        <f aca="false">IF(D87=0,IF((N87-E87-O87)&gt;0,(N87-E87-O87),0),IF((D87+N87-O87)&gt;0,(D87+N87-O87),0))</f>
        <v>0</v>
      </c>
      <c r="Q87" s="25" t="n">
        <f aca="false">IF(E87=0,IF((D87+N87-O87)&lt;0,ABS(D87+N87-O87),0),IF((N87-E87-O87)&lt;0,ABS(N87-E87-O87),0))</f>
        <v>6.60000000000025</v>
      </c>
    </row>
    <row r="88" customFormat="false" ht="15" hidden="false" customHeight="false" outlineLevel="0" collapsed="false">
      <c r="A88" s="17" t="s">
        <v>260</v>
      </c>
      <c r="B88" s="18" t="str">
        <f aca="false">травень!B88</f>
        <v>Ленський І.О.</v>
      </c>
      <c r="C88" s="18" t="str">
        <f aca="false">травень!C88</f>
        <v>3080</v>
      </c>
      <c r="D88" s="19" t="n">
        <f aca="false">травень!P88</f>
        <v>483.35</v>
      </c>
      <c r="E88" s="19" t="n">
        <f aca="false">травень!Q88</f>
        <v>0</v>
      </c>
      <c r="F88" s="20" t="n">
        <f aca="false">травень!F88</f>
        <v>0</v>
      </c>
      <c r="G88" s="21" t="n">
        <f aca="false">травень!G88</f>
        <v>61.8</v>
      </c>
      <c r="H88" s="21" t="n">
        <f aca="false">травень!H88</f>
        <v>0</v>
      </c>
      <c r="I88" s="22" t="n">
        <f aca="false">травень!I88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 t="n">
        <v>260</v>
      </c>
      <c r="P88" s="25" t="n">
        <f aca="false">IF(D88=0,IF((N88-E88-O88)&gt;0,(N88-E88-O88),0),IF((D88+N88-O88)&gt;0,(D88+N88-O88),0))</f>
        <v>476.73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травень!B89</f>
        <v>Слюсар О.О.</v>
      </c>
      <c r="C89" s="18" t="str">
        <f aca="false">травень!C89</f>
        <v>3081</v>
      </c>
      <c r="D89" s="19" t="n">
        <f aca="false">травень!P89</f>
        <v>4182.65</v>
      </c>
      <c r="E89" s="19" t="n">
        <f aca="false">травень!Q89</f>
        <v>0</v>
      </c>
      <c r="F89" s="20" t="n">
        <f aca="false">травень!F89</f>
        <v>0</v>
      </c>
      <c r="G89" s="21" t="n">
        <f aca="false">травень!G89</f>
        <v>65.81</v>
      </c>
      <c r="H89" s="21" t="n">
        <f aca="false">травень!H89</f>
        <v>0</v>
      </c>
      <c r="I89" s="22" t="n">
        <f aca="false">травень!I89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4452.47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травень!B90</f>
        <v>Кісельов Г.О.</v>
      </c>
      <c r="C90" s="18" t="str">
        <f aca="false">травень!C90</f>
        <v>3082</v>
      </c>
      <c r="D90" s="19" t="n">
        <f aca="false">травень!P90</f>
        <v>0</v>
      </c>
      <c r="E90" s="19" t="n">
        <f aca="false">травень!Q90</f>
        <v>172.08</v>
      </c>
      <c r="F90" s="20" t="n">
        <f aca="false">травень!F90</f>
        <v>0</v>
      </c>
      <c r="G90" s="21" t="n">
        <f aca="false">травень!G90</f>
        <v>49.7</v>
      </c>
      <c r="H90" s="21" t="n">
        <f aca="false">травень!H90</f>
        <v>0</v>
      </c>
      <c r="I90" s="22" t="n">
        <f aca="false">травень!I90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31.6899999999999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травень!B91</f>
        <v>Губанова Н.С.</v>
      </c>
      <c r="C91" s="18" t="str">
        <f aca="false">травень!C91</f>
        <v>3083</v>
      </c>
      <c r="D91" s="19" t="n">
        <f aca="false">травень!P91</f>
        <v>1414.5</v>
      </c>
      <c r="E91" s="19" t="n">
        <f aca="false">травень!Q91</f>
        <v>0</v>
      </c>
      <c r="F91" s="20" t="n">
        <f aca="false">травень!F91</f>
        <v>0</v>
      </c>
      <c r="G91" s="21" t="n">
        <f aca="false">травень!G91</f>
        <v>34.5</v>
      </c>
      <c r="H91" s="21" t="n">
        <f aca="false">травень!H91</f>
        <v>0</v>
      </c>
      <c r="I91" s="22" t="n">
        <f aca="false">травень!I91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1555.95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травень!B92</f>
        <v>Попова А.В.</v>
      </c>
      <c r="C92" s="18" t="str">
        <f aca="false">травень!C92</f>
        <v>3084</v>
      </c>
      <c r="D92" s="19" t="n">
        <f aca="false">травень!P92</f>
        <v>1278.39</v>
      </c>
      <c r="E92" s="19" t="n">
        <f aca="false">травень!Q92</f>
        <v>0</v>
      </c>
      <c r="F92" s="20" t="n">
        <f aca="false">травень!F92</f>
        <v>0</v>
      </c>
      <c r="G92" s="21" t="n">
        <f aca="false">травень!G92</f>
        <v>62.4</v>
      </c>
      <c r="H92" s="21" t="n">
        <f aca="false">травень!H92</f>
        <v>0</v>
      </c>
      <c r="I92" s="22" t="n">
        <f aca="false">травень!I92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1534.23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травень!B93</f>
        <v>Стародубець О.К.</v>
      </c>
      <c r="C93" s="18" t="str">
        <f aca="false">травень!C93</f>
        <v>3085</v>
      </c>
      <c r="D93" s="19" t="n">
        <f aca="false">травень!P93</f>
        <v>4310.1</v>
      </c>
      <c r="E93" s="19" t="n">
        <f aca="false">травень!Q93</f>
        <v>0</v>
      </c>
      <c r="F93" s="20" t="n">
        <f aca="false">травень!F93</f>
        <v>0</v>
      </c>
      <c r="G93" s="21" t="n">
        <f aca="false">травень!G93</f>
        <v>66.46</v>
      </c>
      <c r="H93" s="21" t="n">
        <f aca="false">травень!H93</f>
        <v>0</v>
      </c>
      <c r="I93" s="22" t="n">
        <f aca="false">травень!I93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4582.59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травень!B94</f>
        <v>Сакун Т.А.</v>
      </c>
      <c r="C94" s="18" t="str">
        <f aca="false">травень!C94</f>
        <v>3086</v>
      </c>
      <c r="D94" s="19" t="n">
        <f aca="false">травень!P94</f>
        <v>3466.03</v>
      </c>
      <c r="E94" s="19" t="n">
        <f aca="false">травень!Q94</f>
        <v>0</v>
      </c>
      <c r="F94" s="20" t="n">
        <f aca="false">травень!F94</f>
        <v>0</v>
      </c>
      <c r="G94" s="21" t="n">
        <f aca="false">травень!G94</f>
        <v>49.73</v>
      </c>
      <c r="H94" s="21" t="n">
        <f aca="false">травень!H94</f>
        <v>0</v>
      </c>
      <c r="I94" s="22" t="n">
        <f aca="false">травень!I94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3669.92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травень!B95</f>
        <v>Фатєєв Ю.О.</v>
      </c>
      <c r="C95" s="18" t="str">
        <f aca="false">травень!C95</f>
        <v>3087</v>
      </c>
      <c r="D95" s="19" t="n">
        <f aca="false">травень!P95</f>
        <v>4507.9</v>
      </c>
      <c r="E95" s="19" t="n">
        <f aca="false">травень!Q95</f>
        <v>0</v>
      </c>
      <c r="F95" s="20" t="n">
        <f aca="false">травень!F95</f>
        <v>0</v>
      </c>
      <c r="G95" s="21" t="n">
        <f aca="false">травень!G95</f>
        <v>34.9</v>
      </c>
      <c r="H95" s="21" t="n">
        <f aca="false">травень!H95</f>
        <v>0</v>
      </c>
      <c r="I95" s="22" t="n">
        <f aca="false">травень!I95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4650.99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травень!B96</f>
        <v>Лукашов Є.В.</v>
      </c>
      <c r="C96" s="18" t="str">
        <f aca="false">травень!C96</f>
        <v>3088</v>
      </c>
      <c r="D96" s="19" t="n">
        <f aca="false">травень!P96</f>
        <v>8709.90000000002</v>
      </c>
      <c r="E96" s="19" t="n">
        <f aca="false">травень!Q96</f>
        <v>0</v>
      </c>
      <c r="F96" s="20" t="n">
        <f aca="false">травень!F96</f>
        <v>0</v>
      </c>
      <c r="G96" s="21" t="n">
        <f aca="false">травень!G96</f>
        <v>61.9</v>
      </c>
      <c r="H96" s="21" t="n">
        <f aca="false">травень!H96</f>
        <v>0</v>
      </c>
      <c r="I96" s="22" t="n">
        <f aca="false">травень!I96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8963.69000000002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травень!B97</f>
        <v>Довбета В.М.</v>
      </c>
      <c r="C97" s="18" t="str">
        <f aca="false">травень!C97</f>
        <v>3089</v>
      </c>
      <c r="D97" s="19" t="n">
        <f aca="false">травень!P97</f>
        <v>0</v>
      </c>
      <c r="E97" s="19" t="n">
        <f aca="false">травень!Q97</f>
        <v>36.6799999999995</v>
      </c>
      <c r="F97" s="20" t="n">
        <f aca="false">травень!F97</f>
        <v>0</v>
      </c>
      <c r="G97" s="21" t="n">
        <f aca="false">травень!G97</f>
        <v>65.3</v>
      </c>
      <c r="H97" s="21" t="n">
        <f aca="false">травень!H97</f>
        <v>0</v>
      </c>
      <c r="I97" s="22" t="n">
        <f aca="false">травень!I97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270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38.9499999999995</v>
      </c>
    </row>
    <row r="98" customFormat="false" ht="15" hidden="false" customHeight="false" outlineLevel="0" collapsed="false">
      <c r="A98" s="17" t="s">
        <v>290</v>
      </c>
      <c r="B98" s="18" t="str">
        <f aca="false">травень!B98</f>
        <v>Черняк К.В.</v>
      </c>
      <c r="C98" s="18" t="str">
        <f aca="false">травень!C98</f>
        <v>3090</v>
      </c>
      <c r="D98" s="19" t="n">
        <f aca="false">травень!P98</f>
        <v>0</v>
      </c>
      <c r="E98" s="19" t="n">
        <f aca="false">травень!Q98</f>
        <v>611.28</v>
      </c>
      <c r="F98" s="20" t="n">
        <f aca="false">травень!F98</f>
        <v>0</v>
      </c>
      <c r="G98" s="21" t="n">
        <f aca="false">травень!G98</f>
        <v>49.48</v>
      </c>
      <c r="H98" s="21" t="n">
        <f aca="false">травень!H98</f>
        <v>0</v>
      </c>
      <c r="I98" s="22" t="n">
        <f aca="false">травень!I98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408.41</v>
      </c>
    </row>
    <row r="99" customFormat="false" ht="15" hidden="false" customHeight="false" outlineLevel="0" collapsed="false">
      <c r="A99" s="17" t="s">
        <v>293</v>
      </c>
      <c r="B99" s="18" t="str">
        <f aca="false">травень!B99</f>
        <v>Удінцева Г.А.</v>
      </c>
      <c r="C99" s="18" t="str">
        <f aca="false">травень!C99</f>
        <v>3091</v>
      </c>
      <c r="D99" s="19" t="n">
        <f aca="false">травень!P99</f>
        <v>516.83</v>
      </c>
      <c r="E99" s="19" t="n">
        <f aca="false">травень!Q99</f>
        <v>0</v>
      </c>
      <c r="F99" s="20" t="n">
        <f aca="false">травень!F99</f>
        <v>0</v>
      </c>
      <c r="G99" s="21" t="n">
        <f aca="false">травень!G99</f>
        <v>35.1</v>
      </c>
      <c r="H99" s="21" t="n">
        <f aca="false">травень!H99</f>
        <v>0</v>
      </c>
      <c r="I99" s="22" t="n">
        <f aca="false">травень!I99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660.74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травень!B100</f>
        <v>Липка Г.Ю.</v>
      </c>
      <c r="C100" s="18" t="str">
        <f aca="false">травень!C100</f>
        <v>3092</v>
      </c>
      <c r="D100" s="19" t="n">
        <f aca="false">травень!P100</f>
        <v>4923.28</v>
      </c>
      <c r="E100" s="19" t="n">
        <f aca="false">травень!Q100</f>
        <v>0</v>
      </c>
      <c r="F100" s="20" t="n">
        <f aca="false">травень!F100</f>
        <v>0</v>
      </c>
      <c r="G100" s="21" t="n">
        <f aca="false">травень!G100</f>
        <v>63.2</v>
      </c>
      <c r="H100" s="21" t="n">
        <f aca="false">травень!H100</f>
        <v>0</v>
      </c>
      <c r="I100" s="22" t="n">
        <f aca="false">травень!I100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5182.4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травень!B101</f>
        <v>Утьосов Д.М.</v>
      </c>
      <c r="C101" s="18" t="str">
        <f aca="false">травень!C101</f>
        <v>3093</v>
      </c>
      <c r="D101" s="19" t="n">
        <f aca="false">травень!P101</f>
        <v>3993.53</v>
      </c>
      <c r="E101" s="19" t="n">
        <f aca="false">травень!Q101</f>
        <v>0</v>
      </c>
      <c r="F101" s="20" t="n">
        <f aca="false">травень!F101</f>
        <v>0</v>
      </c>
      <c r="G101" s="21" t="n">
        <f aca="false">травень!G101</f>
        <v>66.1</v>
      </c>
      <c r="H101" s="21" t="n">
        <f aca="false">травень!H101</f>
        <v>0</v>
      </c>
      <c r="I101" s="22" t="n">
        <f aca="false">травень!I101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4264.54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травень!B102</f>
        <v>Стеценко Д.М.</v>
      </c>
      <c r="C102" s="18" t="str">
        <f aca="false">травень!C102</f>
        <v>3094</v>
      </c>
      <c r="D102" s="19" t="n">
        <f aca="false">травень!P102</f>
        <v>1020.97</v>
      </c>
      <c r="E102" s="19" t="n">
        <f aca="false">травень!Q102</f>
        <v>0</v>
      </c>
      <c r="F102" s="20" t="n">
        <f aca="false">травень!F102</f>
        <v>0</v>
      </c>
      <c r="G102" s="21" t="n">
        <f aca="false">травень!G102</f>
        <v>49.8</v>
      </c>
      <c r="H102" s="21" t="n">
        <f aca="false">травень!H102</f>
        <v>0</v>
      </c>
      <c r="I102" s="22" t="n">
        <f aca="false">травень!I102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1225.15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травень!B103</f>
        <v>Задніпряна О.М.</v>
      </c>
      <c r="C103" s="18" t="str">
        <f aca="false">травень!C103</f>
        <v>3095</v>
      </c>
      <c r="D103" s="19" t="n">
        <f aca="false">травень!P103</f>
        <v>1845.78</v>
      </c>
      <c r="E103" s="19" t="n">
        <f aca="false">травень!Q103</f>
        <v>0</v>
      </c>
      <c r="F103" s="20" t="n">
        <f aca="false">травень!F103</f>
        <v>0</v>
      </c>
      <c r="G103" s="21" t="n">
        <f aca="false">травень!G103</f>
        <v>34.6</v>
      </c>
      <c r="H103" s="21" t="n">
        <f aca="false">травень!H103</f>
        <v>0</v>
      </c>
      <c r="I103" s="22" t="n">
        <f aca="false">травень!I103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1987.64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травень!B104</f>
        <v>Геращенко М.Д.</v>
      </c>
      <c r="C104" s="18" t="str">
        <f aca="false">травень!C104</f>
        <v>3096</v>
      </c>
      <c r="D104" s="19" t="n">
        <f aca="false">травень!P104</f>
        <v>1082.6</v>
      </c>
      <c r="E104" s="19" t="n">
        <f aca="false">травень!Q104</f>
        <v>0</v>
      </c>
      <c r="F104" s="20" t="n">
        <f aca="false">травень!F104</f>
        <v>0</v>
      </c>
      <c r="G104" s="21" t="n">
        <f aca="false">травень!G104</f>
        <v>62.6</v>
      </c>
      <c r="H104" s="21" t="n">
        <f aca="false">травень!H104</f>
        <v>0</v>
      </c>
      <c r="I104" s="22" t="n">
        <f aca="false">травень!I104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1339.26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травень!B105</f>
        <v>Горб В.М.</v>
      </c>
      <c r="C105" s="18" t="str">
        <f aca="false">травень!C105</f>
        <v>3097</v>
      </c>
      <c r="D105" s="19" t="n">
        <f aca="false">травень!P105</f>
        <v>2954.55</v>
      </c>
      <c r="E105" s="19" t="n">
        <f aca="false">травень!Q105</f>
        <v>0</v>
      </c>
      <c r="F105" s="20" t="n">
        <f aca="false">травень!F105</f>
        <v>0</v>
      </c>
      <c r="G105" s="21" t="n">
        <f aca="false">травень!G105</f>
        <v>65.57</v>
      </c>
      <c r="H105" s="21" t="n">
        <f aca="false">травень!H105</f>
        <v>0</v>
      </c>
      <c r="I105" s="22" t="n">
        <f aca="false">травень!I105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3223.39</v>
      </c>
      <c r="Q105" s="25" t="n">
        <f aca="false">IF(E105=0,IF((D105+N105-O105)&lt;0,ABS(D105+N105-O105),0),IF((N105-E105-O105)&lt;0,ABS(N105-E105-O105),0))</f>
        <v>0</v>
      </c>
      <c r="U105" s="51"/>
    </row>
    <row r="106" customFormat="false" ht="15" hidden="false" customHeight="false" outlineLevel="0" collapsed="false">
      <c r="A106" s="17" t="s">
        <v>314</v>
      </c>
      <c r="B106" s="18" t="str">
        <f aca="false">травень!B106</f>
        <v>Нойок Г.К.</v>
      </c>
      <c r="C106" s="18" t="str">
        <f aca="false">травень!C106</f>
        <v>3098</v>
      </c>
      <c r="D106" s="19" t="n">
        <f aca="false">травень!P106</f>
        <v>1034.57</v>
      </c>
      <c r="E106" s="19" t="n">
        <f aca="false">травень!Q106</f>
        <v>0</v>
      </c>
      <c r="F106" s="20" t="n">
        <f aca="false">травень!F106</f>
        <v>0</v>
      </c>
      <c r="G106" s="21" t="n">
        <f aca="false">травень!G106</f>
        <v>49.8</v>
      </c>
      <c r="H106" s="21" t="n">
        <f aca="false">травень!H106</f>
        <v>0</v>
      </c>
      <c r="I106" s="22" t="n">
        <f aca="false">травень!I106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1238.75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травень!B107</f>
        <v>Сафонова О.В.</v>
      </c>
      <c r="C107" s="18" t="str">
        <f aca="false">травень!C107</f>
        <v>3099</v>
      </c>
      <c r="D107" s="19" t="n">
        <f aca="false">травень!P107</f>
        <v>1528.17</v>
      </c>
      <c r="E107" s="19" t="n">
        <f aca="false">травень!Q107</f>
        <v>0</v>
      </c>
      <c r="F107" s="20" t="n">
        <f aca="false">травень!F107</f>
        <v>0</v>
      </c>
      <c r="G107" s="21" t="n">
        <f aca="false">травень!G107</f>
        <v>34.9</v>
      </c>
      <c r="H107" s="21" t="n">
        <f aca="false">травень!H107</f>
        <v>0</v>
      </c>
      <c r="I107" s="22" t="n">
        <f aca="false">травень!I107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1671.26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травень!B108</f>
        <v>Вінарська Н.П.</v>
      </c>
      <c r="C108" s="18" t="str">
        <f aca="false">травень!C108</f>
        <v>30100</v>
      </c>
      <c r="D108" s="19" t="n">
        <f aca="false">травень!P108</f>
        <v>4117.64</v>
      </c>
      <c r="E108" s="19" t="n">
        <f aca="false">травень!Q108</f>
        <v>0</v>
      </c>
      <c r="F108" s="20" t="n">
        <f aca="false">травень!F108</f>
        <v>0</v>
      </c>
      <c r="G108" s="21" t="n">
        <f aca="false">травень!G108</f>
        <v>62.78</v>
      </c>
      <c r="H108" s="21" t="n">
        <f aca="false">травень!H108</f>
        <v>0</v>
      </c>
      <c r="I108" s="22" t="n">
        <f aca="false">травень!I108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4375.04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травень!B109</f>
        <v>Чернова Н.І.</v>
      </c>
      <c r="C109" s="18" t="str">
        <f aca="false">травень!C109</f>
        <v>30101</v>
      </c>
      <c r="D109" s="19" t="n">
        <f aca="false">травень!P109</f>
        <v>4267.71</v>
      </c>
      <c r="E109" s="19" t="n">
        <f aca="false">травень!Q109</f>
        <v>0</v>
      </c>
      <c r="F109" s="20" t="n">
        <f aca="false">травень!F109</f>
        <v>0</v>
      </c>
      <c r="G109" s="21" t="n">
        <f aca="false">травень!G109</f>
        <v>66.29</v>
      </c>
      <c r="H109" s="21" t="n">
        <f aca="false">травень!H109</f>
        <v>0</v>
      </c>
      <c r="I109" s="22" t="n">
        <f aca="false">травень!I109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4539.5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травень!B110</f>
        <v>Кошева Н.П</v>
      </c>
      <c r="C110" s="18" t="str">
        <f aca="false">травень!C110</f>
        <v>30102</v>
      </c>
      <c r="D110" s="19" t="n">
        <f aca="false">травень!P110</f>
        <v>2894</v>
      </c>
      <c r="E110" s="19" t="n">
        <f aca="false">травень!Q110</f>
        <v>0</v>
      </c>
      <c r="F110" s="20" t="n">
        <f aca="false">травень!F110</f>
        <v>0</v>
      </c>
      <c r="G110" s="21" t="n">
        <f aca="false">травень!G110</f>
        <v>50</v>
      </c>
      <c r="H110" s="21" t="n">
        <f aca="false">травень!H110</f>
        <v>0</v>
      </c>
      <c r="I110" s="22" t="n">
        <f aca="false">травень!I110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3099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травень!B111</f>
        <v>Уривський Д.Б.</v>
      </c>
      <c r="C111" s="18" t="str">
        <f aca="false">травень!C111</f>
        <v>30103</v>
      </c>
      <c r="D111" s="19" t="n">
        <f aca="false">травень!P111</f>
        <v>2372.59</v>
      </c>
      <c r="E111" s="19" t="n">
        <f aca="false">травень!Q111</f>
        <v>0</v>
      </c>
      <c r="F111" s="20" t="n">
        <f aca="false">травень!F111</f>
        <v>0</v>
      </c>
      <c r="G111" s="21" t="n">
        <f aca="false">травень!G111</f>
        <v>35</v>
      </c>
      <c r="H111" s="21" t="n">
        <f aca="false">травень!H111</f>
        <v>0</v>
      </c>
      <c r="I111" s="22" t="n">
        <f aca="false">травень!I111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2516.09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травень!B112</f>
        <v>АДПСУ (Чорноморець В.М.)</v>
      </c>
      <c r="C112" s="18" t="str">
        <f aca="false">травень!C112</f>
        <v>30104</v>
      </c>
      <c r="D112" s="19" t="n">
        <f aca="false">травень!P112</f>
        <v>2529.87</v>
      </c>
      <c r="E112" s="19" t="n">
        <f aca="false">травень!Q112</f>
        <v>0</v>
      </c>
      <c r="F112" s="20" t="n">
        <f aca="false">травень!F112</f>
        <v>0</v>
      </c>
      <c r="G112" s="21" t="n">
        <f aca="false">травень!G112</f>
        <v>61.1</v>
      </c>
      <c r="H112" s="21" t="n">
        <f aca="false">травень!H112</f>
        <v>0</v>
      </c>
      <c r="I112" s="22" t="n">
        <f aca="false">травень!I112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2780.38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травень!B113</f>
        <v>Дмитренко Г.В.</v>
      </c>
      <c r="C113" s="18" t="str">
        <f aca="false">травень!C113</f>
        <v>30105</v>
      </c>
      <c r="D113" s="19" t="n">
        <f aca="false">травень!P113</f>
        <v>3238.22</v>
      </c>
      <c r="E113" s="19" t="n">
        <f aca="false">травень!Q113</f>
        <v>0</v>
      </c>
      <c r="F113" s="20" t="n">
        <f aca="false">травень!F113</f>
        <v>0</v>
      </c>
      <c r="G113" s="21" t="n">
        <f aca="false">травень!G113</f>
        <v>64.89</v>
      </c>
      <c r="H113" s="21" t="n">
        <f aca="false">травень!H113</f>
        <v>0</v>
      </c>
      <c r="I113" s="22" t="n">
        <f aca="false">травень!I113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3504.27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травень!B114</f>
        <v>Номерова Т.В.</v>
      </c>
      <c r="C114" s="18" t="str">
        <f aca="false">травень!C114</f>
        <v>30106</v>
      </c>
      <c r="D114" s="19" t="n">
        <f aca="false">травень!P114</f>
        <v>675</v>
      </c>
      <c r="E114" s="19" t="n">
        <f aca="false">травень!Q114</f>
        <v>0</v>
      </c>
      <c r="F114" s="20" t="n">
        <f aca="false">травень!F114</f>
        <v>0</v>
      </c>
      <c r="G114" s="21" t="n">
        <f aca="false">травень!G114</f>
        <v>49.96</v>
      </c>
      <c r="H114" s="21" t="n">
        <f aca="false">травень!H114</f>
        <v>0</v>
      </c>
      <c r="I114" s="22" t="n">
        <f aca="false">травень!I114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 t="n">
        <v>500</v>
      </c>
      <c r="P114" s="25" t="n">
        <f aca="false">IF(D114=0,IF((N114-E114-O114)&gt;0,(N114-E114-O114),0),IF((D114+N114-O114)&gt;0,(D114+N114-O114),0))</f>
        <v>379.84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травень!B115</f>
        <v>Самойлова О.В.</v>
      </c>
      <c r="C115" s="18" t="str">
        <f aca="false">травень!C115</f>
        <v>30107</v>
      </c>
      <c r="D115" s="19" t="n">
        <f aca="false">травень!P115</f>
        <v>141.45</v>
      </c>
      <c r="E115" s="19" t="n">
        <f aca="false">травень!Q115</f>
        <v>0</v>
      </c>
      <c r="F115" s="20" t="n">
        <f aca="false">травень!F115</f>
        <v>0</v>
      </c>
      <c r="G115" s="21" t="n">
        <f aca="false">травень!G115</f>
        <v>34.5</v>
      </c>
      <c r="H115" s="21" t="n">
        <f aca="false">травень!H115</f>
        <v>0</v>
      </c>
      <c r="I115" s="22" t="n">
        <f aca="false">травень!I115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 t="n">
        <v>141.45</v>
      </c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травень!B116</f>
        <v>Випенко О.І.</v>
      </c>
      <c r="C116" s="18" t="str">
        <f aca="false">травень!C116</f>
        <v>30108</v>
      </c>
      <c r="D116" s="19" t="n">
        <f aca="false">травень!P116</f>
        <v>7446.45</v>
      </c>
      <c r="E116" s="19" t="n">
        <f aca="false">травень!Q116</f>
        <v>0</v>
      </c>
      <c r="F116" s="20" t="n">
        <f aca="false">травень!F116</f>
        <v>0</v>
      </c>
      <c r="G116" s="21" t="n">
        <f aca="false">травень!G116</f>
        <v>62.9</v>
      </c>
      <c r="H116" s="21" t="n">
        <f aca="false">травень!H116</f>
        <v>0</v>
      </c>
      <c r="I116" s="22" t="n">
        <f aca="false">травень!I116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7704.34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травень!B117</f>
        <v>Саприкін Ю.О.</v>
      </c>
      <c r="C117" s="18" t="str">
        <f aca="false">травень!C117</f>
        <v>40109</v>
      </c>
      <c r="D117" s="19" t="n">
        <f aca="false">травень!P117</f>
        <v>398.52</v>
      </c>
      <c r="E117" s="19" t="n">
        <f aca="false">травень!Q117</f>
        <v>0</v>
      </c>
      <c r="F117" s="20" t="n">
        <f aca="false">травень!F117</f>
        <v>0</v>
      </c>
      <c r="G117" s="21" t="n">
        <f aca="false">травень!G117</f>
        <v>97.2</v>
      </c>
      <c r="H117" s="21" t="n">
        <f aca="false">травень!H117</f>
        <v>0</v>
      </c>
      <c r="I117" s="22" t="n">
        <f aca="false">травень!I117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 t="n">
        <v>398.52</v>
      </c>
      <c r="P117" s="25" t="n">
        <f aca="false">IF(D117=0,IF((N117-E117-O117)&gt;0,(N117-E117-O117),0),IF((D117+N117-O117)&gt;0,(D117+N117-O117),0))</f>
        <v>398.52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травень!B118</f>
        <v>Мовчан В.М.</v>
      </c>
      <c r="C118" s="18" t="str">
        <f aca="false">травень!C118</f>
        <v>40110</v>
      </c>
      <c r="D118" s="19" t="n">
        <f aca="false">травень!P118</f>
        <v>398.73</v>
      </c>
      <c r="E118" s="19" t="n">
        <f aca="false">травень!Q118</f>
        <v>0</v>
      </c>
      <c r="F118" s="20" t="n">
        <f aca="false">травень!F118</f>
        <v>0</v>
      </c>
      <c r="G118" s="21" t="n">
        <f aca="false">травень!G118</f>
        <v>48.75</v>
      </c>
      <c r="H118" s="21" t="n">
        <f aca="false">травень!H118</f>
        <v>0</v>
      </c>
      <c r="I118" s="22" t="n">
        <f aca="false">травень!I118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 t="n">
        <f aca="false">199.88+199.88</f>
        <v>399.76</v>
      </c>
      <c r="P118" s="25" t="n">
        <f aca="false">IF(D118=0,IF((N118-E118-O118)&gt;0,(N118-E118-O118),0),IF((D118+N118-O118)&gt;0,(D118+N118-O118),0))</f>
        <v>198.85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травень!B119</f>
        <v>Величко Н.М.</v>
      </c>
      <c r="C119" s="18" t="str">
        <f aca="false">травень!C119</f>
        <v>40111</v>
      </c>
      <c r="D119" s="19" t="n">
        <f aca="false">травень!P119</f>
        <v>3397.32</v>
      </c>
      <c r="E119" s="19" t="n">
        <f aca="false">травень!Q119</f>
        <v>0</v>
      </c>
      <c r="F119" s="20" t="n">
        <f aca="false">травень!F119</f>
        <v>0</v>
      </c>
      <c r="G119" s="21" t="n">
        <f aca="false">травень!G119</f>
        <v>63.8</v>
      </c>
      <c r="H119" s="21" t="n">
        <f aca="false">травень!H119</f>
        <v>0</v>
      </c>
      <c r="I119" s="22" t="n">
        <f aca="false">травень!I119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3658.9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травень!B120</f>
        <v>Бухлов С.В.</v>
      </c>
      <c r="C120" s="18" t="str">
        <f aca="false">травень!C120</f>
        <v>40112</v>
      </c>
      <c r="D120" s="19" t="n">
        <f aca="false">травень!P120</f>
        <v>9277.79</v>
      </c>
      <c r="E120" s="19" t="n">
        <f aca="false">травень!Q120</f>
        <v>0</v>
      </c>
      <c r="F120" s="20" t="n">
        <f aca="false">травень!F120</f>
        <v>0</v>
      </c>
      <c r="G120" s="21" t="n">
        <f aca="false">травень!G120</f>
        <v>62.6</v>
      </c>
      <c r="H120" s="21" t="n">
        <f aca="false">травень!H120</f>
        <v>0</v>
      </c>
      <c r="I120" s="22" t="n">
        <f aca="false">травень!I120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9534.45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травень!B121</f>
        <v>Перепеліцина Т.Ю.</v>
      </c>
      <c r="C121" s="18" t="str">
        <f aca="false">травень!C121</f>
        <v>40113</v>
      </c>
      <c r="D121" s="19" t="n">
        <f aca="false">травень!P121</f>
        <v>92.8200000000001</v>
      </c>
      <c r="E121" s="19" t="n">
        <f aca="false">травень!Q121</f>
        <v>0</v>
      </c>
      <c r="F121" s="20" t="n">
        <f aca="false">травень!F121</f>
        <v>0</v>
      </c>
      <c r="G121" s="21" t="n">
        <f aca="false">травень!G121</f>
        <v>34.7</v>
      </c>
      <c r="H121" s="21" t="n">
        <f aca="false">травень!H121</f>
        <v>0</v>
      </c>
      <c r="I121" s="22" t="n">
        <f aca="false">травень!I121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235.09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травень!B122</f>
        <v>Свєтлова Т.Ю.</v>
      </c>
      <c r="C122" s="18" t="str">
        <f aca="false">травень!C122</f>
        <v>40114</v>
      </c>
      <c r="D122" s="19" t="n">
        <f aca="false">травень!P122</f>
        <v>1020.85</v>
      </c>
      <c r="E122" s="19" t="n">
        <f aca="false">травень!Q122</f>
        <v>0</v>
      </c>
      <c r="F122" s="20" t="n">
        <f aca="false">травень!F122</f>
        <v>0</v>
      </c>
      <c r="G122" s="21" t="n">
        <f aca="false">травень!G122</f>
        <v>49.72</v>
      </c>
      <c r="H122" s="21" t="n">
        <f aca="false">травень!H122</f>
        <v>0</v>
      </c>
      <c r="I122" s="22" t="n">
        <f aca="false">травень!I122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1224.7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травень!B123</f>
        <v>Маркова О.М.</v>
      </c>
      <c r="C123" s="18" t="str">
        <f aca="false">травень!C123</f>
        <v>40115</v>
      </c>
      <c r="D123" s="19" t="n">
        <f aca="false">травень!P123</f>
        <v>4290.56</v>
      </c>
      <c r="E123" s="19" t="n">
        <f aca="false">травень!Q123</f>
        <v>0</v>
      </c>
      <c r="F123" s="20" t="n">
        <f aca="false">травень!F123</f>
        <v>0</v>
      </c>
      <c r="G123" s="21" t="n">
        <f aca="false">травень!G123</f>
        <v>65.1</v>
      </c>
      <c r="H123" s="21" t="n">
        <f aca="false">травень!H123</f>
        <v>0</v>
      </c>
      <c r="I123" s="22" t="n">
        <f aca="false">травень!I123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4557.47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травень!B124</f>
        <v>Ракитська А.М.</v>
      </c>
      <c r="C124" s="18" t="str">
        <f aca="false">травень!C124</f>
        <v>40116</v>
      </c>
      <c r="D124" s="19" t="n">
        <f aca="false">травень!P124</f>
        <v>2729.54</v>
      </c>
      <c r="E124" s="19" t="n">
        <f aca="false">травень!Q124</f>
        <v>0</v>
      </c>
      <c r="F124" s="20" t="n">
        <f aca="false">травень!F124</f>
        <v>0</v>
      </c>
      <c r="G124" s="21" t="n">
        <f aca="false">травень!G124</f>
        <v>62.18</v>
      </c>
      <c r="H124" s="21" t="n">
        <f aca="false">травень!H124</f>
        <v>0</v>
      </c>
      <c r="I124" s="22" t="n">
        <f aca="false">травень!I124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2984.48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травень!B125</f>
        <v>Гусак К.С.</v>
      </c>
      <c r="C125" s="18" t="str">
        <f aca="false">травень!C125</f>
        <v>40117</v>
      </c>
      <c r="D125" s="19" t="n">
        <f aca="false">травень!P125</f>
        <v>2219.79</v>
      </c>
      <c r="E125" s="19" t="n">
        <f aca="false">травень!Q125</f>
        <v>0</v>
      </c>
      <c r="F125" s="20" t="n">
        <f aca="false">травень!F125</f>
        <v>0</v>
      </c>
      <c r="G125" s="21" t="n">
        <f aca="false">травень!G125</f>
        <v>35.1</v>
      </c>
      <c r="H125" s="21" t="n">
        <f aca="false">травень!H125</f>
        <v>0</v>
      </c>
      <c r="I125" s="22" t="n">
        <f aca="false">травень!I125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2363.7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травень!B126</f>
        <v>Пісоченко М.Г.</v>
      </c>
      <c r="C126" s="18" t="str">
        <f aca="false">травень!C126</f>
        <v>40118</v>
      </c>
      <c r="D126" s="19" t="n">
        <f aca="false">травень!P126</f>
        <v>2577.12</v>
      </c>
      <c r="E126" s="19" t="n">
        <f aca="false">травень!Q126</f>
        <v>0</v>
      </c>
      <c r="F126" s="20" t="n">
        <f aca="false">травень!F126</f>
        <v>0</v>
      </c>
      <c r="G126" s="21" t="n">
        <f aca="false">травень!G126</f>
        <v>49.8</v>
      </c>
      <c r="H126" s="21" t="n">
        <f aca="false">травень!H126</f>
        <v>0</v>
      </c>
      <c r="I126" s="22" t="n">
        <f aca="false">травень!I126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2781.3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травень!B127</f>
        <v>Столяр О.М.</v>
      </c>
      <c r="C127" s="18" t="str">
        <f aca="false">травень!C127</f>
        <v>40119</v>
      </c>
      <c r="D127" s="19" t="n">
        <f aca="false">травень!P127</f>
        <v>7838.11</v>
      </c>
      <c r="E127" s="19" t="n">
        <f aca="false">травень!Q127</f>
        <v>0</v>
      </c>
      <c r="F127" s="20" t="n">
        <f aca="false">травень!F127</f>
        <v>0</v>
      </c>
      <c r="G127" s="21" t="n">
        <f aca="false">травень!G127</f>
        <v>65.3</v>
      </c>
      <c r="H127" s="21" t="n">
        <f aca="false">травень!H127</f>
        <v>0</v>
      </c>
      <c r="I127" s="22" t="n">
        <f aca="false">травень!I127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8105.84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травень!B128</f>
        <v>Рєзніков В.П.</v>
      </c>
      <c r="C128" s="18" t="str">
        <f aca="false">травень!C128</f>
        <v>40120</v>
      </c>
      <c r="D128" s="19" t="n">
        <f aca="false">травень!P128</f>
        <v>230.690000000001</v>
      </c>
      <c r="E128" s="19" t="n">
        <f aca="false">травень!Q128</f>
        <v>0</v>
      </c>
      <c r="F128" s="20" t="n">
        <f aca="false">травень!F128</f>
        <v>0</v>
      </c>
      <c r="G128" s="21" t="n">
        <f aca="false">травень!G128</f>
        <v>62.44</v>
      </c>
      <c r="H128" s="21" t="n">
        <f aca="false">травень!H128</f>
        <v>0</v>
      </c>
      <c r="I128" s="22" t="n">
        <f aca="false">травень!I128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486.690000000001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травень!B129</f>
        <v>Золотоверха Я.І.</v>
      </c>
      <c r="C129" s="18" t="str">
        <f aca="false">травень!C129</f>
        <v>40121</v>
      </c>
      <c r="D129" s="19" t="n">
        <f aca="false">травень!P129</f>
        <v>8.5265128291212E-014</v>
      </c>
      <c r="E129" s="19" t="n">
        <f aca="false">травень!Q129</f>
        <v>0</v>
      </c>
      <c r="F129" s="20" t="n">
        <f aca="false">травень!F129</f>
        <v>0</v>
      </c>
      <c r="G129" s="21" t="n">
        <f aca="false">травень!G129</f>
        <v>35.6</v>
      </c>
      <c r="H129" s="21" t="n">
        <f aca="false">травень!H129</f>
        <v>0</v>
      </c>
      <c r="I129" s="22" t="n">
        <f aca="false">травень!I129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травень!B130</f>
        <v>Бурлаков А.В.</v>
      </c>
      <c r="C130" s="18" t="str">
        <f aca="false">травень!C130</f>
        <v>40122</v>
      </c>
      <c r="D130" s="19" t="n">
        <f aca="false">травень!P130</f>
        <v>64.6400000000002</v>
      </c>
      <c r="E130" s="19" t="n">
        <f aca="false">травень!Q130</f>
        <v>0</v>
      </c>
      <c r="F130" s="20" t="n">
        <f aca="false">травень!F130</f>
        <v>0</v>
      </c>
      <c r="G130" s="21" t="n">
        <f aca="false">травень!G130</f>
        <v>49.7</v>
      </c>
      <c r="H130" s="21" t="n">
        <f aca="false">травень!H130</f>
        <v>0</v>
      </c>
      <c r="I130" s="22" t="n">
        <f aca="false">травень!I130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204</v>
      </c>
      <c r="P130" s="25" t="n">
        <f aca="false">IF(D130=0,IF((N130-E130-O130)&gt;0,(N130-E130-O130),0),IF((D130+N130-O130)&gt;0,(D130+N130-O130),0))</f>
        <v>64.4100000000002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травень!B131</f>
        <v>Сикула О.Ю.</v>
      </c>
      <c r="C131" s="18" t="str">
        <f aca="false">травень!C131</f>
        <v>40123</v>
      </c>
      <c r="D131" s="19" t="n">
        <f aca="false">травень!P131</f>
        <v>3593.78</v>
      </c>
      <c r="E131" s="19" t="n">
        <f aca="false">травень!Q131</f>
        <v>0</v>
      </c>
      <c r="F131" s="20" t="n">
        <f aca="false">травень!F131</f>
        <v>0</v>
      </c>
      <c r="G131" s="21" t="n">
        <f aca="false">травень!G131</f>
        <v>65.15</v>
      </c>
      <c r="H131" s="21" t="n">
        <f aca="false">травень!H131</f>
        <v>0</v>
      </c>
      <c r="I131" s="22" t="n">
        <f aca="false">травень!I131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3860.9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травень!B132</f>
        <v>Арістов О.О.</v>
      </c>
      <c r="C132" s="18" t="str">
        <f aca="false">травень!C132</f>
        <v>40124</v>
      </c>
      <c r="D132" s="19" t="n">
        <f aca="false">травень!P132</f>
        <v>894.15</v>
      </c>
      <c r="E132" s="19" t="n">
        <f aca="false">травень!Q132</f>
        <v>0</v>
      </c>
      <c r="F132" s="20" t="n">
        <f aca="false">травень!F132</f>
        <v>0</v>
      </c>
      <c r="G132" s="21" t="n">
        <f aca="false">травень!G132</f>
        <v>63</v>
      </c>
      <c r="H132" s="21" t="n">
        <f aca="false">травень!H132</f>
        <v>0</v>
      </c>
      <c r="I132" s="22" t="n">
        <f aca="false">травень!I132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1152.45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травень!B133</f>
        <v>Бондаренко Т.О.</v>
      </c>
      <c r="C133" s="18" t="str">
        <f aca="false">травень!C133</f>
        <v>40125</v>
      </c>
      <c r="D133" s="19" t="n">
        <f aca="false">травень!P133</f>
        <v>1805.67</v>
      </c>
      <c r="E133" s="19" t="n">
        <f aca="false">травень!Q133</f>
        <v>0</v>
      </c>
      <c r="F133" s="20" t="n">
        <f aca="false">травень!F133</f>
        <v>0</v>
      </c>
      <c r="G133" s="21" t="n">
        <f aca="false">травень!G133</f>
        <v>34.7</v>
      </c>
      <c r="H133" s="21" t="n">
        <f aca="false">травень!H133</f>
        <v>0</v>
      </c>
      <c r="I133" s="22" t="n">
        <f aca="false">травень!I133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1947.94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травень!B134</f>
        <v>Гайчев П.В.</v>
      </c>
      <c r="C134" s="18" t="str">
        <f aca="false">травень!C134</f>
        <v>40126</v>
      </c>
      <c r="D134" s="19" t="n">
        <f aca="false">травень!P134</f>
        <v>1407.92</v>
      </c>
      <c r="E134" s="19" t="n">
        <f aca="false">травень!Q134</f>
        <v>0</v>
      </c>
      <c r="F134" s="20" t="n">
        <f aca="false">травень!F134</f>
        <v>0</v>
      </c>
      <c r="G134" s="21" t="n">
        <f aca="false">травень!G134</f>
        <v>49.2</v>
      </c>
      <c r="H134" s="21" t="n">
        <f aca="false">травень!H134</f>
        <v>0</v>
      </c>
      <c r="I134" s="22" t="n">
        <f aca="false">травень!I134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1609.64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травень!B135</f>
        <v>Радченко О.С.</v>
      </c>
      <c r="C135" s="18" t="str">
        <f aca="false">травень!C135</f>
        <v>40127</v>
      </c>
      <c r="D135" s="19" t="n">
        <f aca="false">травень!P135</f>
        <v>529.779999999999</v>
      </c>
      <c r="E135" s="19" t="n">
        <f aca="false">травень!Q135</f>
        <v>0</v>
      </c>
      <c r="F135" s="20" t="n">
        <f aca="false">травень!F135</f>
        <v>0</v>
      </c>
      <c r="G135" s="21" t="n">
        <f aca="false">травень!G135</f>
        <v>65.15</v>
      </c>
      <c r="H135" s="21" t="n">
        <f aca="false">травень!H135</f>
        <v>0</v>
      </c>
      <c r="I135" s="22" t="n">
        <f aca="false">травень!I135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796.899999999999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травень!B136</f>
        <v>Шилін С.М.</v>
      </c>
      <c r="C136" s="18" t="str">
        <f aca="false">травень!C136</f>
        <v>40128</v>
      </c>
      <c r="D136" s="19" t="n">
        <f aca="false">травень!P136</f>
        <v>2553.73</v>
      </c>
      <c r="E136" s="19" t="n">
        <f aca="false">травень!Q136</f>
        <v>0</v>
      </c>
      <c r="F136" s="20" t="n">
        <f aca="false">травень!F136</f>
        <v>0</v>
      </c>
      <c r="G136" s="21" t="n">
        <v>62.3</v>
      </c>
      <c r="H136" s="21" t="n">
        <f aca="false">травень!H136</f>
        <v>0</v>
      </c>
      <c r="I136" s="22" t="n">
        <f aca="false">травень!I136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2809.16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травень!B137</f>
        <v>Петрулевич В.М.</v>
      </c>
      <c r="C137" s="18" t="str">
        <f aca="false">травень!C137</f>
        <v>40129</v>
      </c>
      <c r="D137" s="19" t="n">
        <f aca="false">травень!P137</f>
        <v>1836.91</v>
      </c>
      <c r="E137" s="19" t="n">
        <f aca="false">травень!Q137</f>
        <v>0</v>
      </c>
      <c r="F137" s="20" t="n">
        <f aca="false">травень!F137</f>
        <v>0</v>
      </c>
      <c r="G137" s="21" t="n">
        <f aca="false">травень!G137</f>
        <v>35.3</v>
      </c>
      <c r="H137" s="21" t="n">
        <f aca="false">травень!H137</f>
        <v>0</v>
      </c>
      <c r="I137" s="22" t="n">
        <f aca="false">травень!I137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1981.64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травень!B138</f>
        <v>Кривошеєва Л.М.</v>
      </c>
      <c r="C138" s="18" t="str">
        <f aca="false">травень!C138</f>
        <v>40130</v>
      </c>
      <c r="D138" s="19" t="n">
        <f aca="false">травень!P138</f>
        <v>2192.92</v>
      </c>
      <c r="E138" s="19" t="n">
        <f aca="false">травень!Q138</f>
        <v>0</v>
      </c>
      <c r="F138" s="20" t="n">
        <f aca="false">травень!F138</f>
        <v>0</v>
      </c>
      <c r="G138" s="21" t="n">
        <f aca="false">травень!G138</f>
        <v>49.78</v>
      </c>
      <c r="H138" s="21" t="n">
        <f aca="false">травень!H138</f>
        <v>0</v>
      </c>
      <c r="I138" s="22" t="n">
        <f aca="false">травень!I138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 t="n">
        <v>100</v>
      </c>
      <c r="P138" s="25" t="n">
        <f aca="false">IF(D138=0,IF((N138-E138-O138)&gt;0,(N138-E138-O138),0),IF((D138+N138-O138)&gt;0,(D138+N138-O138),0))</f>
        <v>2297.02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травень!B139</f>
        <v>Харченко І.С.</v>
      </c>
      <c r="C139" s="18" t="str">
        <f aca="false">травень!C139</f>
        <v>40131</v>
      </c>
      <c r="D139" s="19" t="n">
        <f aca="false">травень!P139</f>
        <v>1116.26</v>
      </c>
      <c r="E139" s="19" t="n">
        <f aca="false">травень!Q139</f>
        <v>0</v>
      </c>
      <c r="F139" s="20" t="n">
        <f aca="false">травень!F139</f>
        <v>0</v>
      </c>
      <c r="G139" s="21" t="n">
        <f aca="false">травень!G139</f>
        <v>65.93</v>
      </c>
      <c r="H139" s="21" t="n">
        <f aca="false">травень!H139</f>
        <v>0</v>
      </c>
      <c r="I139" s="22" t="n">
        <f aca="false">травень!I139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v>300</v>
      </c>
      <c r="P139" s="25" t="n">
        <f aca="false">IF(D139=0,IF((N139-E139-O139)&gt;0,(N139-E139-O139),0),IF((D139+N139-O139)&gt;0,(D139+N139-O139),0))</f>
        <v>1086.57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травень!B140</f>
        <v>Куриленко І.О.</v>
      </c>
      <c r="C140" s="18" t="str">
        <f aca="false">травень!C140</f>
        <v>40132</v>
      </c>
      <c r="D140" s="19" t="n">
        <f aca="false">травень!P140</f>
        <v>4344.85</v>
      </c>
      <c r="E140" s="19" t="n">
        <f aca="false">травень!Q140</f>
        <v>0</v>
      </c>
      <c r="F140" s="20" t="n">
        <f aca="false">травень!F140</f>
        <v>0</v>
      </c>
      <c r="G140" s="21" t="n">
        <f aca="false">травень!G140</f>
        <v>62.36</v>
      </c>
      <c r="H140" s="21" t="n">
        <f aca="false">травень!H140</f>
        <v>0</v>
      </c>
      <c r="I140" s="22" t="n">
        <f aca="false">травень!I140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4600.53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травень!B141</f>
        <v>Єлсукова В.М.</v>
      </c>
      <c r="C141" s="18" t="str">
        <f aca="false">травень!C141</f>
        <v>40133</v>
      </c>
      <c r="D141" s="19" t="n">
        <f aca="false">травень!P141</f>
        <v>2446.47</v>
      </c>
      <c r="E141" s="19" t="n">
        <f aca="false">травень!Q141</f>
        <v>0</v>
      </c>
      <c r="F141" s="20" t="n">
        <f aca="false">травень!F141</f>
        <v>0</v>
      </c>
      <c r="G141" s="21" t="n">
        <f aca="false">травень!G141</f>
        <v>35.1</v>
      </c>
      <c r="H141" s="21" t="n">
        <f aca="false">травень!H141</f>
        <v>0</v>
      </c>
      <c r="I141" s="22" t="n">
        <f aca="false">травень!I141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2590.38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травень!B142</f>
        <v>Пімонова М.В.</v>
      </c>
      <c r="C142" s="18" t="str">
        <f aca="false">травень!C142</f>
        <v>40134</v>
      </c>
      <c r="D142" s="19" t="n">
        <f aca="false">травень!P142</f>
        <v>4986.78</v>
      </c>
      <c r="E142" s="19" t="n">
        <f aca="false">травень!Q142</f>
        <v>0</v>
      </c>
      <c r="F142" s="20" t="n">
        <f aca="false">травень!F142</f>
        <v>0</v>
      </c>
      <c r="G142" s="21" t="n">
        <f aca="false">травень!G142</f>
        <v>49.47</v>
      </c>
      <c r="H142" s="21" t="n">
        <f aca="false">травень!H142</f>
        <v>0</v>
      </c>
      <c r="I142" s="22" t="n">
        <f aca="false">травень!I142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5189.61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травень!B143</f>
        <v>Осипенко В.В.</v>
      </c>
      <c r="C143" s="18" t="str">
        <f aca="false">травень!C143</f>
        <v>40135</v>
      </c>
      <c r="D143" s="19" t="n">
        <f aca="false">травень!P143</f>
        <v>2420.72</v>
      </c>
      <c r="E143" s="19" t="n">
        <f aca="false">травень!Q143</f>
        <v>0</v>
      </c>
      <c r="F143" s="20" t="n">
        <f aca="false">травень!F143</f>
        <v>0</v>
      </c>
      <c r="G143" s="21" t="n">
        <f aca="false">травень!G143</f>
        <v>65.65</v>
      </c>
      <c r="H143" s="21" t="n">
        <f aca="false">травень!H143</f>
        <v>0</v>
      </c>
      <c r="I143" s="22" t="n">
        <f aca="false">травень!I143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2689.89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травень!B144</f>
        <v>Друзь О.О.</v>
      </c>
      <c r="C144" s="18" t="str">
        <f aca="false">травень!C144</f>
        <v>40136</v>
      </c>
      <c r="D144" s="19" t="n">
        <f aca="false">травень!P144</f>
        <v>3054.64</v>
      </c>
      <c r="E144" s="19" t="n">
        <f aca="false">травень!Q144</f>
        <v>0</v>
      </c>
      <c r="F144" s="20" t="n">
        <f aca="false">травень!F144</f>
        <v>0</v>
      </c>
      <c r="G144" s="21" t="n">
        <f aca="false">травень!G144</f>
        <v>62.1</v>
      </c>
      <c r="H144" s="21" t="n">
        <f aca="false">травень!H144</f>
        <v>0</v>
      </c>
      <c r="I144" s="22" t="n">
        <f aca="false">травень!I144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3309.25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травень!B145</f>
        <v>Вовченко Р.І.</v>
      </c>
      <c r="C145" s="18" t="str">
        <f aca="false">травень!C145</f>
        <v>40137</v>
      </c>
      <c r="D145" s="19" t="n">
        <f aca="false">травень!P145</f>
        <v>64.7999999999989</v>
      </c>
      <c r="E145" s="19" t="n">
        <f aca="false">травень!Q145</f>
        <v>0</v>
      </c>
      <c r="F145" s="20" t="n">
        <f aca="false">травень!F145</f>
        <v>0</v>
      </c>
      <c r="G145" s="21" t="n">
        <f aca="false">травень!G145</f>
        <v>35.2</v>
      </c>
      <c r="H145" s="21" t="n">
        <f aca="false">травень!H145</f>
        <v>0</v>
      </c>
      <c r="I145" s="22" t="n">
        <f aca="false">травень!I145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209.119999999999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травень!B146</f>
        <v>Плакун Д.В.</v>
      </c>
      <c r="C146" s="18" t="str">
        <f aca="false">травень!C146</f>
        <v>40138</v>
      </c>
      <c r="D146" s="19" t="n">
        <f aca="false">травень!P146</f>
        <v>1022.63</v>
      </c>
      <c r="E146" s="19" t="n">
        <f aca="false">травень!Q146</f>
        <v>0</v>
      </c>
      <c r="F146" s="20" t="n">
        <f aca="false">травень!F146</f>
        <v>0</v>
      </c>
      <c r="G146" s="21" t="n">
        <f aca="false">травень!G146</f>
        <v>49.9</v>
      </c>
      <c r="H146" s="21" t="n">
        <f aca="false">травень!H146</f>
        <v>0</v>
      </c>
      <c r="I146" s="22" t="n">
        <f aca="false">травень!I146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1227.22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травень!B147</f>
        <v>Гаврилова Ю.О.</v>
      </c>
      <c r="C147" s="18" t="str">
        <f aca="false">травень!C147</f>
        <v>40139</v>
      </c>
      <c r="D147" s="19" t="n">
        <f aca="false">травень!P147</f>
        <v>72.5599999999997</v>
      </c>
      <c r="E147" s="19" t="n">
        <f aca="false">травень!Q147</f>
        <v>0</v>
      </c>
      <c r="F147" s="20" t="n">
        <f aca="false">травень!F147</f>
        <v>0</v>
      </c>
      <c r="G147" s="21" t="n">
        <f aca="false">травень!G147</f>
        <v>65.8</v>
      </c>
      <c r="H147" s="21" t="n">
        <f aca="false">травень!H147</f>
        <v>0</v>
      </c>
      <c r="I147" s="22" t="n">
        <f aca="false">травень!I147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342.34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травень!B148</f>
        <v>Корзун Г.М.</v>
      </c>
      <c r="C148" s="18" t="str">
        <f aca="false">травень!C148</f>
        <v>40140</v>
      </c>
      <c r="D148" s="19" t="n">
        <f aca="false">травень!P148</f>
        <v>354.119999999998</v>
      </c>
      <c r="E148" s="19" t="n">
        <f aca="false">травень!Q148</f>
        <v>0</v>
      </c>
      <c r="F148" s="20" t="n">
        <f aca="false">травень!F148</f>
        <v>0</v>
      </c>
      <c r="G148" s="21" t="n">
        <f aca="false">травень!G148</f>
        <v>63.2</v>
      </c>
      <c r="H148" s="21" t="n">
        <f aca="false">травень!H148</f>
        <v>0</v>
      </c>
      <c r="I148" s="22" t="n">
        <f aca="false">травень!I148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613.239999999998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травень!B149</f>
        <v>Бондаренко Л.Л.</v>
      </c>
      <c r="C149" s="18" t="str">
        <f aca="false">травень!C149</f>
        <v>40141</v>
      </c>
      <c r="D149" s="19" t="n">
        <f aca="false">травень!P149</f>
        <v>318.9</v>
      </c>
      <c r="E149" s="19" t="n">
        <f aca="false">травень!Q149</f>
        <v>0</v>
      </c>
      <c r="F149" s="20" t="n">
        <f aca="false">травень!F149</f>
        <v>0</v>
      </c>
      <c r="G149" s="21" t="n">
        <f aca="false">травень!G149</f>
        <v>34.9</v>
      </c>
      <c r="H149" s="21" t="n">
        <f aca="false">травень!H149</f>
        <v>0</v>
      </c>
      <c r="I149" s="22" t="n">
        <f aca="false">травень!I149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 t="n">
        <v>318.7</v>
      </c>
      <c r="P149" s="25" t="n">
        <f aca="false">IF(D149=0,IF((N149-E149-O149)&gt;0,(N149-E149-O149),0),IF((D149+N149-O149)&gt;0,(D149+N149-O149),0))</f>
        <v>143.29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травень!B150</f>
        <v>Капелюш Н.А.</v>
      </c>
      <c r="C150" s="18" t="str">
        <f aca="false">травень!C150</f>
        <v>40142</v>
      </c>
      <c r="D150" s="19" t="n">
        <f aca="false">травень!P150</f>
        <v>3099.6</v>
      </c>
      <c r="E150" s="19" t="n">
        <f aca="false">травень!Q150</f>
        <v>0</v>
      </c>
      <c r="F150" s="20" t="n">
        <f aca="false">травень!F150</f>
        <v>0</v>
      </c>
      <c r="G150" s="21" t="n">
        <f aca="false">травень!G150</f>
        <v>50.4</v>
      </c>
      <c r="H150" s="21" t="n">
        <f aca="false">травень!H150</f>
        <v>0</v>
      </c>
      <c r="I150" s="22" t="n">
        <f aca="false">травень!I150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3306.24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травень!B151</f>
        <v>Кістрінь Л.П.</v>
      </c>
      <c r="C151" s="18" t="str">
        <f aca="false">травень!C151</f>
        <v>40143</v>
      </c>
      <c r="D151" s="19" t="n">
        <f aca="false">травень!P151</f>
        <v>5331.85</v>
      </c>
      <c r="E151" s="19" t="n">
        <f aca="false">травень!Q151</f>
        <v>0</v>
      </c>
      <c r="F151" s="20" t="n">
        <f aca="false">травень!F151</f>
        <v>0</v>
      </c>
      <c r="G151" s="21" t="n">
        <f aca="false">травень!G151</f>
        <v>65.2</v>
      </c>
      <c r="H151" s="21" t="n">
        <f aca="false">травень!H151</f>
        <v>0</v>
      </c>
      <c r="I151" s="22" t="n">
        <f aca="false">травень!I151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5599.17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травень!B152</f>
        <v>Козьміна І.В.</v>
      </c>
      <c r="C152" s="18" t="str">
        <f aca="false">травень!C152</f>
        <v>50144</v>
      </c>
      <c r="D152" s="19" t="n">
        <f aca="false">травень!P152</f>
        <v>0</v>
      </c>
      <c r="E152" s="19" t="n">
        <f aca="false">травень!Q152</f>
        <v>2.27373675443232E-013</v>
      </c>
      <c r="F152" s="20" t="n">
        <f aca="false">травень!F152</f>
        <v>0</v>
      </c>
      <c r="G152" s="21" t="n">
        <f aca="false">травень!G152</f>
        <v>64.57</v>
      </c>
      <c r="H152" s="21" t="n">
        <f aca="false">травень!H152</f>
        <v>0</v>
      </c>
      <c r="I152" s="22" t="n">
        <f aca="false">травень!I152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264.74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травень!B153</f>
        <v>Чала С.С.</v>
      </c>
      <c r="C153" s="18" t="str">
        <f aca="false">травень!C153</f>
        <v>50145</v>
      </c>
      <c r="D153" s="19" t="n">
        <f aca="false">травень!P153</f>
        <v>4850.44</v>
      </c>
      <c r="E153" s="19" t="n">
        <f aca="false">травень!Q153</f>
        <v>0</v>
      </c>
      <c r="F153" s="20" t="n">
        <f aca="false">травень!F153</f>
        <v>0</v>
      </c>
      <c r="G153" s="21" t="n">
        <f aca="false">травень!G153</f>
        <v>48.7</v>
      </c>
      <c r="H153" s="21" t="n">
        <f aca="false">травень!H153</f>
        <v>0</v>
      </c>
      <c r="I153" s="22" t="n">
        <f aca="false">травень!I153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5050.11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травень!B154</f>
        <v>Свєтайлова І.М.</v>
      </c>
      <c r="C154" s="18" t="str">
        <f aca="false">травень!C154</f>
        <v>50146</v>
      </c>
      <c r="D154" s="19" t="n">
        <f aca="false">травень!P154</f>
        <v>2302.56</v>
      </c>
      <c r="E154" s="19" t="n">
        <f aca="false">травень!Q154</f>
        <v>0</v>
      </c>
      <c r="F154" s="20" t="n">
        <f aca="false">травень!F154</f>
        <v>0</v>
      </c>
      <c r="G154" s="21" t="n">
        <f aca="false">травень!G154</f>
        <v>35.1</v>
      </c>
      <c r="H154" s="21" t="n">
        <f aca="false">травень!H154</f>
        <v>0</v>
      </c>
      <c r="I154" s="22" t="n">
        <f aca="false">травень!I154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2446.47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травень!B155</f>
        <v>Неделько Д.І.</v>
      </c>
      <c r="C155" s="18" t="str">
        <f aca="false">травень!C155</f>
        <v>50147</v>
      </c>
      <c r="D155" s="19" t="n">
        <f aca="false">травень!P155</f>
        <v>0</v>
      </c>
      <c r="E155" s="19" t="n">
        <f aca="false">травень!Q155</f>
        <v>219.64</v>
      </c>
      <c r="F155" s="20" t="n">
        <f aca="false">травень!F155</f>
        <v>0</v>
      </c>
      <c r="G155" s="21" t="n">
        <f aca="false">травень!G155</f>
        <v>53.57</v>
      </c>
      <c r="H155" s="21" t="n">
        <f aca="false">травень!H155</f>
        <v>0</v>
      </c>
      <c r="I155" s="22" t="n">
        <f aca="false">травень!I155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0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травень!B156</f>
        <v>Самойленко Л.К.</v>
      </c>
      <c r="C156" s="18" t="str">
        <f aca="false">травень!C156</f>
        <v>50148</v>
      </c>
      <c r="D156" s="19" t="n">
        <f aca="false">травень!P156</f>
        <v>0</v>
      </c>
      <c r="E156" s="19" t="n">
        <f aca="false">травень!Q156</f>
        <v>916.21</v>
      </c>
      <c r="F156" s="20" t="n">
        <f aca="false">травень!F156</f>
        <v>0</v>
      </c>
      <c r="G156" s="21" t="n">
        <f aca="false">травень!G156</f>
        <v>65.7</v>
      </c>
      <c r="H156" s="21" t="n">
        <f aca="false">травень!H156</f>
        <v>0</v>
      </c>
      <c r="I156" s="22" t="n">
        <f aca="false">травень!I156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952.86</v>
      </c>
    </row>
    <row r="157" customFormat="false" ht="15" hidden="false" customHeight="false" outlineLevel="0" collapsed="false">
      <c r="A157" s="17" t="s">
        <v>467</v>
      </c>
      <c r="B157" s="18" t="str">
        <f aca="false">травень!B157</f>
        <v>Павлов Ю.В.</v>
      </c>
      <c r="C157" s="18" t="str">
        <f aca="false">травень!C157</f>
        <v>50149</v>
      </c>
      <c r="D157" s="19" t="n">
        <f aca="false">травень!P157</f>
        <v>2570.28</v>
      </c>
      <c r="E157" s="19" t="n">
        <f aca="false">травень!Q157</f>
        <v>0</v>
      </c>
      <c r="F157" s="20" t="n">
        <f aca="false">травень!F157</f>
        <v>0</v>
      </c>
      <c r="G157" s="21" t="n">
        <f aca="false">травень!G157</f>
        <v>49.78</v>
      </c>
      <c r="H157" s="21" t="n">
        <f aca="false">травень!H157</f>
        <v>0</v>
      </c>
      <c r="I157" s="22" t="n">
        <f aca="false">травень!I157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2774.38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травень!B158</f>
        <v>Коваленко Т.М.</v>
      </c>
      <c r="C158" s="18" t="str">
        <f aca="false">травень!C158</f>
        <v>50150</v>
      </c>
      <c r="D158" s="19" t="n">
        <f aca="false">травень!P158</f>
        <v>2439.5</v>
      </c>
      <c r="E158" s="19" t="n">
        <f aca="false">травень!Q158</f>
        <v>0</v>
      </c>
      <c r="F158" s="20" t="n">
        <f aca="false">травень!F158</f>
        <v>0</v>
      </c>
      <c r="G158" s="21" t="n">
        <f aca="false">травень!G158</f>
        <v>35</v>
      </c>
      <c r="H158" s="21" t="n">
        <f aca="false">травень!H158</f>
        <v>0</v>
      </c>
      <c r="I158" s="22" t="n">
        <f aca="false">травень!I158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2583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травень!B159</f>
        <v>Рощенко Л.Б.</v>
      </c>
      <c r="C159" s="18" t="str">
        <f aca="false">травень!C159</f>
        <v>50151</v>
      </c>
      <c r="D159" s="19" t="n">
        <f aca="false">травень!P159</f>
        <v>2004.54</v>
      </c>
      <c r="E159" s="19" t="n">
        <f aca="false">травень!Q159</f>
        <v>0</v>
      </c>
      <c r="F159" s="20" t="n">
        <f aca="false">травень!F159</f>
        <v>0</v>
      </c>
      <c r="G159" s="21" t="n">
        <f aca="false">травень!G159</f>
        <v>62.08</v>
      </c>
      <c r="H159" s="21" t="n">
        <f aca="false">травень!H159</f>
        <v>0</v>
      </c>
      <c r="I159" s="22" t="n">
        <f aca="false">травень!I159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2259.07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травень!B160</f>
        <v>Галушко С.Т.</v>
      </c>
      <c r="C160" s="18" t="str">
        <f aca="false">травень!C160</f>
        <v>50152</v>
      </c>
      <c r="D160" s="19" t="n">
        <f aca="false">травень!P160</f>
        <v>0</v>
      </c>
      <c r="E160" s="19" t="n">
        <f aca="false">травень!Q160</f>
        <v>2.27373675443232E-013</v>
      </c>
      <c r="F160" s="20" t="n">
        <f aca="false">травень!F160</f>
        <v>0</v>
      </c>
      <c r="G160" s="21" t="n">
        <f aca="false">травень!G160</f>
        <v>65.86</v>
      </c>
      <c r="H160" s="21" t="n">
        <f aca="false">травень!H160</f>
        <v>0</v>
      </c>
      <c r="I160" s="22" t="n">
        <f aca="false">травень!I160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 t="n">
        <v>270.03</v>
      </c>
      <c r="P160" s="25" t="n">
        <f aca="false">IF(D160=0,IF((N160-E160-O160)&gt;0,(N160-E160-O160),0),IF((D160+N160-O160)&gt;0,(D160+N160-O160),0))</f>
        <v>0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травень!B161</f>
        <v>Наумова Л.Я.</v>
      </c>
      <c r="C161" s="18" t="str">
        <f aca="false">травень!C161</f>
        <v>50153</v>
      </c>
      <c r="D161" s="19" t="n">
        <f aca="false">травень!P161</f>
        <v>3025.6</v>
      </c>
      <c r="E161" s="19" t="n">
        <f aca="false">травень!Q161</f>
        <v>0</v>
      </c>
      <c r="F161" s="20" t="n">
        <f aca="false">травень!F161</f>
        <v>0</v>
      </c>
      <c r="G161" s="21" t="n">
        <f aca="false">травень!G161</f>
        <v>49.95</v>
      </c>
      <c r="H161" s="21" t="n">
        <f aca="false">травень!H161</f>
        <v>0</v>
      </c>
      <c r="I161" s="22" t="n">
        <f aca="false">травень!I161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3230.4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травень!B162</f>
        <v>Грєк В.С.</v>
      </c>
      <c r="C162" s="18" t="str">
        <f aca="false">травень!C162</f>
        <v>50154</v>
      </c>
      <c r="D162" s="19" t="n">
        <f aca="false">травень!P162</f>
        <v>550.41</v>
      </c>
      <c r="E162" s="19" t="n">
        <f aca="false">травень!Q162</f>
        <v>0</v>
      </c>
      <c r="F162" s="20" t="n">
        <f aca="false">травень!F162</f>
        <v>0</v>
      </c>
      <c r="G162" s="21" t="n">
        <f aca="false">травень!G162</f>
        <v>33.9</v>
      </c>
      <c r="H162" s="21" t="n">
        <f aca="false">травень!H162</f>
        <v>0</v>
      </c>
      <c r="I162" s="22" t="n">
        <f aca="false">травень!I162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689.4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травень!B163</f>
        <v>Пермінов О.А.</v>
      </c>
      <c r="C163" s="18" t="str">
        <f aca="false">травень!C163</f>
        <v>50155</v>
      </c>
      <c r="D163" s="19" t="n">
        <f aca="false">травень!P163</f>
        <v>484.840000000001</v>
      </c>
      <c r="E163" s="19" t="n">
        <f aca="false">травень!Q163</f>
        <v>0</v>
      </c>
      <c r="F163" s="20" t="n">
        <f aca="false">травень!F163</f>
        <v>0</v>
      </c>
      <c r="G163" s="21" t="n">
        <f aca="false">травень!G163</f>
        <v>62.43</v>
      </c>
      <c r="H163" s="21" t="n">
        <f aca="false">травень!H163</f>
        <v>0</v>
      </c>
      <c r="I163" s="22" t="n">
        <f aca="false">травень!I163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740.800000000001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травень!B164</f>
        <v>Рябчук Л.П.</v>
      </c>
      <c r="C164" s="18" t="str">
        <f aca="false">травень!C164</f>
        <v>50156</v>
      </c>
      <c r="D164" s="19" t="n">
        <f aca="false">травень!P164</f>
        <v>1913.76</v>
      </c>
      <c r="E164" s="19" t="n">
        <f aca="false">травень!Q164</f>
        <v>0</v>
      </c>
      <c r="F164" s="20" t="n">
        <f aca="false">травень!F164</f>
        <v>0</v>
      </c>
      <c r="G164" s="21" t="n">
        <f aca="false">травень!G164</f>
        <v>64.8</v>
      </c>
      <c r="H164" s="21" t="n">
        <f aca="false">травень!H164</f>
        <v>0</v>
      </c>
      <c r="I164" s="22" t="n">
        <f aca="false">травень!I164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2179.44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травень!B165</f>
        <v>Копасова Л.Б.</v>
      </c>
      <c r="C165" s="18" t="str">
        <f aca="false">травень!C165</f>
        <v>50157</v>
      </c>
      <c r="D165" s="19" t="n">
        <f aca="false">травень!P165</f>
        <v>2424.3</v>
      </c>
      <c r="E165" s="19" t="n">
        <f aca="false">травень!Q165</f>
        <v>0</v>
      </c>
      <c r="F165" s="20" t="n">
        <f aca="false">травень!F165</f>
        <v>0</v>
      </c>
      <c r="G165" s="21" t="n">
        <f aca="false">травень!G165</f>
        <v>49.4</v>
      </c>
      <c r="H165" s="21" t="n">
        <f aca="false">травень!H165</f>
        <v>0</v>
      </c>
      <c r="I165" s="22" t="n">
        <f aca="false">травень!I165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2626.84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травень!B166</f>
        <v>Киричинська Г.Я.</v>
      </c>
      <c r="C166" s="18" t="str">
        <f aca="false">травень!C166</f>
        <v>50158</v>
      </c>
      <c r="D166" s="19" t="n">
        <f aca="false">травень!P166</f>
        <v>1163.94</v>
      </c>
      <c r="E166" s="19" t="n">
        <f aca="false">травень!Q166</f>
        <v>0</v>
      </c>
      <c r="F166" s="20" t="n">
        <f aca="false">травень!F166</f>
        <v>0</v>
      </c>
      <c r="G166" s="21" t="n">
        <f aca="false">травень!G166</f>
        <v>35.1</v>
      </c>
      <c r="H166" s="21" t="n">
        <f aca="false">травень!H166</f>
        <v>0</v>
      </c>
      <c r="I166" s="22" t="n">
        <f aca="false">травень!I166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1307.85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травень!B167</f>
        <v>Бутрій К.В.</v>
      </c>
      <c r="C167" s="18" t="str">
        <f aca="false">травень!C167</f>
        <v>50159</v>
      </c>
      <c r="D167" s="19" t="n">
        <f aca="false">травень!P167</f>
        <v>2944.77</v>
      </c>
      <c r="E167" s="19" t="n">
        <f aca="false">травень!Q167</f>
        <v>0</v>
      </c>
      <c r="F167" s="20" t="n">
        <f aca="false">травень!F167</f>
        <v>0</v>
      </c>
      <c r="G167" s="21" t="n">
        <f aca="false">травень!G167</f>
        <v>62.4</v>
      </c>
      <c r="H167" s="21" t="n">
        <f aca="false">травень!H167</f>
        <v>0</v>
      </c>
      <c r="I167" s="22" t="n">
        <f aca="false">травень!I167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3200.61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травень!B168</f>
        <v>Кузьома Г.І.</v>
      </c>
      <c r="C168" s="18" t="str">
        <f aca="false">травень!C168</f>
        <v>50160</v>
      </c>
      <c r="D168" s="19" t="n">
        <f aca="false">травень!P168</f>
        <v>0</v>
      </c>
      <c r="E168" s="19" t="n">
        <f aca="false">травень!Q168</f>
        <v>108.97</v>
      </c>
      <c r="F168" s="20" t="n">
        <f aca="false">травень!F168</f>
        <v>0</v>
      </c>
      <c r="G168" s="21" t="n">
        <f aca="false">травень!G168</f>
        <v>65.5</v>
      </c>
      <c r="H168" s="21" t="n">
        <f aca="false">травень!H168</f>
        <v>0</v>
      </c>
      <c r="I168" s="22" t="n">
        <f aca="false">травень!I168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159.58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травень!B169</f>
        <v>Павленко В.М.</v>
      </c>
      <c r="C169" s="18" t="str">
        <f aca="false">травень!C169</f>
        <v>50161</v>
      </c>
      <c r="D169" s="19" t="n">
        <f aca="false">травень!P169</f>
        <v>3480.75</v>
      </c>
      <c r="E169" s="19" t="n">
        <f aca="false">травень!Q169</f>
        <v>0</v>
      </c>
      <c r="F169" s="20" t="n">
        <f aca="false">травень!F169</f>
        <v>0</v>
      </c>
      <c r="G169" s="21" t="n">
        <f aca="false">травень!G169</f>
        <v>49.94</v>
      </c>
      <c r="H169" s="21" t="n">
        <f aca="false">травень!H169</f>
        <v>0</v>
      </c>
      <c r="I169" s="22" t="n">
        <f aca="false">травень!I169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3685.5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травень!B170</f>
        <v>Качуровська С.А.</v>
      </c>
      <c r="C170" s="18" t="str">
        <f aca="false">травень!C170</f>
        <v>50162</v>
      </c>
      <c r="D170" s="19" t="n">
        <f aca="false">травень!P170</f>
        <v>132.16</v>
      </c>
      <c r="E170" s="19" t="n">
        <f aca="false">травень!Q170</f>
        <v>0</v>
      </c>
      <c r="F170" s="20" t="n">
        <f aca="false">травень!F170</f>
        <v>0</v>
      </c>
      <c r="G170" s="21" t="n">
        <f aca="false">травень!G170</f>
        <v>35</v>
      </c>
      <c r="H170" s="21" t="n">
        <f aca="false">травень!H170</f>
        <v>0</v>
      </c>
      <c r="I170" s="22" t="n">
        <f aca="false">травень!I170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 t="n">
        <v>150</v>
      </c>
      <c r="P170" s="25" t="n">
        <f aca="false">IF(D170=0,IF((N170-E170-O170)&gt;0,(N170-E170-O170),0),IF((D170+N170-O170)&gt;0,(D170+N170-O170),0))</f>
        <v>125.66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травень!B171</f>
        <v>Білецький Б.Г.</v>
      </c>
      <c r="C171" s="18" t="str">
        <f aca="false">травень!C171</f>
        <v>50163</v>
      </c>
      <c r="D171" s="19" t="n">
        <f aca="false">травень!P171</f>
        <v>255.68</v>
      </c>
      <c r="E171" s="19" t="n">
        <f aca="false">травень!Q171</f>
        <v>0</v>
      </c>
      <c r="F171" s="20" t="n">
        <f aca="false">травень!F171</f>
        <v>0</v>
      </c>
      <c r="G171" s="21" t="n">
        <f aca="false">травень!G171</f>
        <v>62.36</v>
      </c>
      <c r="H171" s="21" t="n">
        <f aca="false">травень!H171</f>
        <v>0</v>
      </c>
      <c r="I171" s="22" t="n">
        <f aca="false">травень!I171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травень!B172</f>
        <v>Кузнєцова В.В.</v>
      </c>
      <c r="C172" s="18" t="str">
        <f aca="false">травень!C172</f>
        <v>50164</v>
      </c>
      <c r="D172" s="19" t="n">
        <f aca="false">травень!P172</f>
        <v>1883.64</v>
      </c>
      <c r="E172" s="19" t="n">
        <f aca="false">травень!Q172</f>
        <v>0</v>
      </c>
      <c r="F172" s="20" t="n">
        <f aca="false">травень!F172</f>
        <v>0</v>
      </c>
      <c r="G172" s="21" t="n">
        <f aca="false">травень!G172</f>
        <v>65.63</v>
      </c>
      <c r="H172" s="21" t="n">
        <f aca="false">травень!H172</f>
        <v>0</v>
      </c>
      <c r="I172" s="22" t="n">
        <f aca="false">травень!I172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2152.72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травень!B173</f>
        <v>Сидоренко Б.Й.</v>
      </c>
      <c r="C173" s="18" t="str">
        <f aca="false">травень!C173</f>
        <v>50165</v>
      </c>
      <c r="D173" s="19" t="n">
        <f aca="false">травень!P173</f>
        <v>9848.57</v>
      </c>
      <c r="E173" s="19" t="n">
        <f aca="false">травень!Q173</f>
        <v>0</v>
      </c>
      <c r="F173" s="20" t="n">
        <f aca="false">травень!F173</f>
        <v>0</v>
      </c>
      <c r="G173" s="21" t="n">
        <f aca="false">травень!G173</f>
        <v>49.8</v>
      </c>
      <c r="H173" s="21" t="n">
        <f aca="false">травень!H173</f>
        <v>0</v>
      </c>
      <c r="I173" s="22" t="n">
        <f aca="false">травень!I173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10052.75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травень!B174</f>
        <v>Кузнєцова О.А.</v>
      </c>
      <c r="C174" s="18" t="str">
        <f aca="false">травень!C174</f>
        <v>50166</v>
      </c>
      <c r="D174" s="19" t="n">
        <f aca="false">травень!P174</f>
        <v>861</v>
      </c>
      <c r="E174" s="19" t="n">
        <f aca="false">травень!Q174</f>
        <v>0</v>
      </c>
      <c r="F174" s="20" t="n">
        <f aca="false">травень!F174</f>
        <v>0</v>
      </c>
      <c r="G174" s="21" t="n">
        <f aca="false">травень!G174</f>
        <v>35</v>
      </c>
      <c r="H174" s="21" t="n">
        <f aca="false">травень!H174</f>
        <v>0</v>
      </c>
      <c r="I174" s="22" t="n">
        <f aca="false">травень!I174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1004.5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травень!B175</f>
        <v>Васильєва О.Г.</v>
      </c>
      <c r="C175" s="18" t="str">
        <f aca="false">травень!C175</f>
        <v>50167</v>
      </c>
      <c r="D175" s="19" t="n">
        <f aca="false">травень!P175</f>
        <v>4283.58</v>
      </c>
      <c r="E175" s="19" t="n">
        <f aca="false">травень!Q175</f>
        <v>0</v>
      </c>
      <c r="F175" s="20" t="n">
        <f aca="false">травень!F175</f>
        <v>0</v>
      </c>
      <c r="G175" s="21" t="n">
        <f aca="false">травень!G175</f>
        <v>61.7</v>
      </c>
      <c r="H175" s="21" t="n">
        <f aca="false">травень!H175</f>
        <v>0</v>
      </c>
      <c r="I175" s="22" t="n">
        <f aca="false">травень!I175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4536.55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травень!B176</f>
        <v>Кудінова Л.М.</v>
      </c>
      <c r="C176" s="18" t="str">
        <f aca="false">травень!C176</f>
        <v>50168</v>
      </c>
      <c r="D176" s="19" t="n">
        <f aca="false">травень!P176</f>
        <v>1587.55</v>
      </c>
      <c r="E176" s="19" t="n">
        <f aca="false">травень!Q176</f>
        <v>0</v>
      </c>
      <c r="F176" s="20" t="n">
        <f aca="false">травень!F176</f>
        <v>0</v>
      </c>
      <c r="G176" s="21" t="n">
        <f aca="false">травень!G176</f>
        <v>65.58</v>
      </c>
      <c r="H176" s="21" t="n">
        <f aca="false">травень!H176</f>
        <v>0</v>
      </c>
      <c r="I176" s="22" t="n">
        <f aca="false">травень!I176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1856.43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травень!B177</f>
        <v>Спільний І.В.</v>
      </c>
      <c r="C177" s="18" t="str">
        <f aca="false">травень!C177</f>
        <v>50169</v>
      </c>
      <c r="D177" s="19" t="n">
        <f aca="false">травень!P177</f>
        <v>0</v>
      </c>
      <c r="E177" s="19" t="n">
        <f aca="false">травень!Q177</f>
        <v>636.98</v>
      </c>
      <c r="F177" s="20" t="n">
        <f aca="false">травень!F177</f>
        <v>0</v>
      </c>
      <c r="G177" s="21" t="n">
        <f aca="false">травень!G177</f>
        <v>49.5</v>
      </c>
      <c r="H177" s="21" t="n">
        <f aca="false">травень!H177</f>
        <v>0</v>
      </c>
      <c r="I177" s="22" t="n">
        <f aca="false">травень!I177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0</v>
      </c>
      <c r="Q177" s="25" t="n">
        <f aca="false">IF(E177=0,IF((D177+N177-O177)&lt;0,ABS(D177+N177-O177),0),IF((N177-E177-O177)&lt;0,ABS(N177-E177-O177),0))</f>
        <v>434.03</v>
      </c>
    </row>
    <row r="178" customFormat="false" ht="15" hidden="false" customHeight="false" outlineLevel="0" collapsed="false">
      <c r="A178" s="17" t="s">
        <v>530</v>
      </c>
      <c r="B178" s="18" t="str">
        <f aca="false">травень!B178</f>
        <v>Кружаліна Т.А.</v>
      </c>
      <c r="C178" s="18" t="str">
        <f aca="false">травень!C178</f>
        <v>50170</v>
      </c>
      <c r="D178" s="19" t="n">
        <f aca="false">травень!P178</f>
        <v>0</v>
      </c>
      <c r="E178" s="19" t="n">
        <f aca="false">травень!Q178</f>
        <v>212.179999999999</v>
      </c>
      <c r="F178" s="20" t="n">
        <f aca="false">травень!F178</f>
        <v>0</v>
      </c>
      <c r="G178" s="21" t="n">
        <f aca="false">травень!G178</f>
        <v>35.1</v>
      </c>
      <c r="H178" s="21" t="n">
        <f aca="false">травень!H178</f>
        <v>0</v>
      </c>
      <c r="I178" s="22" t="n">
        <f aca="false">травень!I178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0</v>
      </c>
      <c r="Q178" s="25" t="n">
        <f aca="false">IF(E178=0,IF((D178+N178-O178)&lt;0,ABS(D178+N178-O178),0),IF((N178-E178-O178)&lt;0,ABS(N178-E178-O178),0))</f>
        <v>68.2699999999986</v>
      </c>
    </row>
    <row r="179" customFormat="false" ht="15" hidden="false" customHeight="false" outlineLevel="0" collapsed="false">
      <c r="A179" s="17" t="s">
        <v>533</v>
      </c>
      <c r="B179" s="18" t="str">
        <f aca="false">травень!B179</f>
        <v>Григоренко Н.Е.</v>
      </c>
      <c r="C179" s="18" t="str">
        <f aca="false">травень!C179</f>
        <v>50171</v>
      </c>
      <c r="D179" s="19" t="n">
        <f aca="false">травень!P179</f>
        <v>2514.74</v>
      </c>
      <c r="E179" s="19" t="n">
        <f aca="false">травень!Q179</f>
        <v>0</v>
      </c>
      <c r="F179" s="20" t="n">
        <f aca="false">травень!F179</f>
        <v>0</v>
      </c>
      <c r="G179" s="21" t="n">
        <f aca="false">травень!G179</f>
        <v>62.91</v>
      </c>
      <c r="H179" s="21" t="n">
        <f aca="false">травень!H179</f>
        <v>0</v>
      </c>
      <c r="I179" s="22" t="n">
        <f aca="false">травень!I179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 t="n">
        <f aca="false">214.74+300+201.5+205</f>
        <v>921.24</v>
      </c>
      <c r="P179" s="25" t="n">
        <f aca="false">IF(D179=0,IF((N179-E179-O179)&gt;0,(N179-E179-O179),0),IF((D179+N179-O179)&gt;0,(D179+N179-O179),0))</f>
        <v>1851.43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травень!B180</f>
        <v>Бондарчук В.В.</v>
      </c>
      <c r="C180" s="18" t="str">
        <f aca="false">травень!C180</f>
        <v>50172</v>
      </c>
      <c r="D180" s="19" t="n">
        <f aca="false">травень!P180</f>
        <v>0</v>
      </c>
      <c r="E180" s="19" t="n">
        <f aca="false">травень!Q180</f>
        <v>270.719999999999</v>
      </c>
      <c r="F180" s="20" t="n">
        <f aca="false">травень!F180</f>
        <v>0</v>
      </c>
      <c r="G180" s="21" t="n">
        <f aca="false">травень!G180</f>
        <v>66.03</v>
      </c>
      <c r="H180" s="21" t="n">
        <f aca="false">травень!H180</f>
        <v>0</v>
      </c>
      <c r="I180" s="22" t="n">
        <f aca="false">травень!I180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 t="n">
        <v>812.16</v>
      </c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812.16</v>
      </c>
    </row>
    <row r="181" customFormat="false" ht="15" hidden="false" customHeight="false" outlineLevel="0" collapsed="false">
      <c r="A181" s="17" t="s">
        <v>539</v>
      </c>
      <c r="B181" s="18" t="str">
        <f aca="false">травень!B181</f>
        <v>Рябініна Н.І.</v>
      </c>
      <c r="C181" s="18" t="str">
        <f aca="false">травень!C181</f>
        <v>50173</v>
      </c>
      <c r="D181" s="19" t="n">
        <f aca="false">травень!P181</f>
        <v>1773.44</v>
      </c>
      <c r="E181" s="19" t="n">
        <f aca="false">травень!Q181</f>
        <v>0</v>
      </c>
      <c r="F181" s="20" t="n">
        <f aca="false">травень!F181</f>
        <v>0</v>
      </c>
      <c r="G181" s="21" t="n">
        <f aca="false">травень!G181</f>
        <v>49.9</v>
      </c>
      <c r="H181" s="21" t="n">
        <f aca="false">травень!H181</f>
        <v>0</v>
      </c>
      <c r="I181" s="22" t="n">
        <f aca="false">травень!I181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 t="n">
        <v>500</v>
      </c>
      <c r="P181" s="25" t="n">
        <f aca="false">IF(D181=0,IF((N181-E181-O181)&gt;0,(N181-E181-O181),0),IF((D181+N181-O181)&gt;0,(D181+N181-O181),0))</f>
        <v>1478.03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травень!B182</f>
        <v>Шапіро В.І.</v>
      </c>
      <c r="C182" s="18" t="str">
        <f aca="false">травень!C182</f>
        <v>50174</v>
      </c>
      <c r="D182" s="19" t="n">
        <f aca="false">травень!P182</f>
        <v>143.17</v>
      </c>
      <c r="E182" s="19" t="n">
        <f aca="false">травень!Q182</f>
        <v>0</v>
      </c>
      <c r="F182" s="20" t="n">
        <f aca="false">травень!F182</f>
        <v>0</v>
      </c>
      <c r="G182" s="21" t="n">
        <f aca="false">травень!G182</f>
        <v>34.92</v>
      </c>
      <c r="H182" s="21" t="n">
        <f aca="false">травень!H182</f>
        <v>0</v>
      </c>
      <c r="I182" s="22" t="n">
        <f aca="false">травень!I182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травень!B183</f>
        <v>Крамаренко О.О.</v>
      </c>
      <c r="C183" s="18" t="str">
        <f aca="false">травень!C183</f>
        <v>50175</v>
      </c>
      <c r="D183" s="19" t="n">
        <f aca="false">травень!P183</f>
        <v>1055.39</v>
      </c>
      <c r="E183" s="19" t="n">
        <f aca="false">травень!Q183</f>
        <v>0</v>
      </c>
      <c r="F183" s="20" t="n">
        <f aca="false">травень!F183</f>
        <v>0</v>
      </c>
      <c r="G183" s="21" t="n">
        <f aca="false">травень!G183</f>
        <v>61.91</v>
      </c>
      <c r="H183" s="21" t="n">
        <f aca="false">травень!H183</f>
        <v>0</v>
      </c>
      <c r="I183" s="22" t="n">
        <f aca="false">травень!I183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1309.22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травень!B184</f>
        <v>Свиридов В.Ф.</v>
      </c>
      <c r="C184" s="18" t="str">
        <f aca="false">травень!C184</f>
        <v>50176</v>
      </c>
      <c r="D184" s="19" t="n">
        <f aca="false">травень!P184</f>
        <v>3793.39</v>
      </c>
      <c r="E184" s="19" t="n">
        <f aca="false">травень!Q184</f>
        <v>0</v>
      </c>
      <c r="F184" s="20" t="n">
        <f aca="false">травень!F184</f>
        <v>0</v>
      </c>
      <c r="G184" s="21" t="n">
        <f aca="false">травень!G184</f>
        <v>65.15</v>
      </c>
      <c r="H184" s="21" t="n">
        <f aca="false">травень!H184</f>
        <v>0</v>
      </c>
      <c r="I184" s="22" t="n">
        <f aca="false">травень!I184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4060.51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травень!B185</f>
        <v>Домацький В.А.</v>
      </c>
      <c r="C185" s="18" t="str">
        <f aca="false">травень!C185</f>
        <v>50177</v>
      </c>
      <c r="D185" s="19" t="n">
        <f aca="false">травень!P185</f>
        <v>2664.98</v>
      </c>
      <c r="E185" s="19" t="n">
        <f aca="false">травень!Q185</f>
        <v>0</v>
      </c>
      <c r="F185" s="20" t="n">
        <f aca="false">травень!F185</f>
        <v>0</v>
      </c>
      <c r="G185" s="21" t="n">
        <f aca="false">травень!G185</f>
        <v>50</v>
      </c>
      <c r="H185" s="21" t="n">
        <f aca="false">травень!H185</f>
        <v>0</v>
      </c>
      <c r="I185" s="22" t="n">
        <f aca="false">травень!I185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2869.98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травень!B186</f>
        <v>Шаповалова І.А.</v>
      </c>
      <c r="C186" s="18" t="str">
        <f aca="false">травень!C186</f>
        <v>50178</v>
      </c>
      <c r="D186" s="19" t="n">
        <f aca="false">травень!P186</f>
        <v>1726.2</v>
      </c>
      <c r="E186" s="19" t="n">
        <f aca="false">травень!Q186</f>
        <v>0</v>
      </c>
      <c r="F186" s="20" t="n">
        <f aca="false">травень!F186</f>
        <v>0</v>
      </c>
      <c r="G186" s="21" t="n">
        <f aca="false">травень!G186</f>
        <v>35.1</v>
      </c>
      <c r="H186" s="21" t="n">
        <f aca="false">травень!H186</f>
        <v>0</v>
      </c>
      <c r="I186" s="22" t="n">
        <f aca="false">травень!I186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1870.11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травень!B187</f>
        <v>Кононенко О.В.</v>
      </c>
      <c r="C187" s="18" t="str">
        <f aca="false">травень!C187</f>
        <v>50179</v>
      </c>
      <c r="D187" s="19" t="n">
        <f aca="false">травень!P187</f>
        <v>4306.85</v>
      </c>
      <c r="E187" s="19" t="n">
        <f aca="false">травень!Q187</f>
        <v>0</v>
      </c>
      <c r="F187" s="20" t="n">
        <f aca="false">травень!F187</f>
        <v>0</v>
      </c>
      <c r="G187" s="21" t="n">
        <f aca="false">травень!G187</f>
        <v>61.8</v>
      </c>
      <c r="H187" s="21" t="n">
        <f aca="false">травень!H187</f>
        <v>0</v>
      </c>
      <c r="I187" s="22" t="n">
        <f aca="false">травень!I187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4560.23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травень!B188</f>
        <v>Овчаренко Т.І.</v>
      </c>
      <c r="C188" s="18" t="str">
        <f aca="false">травень!C188</f>
        <v>60180</v>
      </c>
      <c r="D188" s="19" t="n">
        <f aca="false">травень!P188</f>
        <v>682.38</v>
      </c>
      <c r="E188" s="19" t="n">
        <f aca="false">травень!Q188</f>
        <v>0</v>
      </c>
      <c r="F188" s="20" t="n">
        <f aca="false">травень!F188</f>
        <v>0</v>
      </c>
      <c r="G188" s="21" t="n">
        <f aca="false">травень!G188</f>
        <v>71.06</v>
      </c>
      <c r="H188" s="21" t="n">
        <f aca="false">травень!H188</f>
        <v>0</v>
      </c>
      <c r="I188" s="22" t="n">
        <f aca="false">травень!I188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973.73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травень!B189</f>
        <v>Попукайло О.Г.</v>
      </c>
      <c r="C189" s="18" t="str">
        <f aca="false">травень!C189</f>
        <v>60181</v>
      </c>
      <c r="D189" s="19" t="n">
        <f aca="false">травень!P189</f>
        <v>1007.6</v>
      </c>
      <c r="E189" s="19" t="n">
        <f aca="false">травень!Q189</f>
        <v>0</v>
      </c>
      <c r="F189" s="20" t="n">
        <f aca="false">травень!F189</f>
        <v>0</v>
      </c>
      <c r="G189" s="21" t="n">
        <f aca="false">травень!G189</f>
        <v>49.15</v>
      </c>
      <c r="H189" s="21" t="n">
        <f aca="false">травень!H189</f>
        <v>0</v>
      </c>
      <c r="I189" s="22" t="n">
        <f aca="false">травень!I189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1209.12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травень!B190</f>
        <v>Онищенко А.В.</v>
      </c>
      <c r="C190" s="18" t="str">
        <f aca="false">травень!C190</f>
        <v>60182</v>
      </c>
      <c r="D190" s="19" t="n">
        <f aca="false">травень!P190</f>
        <v>1146.53</v>
      </c>
      <c r="E190" s="19" t="n">
        <f aca="false">травень!Q190</f>
        <v>0</v>
      </c>
      <c r="F190" s="20" t="n">
        <f aca="false">травень!F190</f>
        <v>0</v>
      </c>
      <c r="G190" s="21" t="n">
        <f aca="false">травень!G190</f>
        <v>53.72</v>
      </c>
      <c r="H190" s="21" t="n">
        <f aca="false">травень!H190</f>
        <v>0</v>
      </c>
      <c r="I190" s="22" t="n">
        <f aca="false">травень!I190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1366.78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травень!B191</f>
        <v>Соколова О.О.</v>
      </c>
      <c r="C191" s="18" t="str">
        <f aca="false">травень!C191</f>
        <v>60183</v>
      </c>
      <c r="D191" s="19" t="n">
        <f aca="false">травень!P191</f>
        <v>0</v>
      </c>
      <c r="E191" s="19" t="n">
        <f aca="false">травень!Q191</f>
        <v>18.380000000001</v>
      </c>
      <c r="F191" s="20" t="n">
        <f aca="false">травень!F191</f>
        <v>0</v>
      </c>
      <c r="G191" s="21" t="n">
        <f aca="false">травень!G191</f>
        <v>68.97</v>
      </c>
      <c r="H191" s="21" t="n">
        <f aca="false">травень!H191</f>
        <v>0</v>
      </c>
      <c r="I191" s="22" t="n">
        <f aca="false">травень!I191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 t="n">
        <v>849</v>
      </c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584.600000000001</v>
      </c>
    </row>
    <row r="192" customFormat="false" ht="15" hidden="false" customHeight="false" outlineLevel="0" collapsed="false">
      <c r="A192" s="17" t="s">
        <v>572</v>
      </c>
      <c r="B192" s="18" t="str">
        <f aca="false">травень!B192</f>
        <v>Ільіна В.П.</v>
      </c>
      <c r="C192" s="18" t="str">
        <f aca="false">травень!C192</f>
        <v>60184</v>
      </c>
      <c r="D192" s="19" t="n">
        <f aca="false">травень!P192</f>
        <v>5110.75</v>
      </c>
      <c r="E192" s="19" t="n">
        <f aca="false">травень!Q192</f>
        <v>0</v>
      </c>
      <c r="F192" s="20" t="n">
        <f aca="false">травень!F192</f>
        <v>0</v>
      </c>
      <c r="G192" s="21" t="n">
        <f aca="false">травень!G192</f>
        <v>49.86</v>
      </c>
      <c r="H192" s="21" t="n">
        <f aca="false">травень!H192</f>
        <v>0</v>
      </c>
      <c r="I192" s="22" t="n">
        <f aca="false">травень!I192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5315.18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травень!B193</f>
        <v>Чешок Г.К.</v>
      </c>
      <c r="C193" s="18" t="str">
        <f aca="false">травень!C193</f>
        <v>60185</v>
      </c>
      <c r="D193" s="19" t="n">
        <f aca="false">травень!P193</f>
        <v>4151.02</v>
      </c>
      <c r="E193" s="19" t="n">
        <f aca="false">травень!Q193</f>
        <v>0</v>
      </c>
      <c r="F193" s="20" t="n">
        <f aca="false">травень!F193</f>
        <v>0</v>
      </c>
      <c r="G193" s="21" t="n">
        <f aca="false">травень!G193</f>
        <v>60.86</v>
      </c>
      <c r="H193" s="21" t="n">
        <f aca="false">травень!H193</f>
        <v>0</v>
      </c>
      <c r="I193" s="22" t="n">
        <f aca="false">травень!I193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4400.55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травень!B194</f>
        <v>Бердников В.А.</v>
      </c>
      <c r="C194" s="18" t="str">
        <f aca="false">травень!C194</f>
        <v>60186</v>
      </c>
      <c r="D194" s="19" t="n">
        <f aca="false">травень!P194</f>
        <v>1918.03</v>
      </c>
      <c r="E194" s="19" t="n">
        <f aca="false">травень!Q194</f>
        <v>0</v>
      </c>
      <c r="F194" s="20" t="n">
        <f aca="false">травень!F194</f>
        <v>0</v>
      </c>
      <c r="G194" s="21" t="n">
        <f aca="false">травень!G194</f>
        <v>66.75</v>
      </c>
      <c r="H194" s="21" t="n">
        <f aca="false">травень!H194</f>
        <v>0</v>
      </c>
      <c r="I194" s="22" t="n">
        <f aca="false">травень!I194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2191.71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травень!B195</f>
        <v>Щербак Н.В.</v>
      </c>
      <c r="C195" s="18" t="str">
        <f aca="false">травень!C195</f>
        <v>60187</v>
      </c>
      <c r="D195" s="19" t="n">
        <f aca="false">травень!P195</f>
        <v>3863.63</v>
      </c>
      <c r="E195" s="19" t="n">
        <f aca="false">травень!Q195</f>
        <v>0</v>
      </c>
      <c r="F195" s="20" t="n">
        <f aca="false">травень!F195</f>
        <v>0</v>
      </c>
      <c r="G195" s="21" t="n">
        <f aca="false">травень!G195</f>
        <v>72.49</v>
      </c>
      <c r="H195" s="21" t="n">
        <f aca="false">травень!H195</f>
        <v>0</v>
      </c>
      <c r="I195" s="22" t="n">
        <f aca="false">травень!I195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4160.84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травень!B196</f>
        <v>Рожков Ю.М.</v>
      </c>
      <c r="C196" s="18" t="str">
        <f aca="false">травень!C196</f>
        <v>60188</v>
      </c>
      <c r="D196" s="19" t="n">
        <f aca="false">травень!P196</f>
        <v>992.6</v>
      </c>
      <c r="E196" s="19" t="n">
        <f aca="false">травень!Q196</f>
        <v>0</v>
      </c>
      <c r="F196" s="20" t="n">
        <f aca="false">травень!F196</f>
        <v>0</v>
      </c>
      <c r="G196" s="21" t="n">
        <f aca="false">травень!G196</f>
        <v>49.8</v>
      </c>
      <c r="H196" s="21" t="n">
        <f aca="false">травень!H196</f>
        <v>0</v>
      </c>
      <c r="I196" s="22" t="n">
        <f aca="false">травень!I196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1196.78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травень!B197</f>
        <v>Кобець В.В.</v>
      </c>
      <c r="C197" s="18" t="str">
        <f aca="false">травень!C197</f>
        <v>60189</v>
      </c>
      <c r="D197" s="19" t="n">
        <f aca="false">травень!P197</f>
        <v>2313.19</v>
      </c>
      <c r="E197" s="19" t="n">
        <f aca="false">травень!Q197</f>
        <v>0</v>
      </c>
      <c r="F197" s="20" t="n">
        <f aca="false">травень!F197</f>
        <v>0</v>
      </c>
      <c r="G197" s="21" t="n">
        <f aca="false">травень!G197</f>
        <v>62.36</v>
      </c>
      <c r="H197" s="21" t="n">
        <f aca="false">травень!H197</f>
        <v>0</v>
      </c>
      <c r="I197" s="22" t="n">
        <f aca="false">травень!I197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2568.87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травень!B198</f>
        <v>Щерба Л.О.</v>
      </c>
      <c r="C198" s="18" t="str">
        <f aca="false">травень!C198</f>
        <v>60190</v>
      </c>
      <c r="D198" s="19" t="n">
        <f aca="false">травень!P198</f>
        <v>3534.65</v>
      </c>
      <c r="E198" s="19" t="n">
        <f aca="false">травень!Q198</f>
        <v>0</v>
      </c>
      <c r="F198" s="20" t="n">
        <f aca="false">травень!F198</f>
        <v>0</v>
      </c>
      <c r="G198" s="21" t="n">
        <f aca="false">травень!G198</f>
        <v>68.5</v>
      </c>
      <c r="H198" s="21" t="n">
        <f aca="false">травень!H198</f>
        <v>0</v>
      </c>
      <c r="I198" s="22" t="n">
        <f aca="false">травень!I198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3815.5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травень!B199</f>
        <v>Сапунова І.В.</v>
      </c>
      <c r="C199" s="18" t="str">
        <f aca="false">травень!C199</f>
        <v>60191</v>
      </c>
      <c r="D199" s="19" t="n">
        <f aca="false">травень!P199</f>
        <v>2062</v>
      </c>
      <c r="E199" s="19" t="n">
        <f aca="false">травень!Q199</f>
        <v>0</v>
      </c>
      <c r="F199" s="20" t="n">
        <f aca="false">травень!F199</f>
        <v>0</v>
      </c>
      <c r="G199" s="21" t="n">
        <f aca="false">травень!G199</f>
        <v>70.42</v>
      </c>
      <c r="H199" s="21" t="n">
        <f aca="false">травень!H199</f>
        <v>0</v>
      </c>
      <c r="I199" s="22" t="n">
        <f aca="false">травень!I199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2350.72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травень!B200</f>
        <v>Саввідіс В.О.</v>
      </c>
      <c r="C200" s="18" t="str">
        <f aca="false">травень!C200</f>
        <v>60192</v>
      </c>
      <c r="D200" s="19" t="n">
        <f aca="false">травень!P200</f>
        <v>3761.87</v>
      </c>
      <c r="E200" s="19" t="n">
        <f aca="false">травень!Q200</f>
        <v>0</v>
      </c>
      <c r="F200" s="20" t="n">
        <f aca="false">травень!F200</f>
        <v>0</v>
      </c>
      <c r="G200" s="21" t="n">
        <f aca="false">травень!G200</f>
        <v>49.7</v>
      </c>
      <c r="H200" s="21" t="n">
        <f aca="false">травень!H200</f>
        <v>0</v>
      </c>
      <c r="I200" s="22" t="n">
        <f aca="false">травень!I200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3965.64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травень!B201</f>
        <v>Кашина Г.І.</v>
      </c>
      <c r="C201" s="18" t="str">
        <f aca="false">травень!C201</f>
        <v>60193</v>
      </c>
      <c r="D201" s="19" t="n">
        <f aca="false">травень!P201</f>
        <v>4106.56</v>
      </c>
      <c r="E201" s="19" t="n">
        <f aca="false">травень!Q201</f>
        <v>0</v>
      </c>
      <c r="F201" s="20" t="n">
        <f aca="false">травень!F201</f>
        <v>0</v>
      </c>
      <c r="G201" s="21" t="n">
        <f aca="false">травень!G201</f>
        <v>62.6</v>
      </c>
      <c r="H201" s="21" t="n">
        <f aca="false">травень!H201</f>
        <v>0</v>
      </c>
      <c r="I201" s="22" t="n">
        <f aca="false">травень!I201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4363.22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травень!B202</f>
        <v>Фадеєва Є.А.</v>
      </c>
      <c r="C202" s="18" t="str">
        <f aca="false">травень!C202</f>
        <v>60194</v>
      </c>
      <c r="D202" s="19" t="n">
        <f aca="false">травень!P202</f>
        <v>3463.68</v>
      </c>
      <c r="E202" s="19" t="n">
        <f aca="false">травень!Q202</f>
        <v>0</v>
      </c>
      <c r="F202" s="20" t="n">
        <f aca="false">травень!F202</f>
        <v>0</v>
      </c>
      <c r="G202" s="21" t="n">
        <f aca="false">травень!G202</f>
        <v>70.4</v>
      </c>
      <c r="H202" s="21" t="n">
        <f aca="false">травень!H202</f>
        <v>0</v>
      </c>
      <c r="I202" s="22" t="n">
        <f aca="false">травень!I202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3752.32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травень!B203</f>
        <v>Бойко О.А.</v>
      </c>
      <c r="C203" s="18" t="str">
        <f aca="false">травень!C203</f>
        <v>60195</v>
      </c>
      <c r="D203" s="19" t="n">
        <f aca="false">травень!P203</f>
        <v>3732.51</v>
      </c>
      <c r="E203" s="19" t="n">
        <f aca="false">травень!Q203</f>
        <v>0</v>
      </c>
      <c r="F203" s="20" t="n">
        <f aca="false">травень!F203</f>
        <v>0</v>
      </c>
      <c r="G203" s="21" t="n">
        <f aca="false">травень!G203</f>
        <v>70.2</v>
      </c>
      <c r="H203" s="21" t="n">
        <f aca="false">травень!H203</f>
        <v>0</v>
      </c>
      <c r="I203" s="22" t="n">
        <f aca="false">травень!I203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4020.33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травень!B204</f>
        <v>Дудник І.А.</v>
      </c>
      <c r="C204" s="18" t="str">
        <f aca="false">травень!C204</f>
        <v>60196</v>
      </c>
      <c r="D204" s="19" t="n">
        <f aca="false">травень!P204</f>
        <v>2713.02</v>
      </c>
      <c r="E204" s="19" t="n">
        <f aca="false">травень!Q204</f>
        <v>0</v>
      </c>
      <c r="F204" s="20" t="n">
        <f aca="false">травень!F204</f>
        <v>0</v>
      </c>
      <c r="G204" s="21" t="n">
        <f aca="false">травень!G204</f>
        <v>49.94</v>
      </c>
      <c r="H204" s="21" t="n">
        <f aca="false">травень!H204</f>
        <v>0</v>
      </c>
      <c r="I204" s="22" t="n">
        <f aca="false">травень!I204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2917.77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травень!B205</f>
        <v>Лебедєва Т.В.</v>
      </c>
      <c r="C205" s="18" t="str">
        <f aca="false">травень!C205</f>
        <v>60197</v>
      </c>
      <c r="D205" s="19" t="n">
        <f aca="false">травень!P205</f>
        <v>2038.87</v>
      </c>
      <c r="E205" s="19" t="n">
        <f aca="false">травень!Q205</f>
        <v>0</v>
      </c>
      <c r="F205" s="20" t="n">
        <f aca="false">травень!F205</f>
        <v>0</v>
      </c>
      <c r="G205" s="21" t="n">
        <f aca="false">травень!G205</f>
        <v>62.3</v>
      </c>
      <c r="H205" s="21" t="n">
        <f aca="false">травень!H205</f>
        <v>0</v>
      </c>
      <c r="I205" s="22" t="n">
        <f aca="false">травень!I205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2294.3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травень!B206</f>
        <v>Криницький Л.С.</v>
      </c>
      <c r="C206" s="18" t="str">
        <f aca="false">травень!C206</f>
        <v>60198</v>
      </c>
      <c r="D206" s="19" t="n">
        <f aca="false">травень!P206</f>
        <v>1.13686837721616E-013</v>
      </c>
      <c r="E206" s="19" t="n">
        <f aca="false">травень!Q206</f>
        <v>0</v>
      </c>
      <c r="F206" s="20" t="n">
        <f aca="false">травень!F206</f>
        <v>0</v>
      </c>
      <c r="G206" s="21" t="n">
        <f aca="false">травень!G206</f>
        <v>67.61</v>
      </c>
      <c r="H206" s="21" t="n">
        <f aca="false">травень!H206</f>
        <v>0</v>
      </c>
      <c r="I206" s="22" t="n">
        <f aca="false">травень!I206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 t="n">
        <v>554.4</v>
      </c>
      <c r="P206" s="25" t="n">
        <f aca="false">IF(D206=0,IF((N206-E206-O206)&gt;0,(N206-E206-O206),0),IF((D206+N206-O206)&gt;0,(D206+N206-O206),0))</f>
        <v>0</v>
      </c>
      <c r="Q206" s="25" t="n">
        <f aca="false">IF(E206=0,IF((D206+N206-O206)&lt;0,ABS(D206+N206-O206),0),IF((N206-E206-O206)&lt;0,ABS(N206-E206-O206),0))</f>
        <v>277.2</v>
      </c>
    </row>
    <row r="207" customFormat="false" ht="15" hidden="false" customHeight="false" outlineLevel="0" collapsed="false">
      <c r="A207" s="17" t="s">
        <v>617</v>
      </c>
      <c r="B207" s="18" t="str">
        <f aca="false">травень!B207</f>
        <v>Сафонов В.В.</v>
      </c>
      <c r="C207" s="18" t="str">
        <f aca="false">травень!C207</f>
        <v>60199</v>
      </c>
      <c r="D207" s="19" t="n">
        <f aca="false">травень!P207</f>
        <v>3360.54</v>
      </c>
      <c r="E207" s="19" t="n">
        <f aca="false">травень!Q207</f>
        <v>0</v>
      </c>
      <c r="F207" s="20" t="n">
        <f aca="false">травень!F207</f>
        <v>0</v>
      </c>
      <c r="G207" s="21" t="n">
        <f aca="false">травень!G207</f>
        <v>70.38</v>
      </c>
      <c r="H207" s="21" t="n">
        <f aca="false">травень!H207</f>
        <v>0</v>
      </c>
      <c r="I207" s="22" t="n">
        <f aca="false">травень!I207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3649.1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травень!B208</f>
        <v>Мільковська Р.Г.</v>
      </c>
      <c r="C208" s="18" t="str">
        <f aca="false">травень!C208</f>
        <v>60200</v>
      </c>
      <c r="D208" s="19" t="n">
        <f aca="false">травень!P208</f>
        <v>2492.09</v>
      </c>
      <c r="E208" s="19" t="n">
        <f aca="false">травень!Q208</f>
        <v>0</v>
      </c>
      <c r="F208" s="20" t="n">
        <f aca="false">травень!F208</f>
        <v>0</v>
      </c>
      <c r="G208" s="21" t="n">
        <f aca="false">травень!G208</f>
        <v>49.88</v>
      </c>
      <c r="H208" s="21" t="n">
        <f aca="false">травень!H208</f>
        <v>0</v>
      </c>
      <c r="I208" s="22" t="n">
        <f aca="false">травень!I208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2696.6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травень!B209</f>
        <v>Заранкін С.М.</v>
      </c>
      <c r="C209" s="18" t="str">
        <f aca="false">травень!C209</f>
        <v>60201</v>
      </c>
      <c r="D209" s="19" t="n">
        <f aca="false">травень!P209</f>
        <v>2240.64</v>
      </c>
      <c r="E209" s="19" t="n">
        <f aca="false">травень!Q209</f>
        <v>0</v>
      </c>
      <c r="F209" s="20" t="n">
        <f aca="false">травень!F209</f>
        <v>0</v>
      </c>
      <c r="G209" s="21" t="n">
        <f aca="false">травень!G209</f>
        <v>62.02</v>
      </c>
      <c r="H209" s="21" t="n">
        <f aca="false">травень!H209</f>
        <v>0</v>
      </c>
      <c r="I209" s="22" t="n">
        <f aca="false">травень!I209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2494.92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травень!B210</f>
        <v>Сіянко О.М.</v>
      </c>
      <c r="C210" s="18" t="str">
        <f aca="false">травень!C210</f>
        <v>60202</v>
      </c>
      <c r="D210" s="19" t="n">
        <f aca="false">травень!P210</f>
        <v>3032.51</v>
      </c>
      <c r="E210" s="19" t="n">
        <f aca="false">травень!Q210</f>
        <v>0</v>
      </c>
      <c r="F210" s="20" t="n">
        <f aca="false">травень!F210</f>
        <v>0</v>
      </c>
      <c r="G210" s="21" t="n">
        <f aca="false">травень!G210</f>
        <v>67.6</v>
      </c>
      <c r="H210" s="21" t="n">
        <f aca="false">травень!H210</f>
        <v>0</v>
      </c>
      <c r="I210" s="22" t="n">
        <f aca="false">травень!I210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3309.67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травень!B211</f>
        <v>Осипов В.В.</v>
      </c>
      <c r="C211" s="18" t="str">
        <f aca="false">травень!C211</f>
        <v>60203</v>
      </c>
      <c r="D211" s="19" t="n">
        <f aca="false">травень!P211</f>
        <v>4908.24</v>
      </c>
      <c r="E211" s="19" t="n">
        <f aca="false">травень!Q211</f>
        <v>0</v>
      </c>
      <c r="F211" s="20" t="n">
        <f aca="false">травень!F211</f>
        <v>0</v>
      </c>
      <c r="G211" s="21" t="n">
        <f aca="false">травень!G211</f>
        <v>70.42</v>
      </c>
      <c r="H211" s="21" t="n">
        <f aca="false">травень!H211</f>
        <v>0</v>
      </c>
      <c r="I211" s="22" t="n">
        <f aca="false">травень!I211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5196.96000000001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травень!B212</f>
        <v>Перепьолкін А.Л.</v>
      </c>
      <c r="C212" s="18" t="str">
        <f aca="false">травень!C212</f>
        <v>60204</v>
      </c>
      <c r="D212" s="19" t="n">
        <f aca="false">травень!P212</f>
        <v>785.46</v>
      </c>
      <c r="E212" s="19" t="n">
        <f aca="false">травень!Q212</f>
        <v>0</v>
      </c>
      <c r="F212" s="20" t="n">
        <f aca="false">травень!F212</f>
        <v>0</v>
      </c>
      <c r="G212" s="21" t="n">
        <f aca="false">травень!G212</f>
        <v>49.8</v>
      </c>
      <c r="H212" s="21" t="n">
        <f aca="false">травень!H212</f>
        <v>0</v>
      </c>
      <c r="I212" s="22" t="n">
        <f aca="false">травень!I212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 t="n">
        <v>204.18</v>
      </c>
      <c r="P212" s="25" t="n">
        <f aca="false">IF(D212=0,IF((N212-E212-O212)&gt;0,(N212-E212-O212),0),IF((D212+N212-O212)&gt;0,(D212+N212-O212),0))</f>
        <v>785.46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травень!B213</f>
        <v>Синегрибова В.В.</v>
      </c>
      <c r="C213" s="18" t="str">
        <f aca="false">травень!C213</f>
        <v>60205</v>
      </c>
      <c r="D213" s="19" t="n">
        <f aca="false">травень!P213</f>
        <v>4586.35</v>
      </c>
      <c r="E213" s="19" t="n">
        <f aca="false">травень!Q213</f>
        <v>0</v>
      </c>
      <c r="F213" s="20" t="n">
        <f aca="false">травень!F213</f>
        <v>0</v>
      </c>
      <c r="G213" s="21" t="n">
        <f aca="false">травень!G213</f>
        <v>62.7</v>
      </c>
      <c r="H213" s="21" t="n">
        <f aca="false">травень!H213</f>
        <v>0</v>
      </c>
      <c r="I213" s="22" t="n">
        <f aca="false">травень!I213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4843.42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травень!B214</f>
        <v>Юдін М.В.</v>
      </c>
      <c r="C214" s="18" t="str">
        <f aca="false">травень!C214</f>
        <v>60206</v>
      </c>
      <c r="D214" s="19" t="n">
        <f aca="false">травень!P214</f>
        <v>204</v>
      </c>
      <c r="E214" s="19" t="n">
        <f aca="false">травень!Q214</f>
        <v>0</v>
      </c>
      <c r="F214" s="20" t="n">
        <f aca="false">травень!F214</f>
        <v>0</v>
      </c>
      <c r="G214" s="21" t="n">
        <f aca="false">травень!G214</f>
        <v>68</v>
      </c>
      <c r="H214" s="21" t="n">
        <f aca="false">травень!H214</f>
        <v>0</v>
      </c>
      <c r="I214" s="22" t="n">
        <f aca="false">травень!I214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травень!B215</f>
        <v>Сергєєва Н.О.</v>
      </c>
      <c r="C215" s="18" t="str">
        <f aca="false">травень!C215</f>
        <v>60207</v>
      </c>
      <c r="D215" s="19" t="n">
        <f aca="false">травень!P215</f>
        <v>201.910000000001</v>
      </c>
      <c r="E215" s="19" t="n">
        <f aca="false">травень!Q215</f>
        <v>0</v>
      </c>
      <c r="F215" s="20" t="n">
        <f aca="false">травень!F215</f>
        <v>0</v>
      </c>
      <c r="G215" s="21" t="n">
        <f aca="false">травень!G215</f>
        <v>72.1</v>
      </c>
      <c r="H215" s="21" t="n">
        <f aca="false">травень!H215</f>
        <v>0</v>
      </c>
      <c r="I215" s="22" t="n">
        <f aca="false">травень!I215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 t="n">
        <v>300</v>
      </c>
      <c r="P215" s="25" t="n">
        <f aca="false">IF(D215=0,IF((N215-E215-O215)&gt;0,(N215-E215-O215),0),IF((D215+N215-O215)&gt;0,(D215+N215-O215),0))</f>
        <v>197.520000000001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травень!B216</f>
        <v>Рева І.П.</v>
      </c>
      <c r="C216" s="18" t="str">
        <f aca="false">травень!C216</f>
        <v>60208</v>
      </c>
      <c r="D216" s="19" t="n">
        <f aca="false">травень!P216</f>
        <v>1823.15</v>
      </c>
      <c r="E216" s="19" t="n">
        <f aca="false">травень!Q216</f>
        <v>0</v>
      </c>
      <c r="F216" s="20" t="n">
        <f aca="false">травень!F216</f>
        <v>0</v>
      </c>
      <c r="G216" s="21" t="n">
        <f aca="false">травень!G216</f>
        <v>49.72</v>
      </c>
      <c r="H216" s="21" t="n">
        <f aca="false">травень!H216</f>
        <v>0</v>
      </c>
      <c r="I216" s="22" t="n">
        <f aca="false">травень!I216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2027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травень!B217</f>
        <v>Почапський Ю.Т.</v>
      </c>
      <c r="C217" s="18" t="str">
        <f aca="false">травень!C217</f>
        <v>60209</v>
      </c>
      <c r="D217" s="19" t="n">
        <f aca="false">травень!P217</f>
        <v>247.49</v>
      </c>
      <c r="E217" s="19" t="n">
        <f aca="false">травень!Q217</f>
        <v>0</v>
      </c>
      <c r="F217" s="20" t="n">
        <f aca="false">травень!F217</f>
        <v>0</v>
      </c>
      <c r="G217" s="21" t="n">
        <f aca="false">травень!G217</f>
        <v>62.39</v>
      </c>
      <c r="H217" s="21" t="n">
        <f aca="false">травень!H217</f>
        <v>0</v>
      </c>
      <c r="I217" s="22" t="n">
        <f aca="false">травень!I217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 t="n">
        <v>256</v>
      </c>
      <c r="P217" s="25" t="n">
        <f aca="false">IF(D217=0,IF((N217-E217-O217)&gt;0,(N217-E217-O217),0),IF((D217+N217-O217)&gt;0,(D217+N217-O217),0))</f>
        <v>247.29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травень!B218</f>
        <v>Васильченко М.П.</v>
      </c>
      <c r="C218" s="18" t="str">
        <f aca="false">травень!C218</f>
        <v>60210</v>
      </c>
      <c r="D218" s="19" t="n">
        <f aca="false">травень!P218</f>
        <v>4140.6</v>
      </c>
      <c r="E218" s="19" t="n">
        <f aca="false">травень!Q218</f>
        <v>0</v>
      </c>
      <c r="F218" s="20" t="n">
        <f aca="false">травень!F218</f>
        <v>0</v>
      </c>
      <c r="G218" s="21" t="n">
        <f aca="false">травень!G218</f>
        <v>67.47</v>
      </c>
      <c r="H218" s="21" t="n">
        <f aca="false">травень!H218</f>
        <v>0</v>
      </c>
      <c r="I218" s="22" t="n">
        <f aca="false">травень!I218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4417.23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травень!B219</f>
        <v>Черненко Т.А.</v>
      </c>
      <c r="C219" s="18" t="str">
        <f aca="false">травень!C219</f>
        <v>60211</v>
      </c>
      <c r="D219" s="19" t="n">
        <f aca="false">травень!P219</f>
        <v>3625.88</v>
      </c>
      <c r="E219" s="19" t="n">
        <f aca="false">травень!Q219</f>
        <v>0</v>
      </c>
      <c r="F219" s="20" t="n">
        <f aca="false">травень!F219</f>
        <v>0</v>
      </c>
      <c r="G219" s="21" t="n">
        <f aca="false">травень!G219</f>
        <v>70.41</v>
      </c>
      <c r="H219" s="21" t="n">
        <f aca="false">травень!H219</f>
        <v>0</v>
      </c>
      <c r="I219" s="22" t="n">
        <f aca="false">травень!I219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3914.56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травень!B220</f>
        <v>Сиротенко Я.О.</v>
      </c>
      <c r="C220" s="18" t="str">
        <f aca="false">травень!C220</f>
        <v>60212</v>
      </c>
      <c r="D220" s="19" t="n">
        <f aca="false">травень!P220</f>
        <v>2177.86</v>
      </c>
      <c r="E220" s="19" t="n">
        <f aca="false">травень!Q220</f>
        <v>0</v>
      </c>
      <c r="F220" s="20" t="n">
        <f aca="false">травень!F220</f>
        <v>0</v>
      </c>
      <c r="G220" s="21" t="n">
        <f aca="false">травень!G220</f>
        <v>49.73</v>
      </c>
      <c r="H220" s="21" t="n">
        <f aca="false">травень!H220</f>
        <v>0</v>
      </c>
      <c r="I220" s="22" t="n">
        <f aca="false">травень!I220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2381.75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травень!B221</f>
        <v>Корнюшенко О.О.</v>
      </c>
      <c r="C221" s="18" t="str">
        <f aca="false">травень!C221</f>
        <v>60213</v>
      </c>
      <c r="D221" s="28" t="n">
        <f aca="false">травень!P221</f>
        <v>5644.6</v>
      </c>
      <c r="E221" s="29" t="n">
        <f aca="false">травень!Q221</f>
        <v>0</v>
      </c>
      <c r="F221" s="20" t="n">
        <f aca="false">травень!F221</f>
        <v>0</v>
      </c>
      <c r="G221" s="21" t="n">
        <f aca="false">травень!G221</f>
        <v>62</v>
      </c>
      <c r="H221" s="21" t="n">
        <f aca="false">травень!H221</f>
        <v>0</v>
      </c>
      <c r="I221" s="22" t="n">
        <f aca="false">травень!I221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5898.8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428806.17</v>
      </c>
      <c r="E222" s="33" t="n">
        <f aca="false">SUM(E7:E221)</f>
        <v>8680.11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22808.34</v>
      </c>
      <c r="P222" s="39" t="n">
        <f aca="false">SUM(P7:P221)</f>
        <v>453352.83</v>
      </c>
      <c r="Q222" s="33" t="n">
        <f aca="false">SUM(Q7:Q221)</f>
        <v>8260.12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420126.06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445092.71</v>
      </c>
      <c r="Q223" s="41"/>
    </row>
    <row r="225" customFormat="false" ht="15" hidden="false" customHeight="false" outlineLevel="0" collapsed="false">
      <c r="U225" s="42" t="n">
        <f aca="false">[1]червень!$F$83</f>
        <v>22808.34</v>
      </c>
    </row>
    <row r="227" customFormat="false" ht="15" hidden="false" customHeight="false" outlineLevel="0" collapsed="false">
      <c r="U227" s="42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32">
      <formula>0</formula>
    </cfRule>
  </conditionalFormatting>
  <conditionalFormatting sqref="L2:L5 M4:M89 N2:Q89 L7:L221 M90:Q221 D2:K221">
    <cfRule type="cellIs" priority="3" operator="equal" aboveAverage="0" equalAverage="0" bottom="0" percent="0" rank="0" text="" dxfId="33">
      <formula>0</formula>
    </cfRule>
  </conditionalFormatting>
  <conditionalFormatting sqref="J4:Q5 D4:E5 F4:I4 F9:I9 D9:E10 J9:O10">
    <cfRule type="cellIs" priority="4" operator="equal" aboveAverage="0" equalAverage="0" bottom="0" percent="0" rank="0" text="" dxfId="34">
      <formula>0</formula>
    </cfRule>
  </conditionalFormatting>
  <conditionalFormatting sqref="L2:L5 M4:M221 L7:L221 N2:Q221 D2:K221">
    <cfRule type="cellIs" priority="5" operator="equal" aboveAverage="0" equalAverage="0" bottom="0" percent="0" rank="0" text="" dxfId="35">
      <formula>0</formula>
    </cfRule>
  </conditionalFormatting>
  <conditionalFormatting sqref="J4:Q5 D4:E5 F4:I4 O214:O215 O15:O16 O21:O22 O27:O28 O33 O36:O37 O63:O64 O42:O43 O69:O70 O48:O49 O75:O76 O54:O55 O60 O83:O84 O89 O94:O95 O100:O101 O106 F9:I9 D9:E10 J9:O10">
    <cfRule type="cellIs" priority="6" operator="equal" aboveAverage="0" equalAverage="0" bottom="0" percent="0" rank="0" text="" dxfId="36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37">
      <formula>0</formula>
    </cfRule>
  </conditionalFormatting>
  <printOptions headings="false" gridLines="false" gridLinesSet="true" horizontalCentered="true" verticalCentered="false"/>
  <pageMargins left="0" right="0" top="0.39375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9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14"/>
    <col collapsed="false" customWidth="true" hidden="false" outlineLevel="0" max="3" min="3" style="0" width="7.86"/>
    <col collapsed="false" customWidth="true" hidden="false" outlineLevel="0" max="5" min="5" style="0" width="8.42"/>
    <col collapsed="false" customWidth="true" hidden="false" outlineLevel="0" max="6" min="6" style="0" width="4.42"/>
    <col collapsed="false" customWidth="true" hidden="false" outlineLevel="0" max="7" min="7" style="0" width="8"/>
    <col collapsed="false" customWidth="true" hidden="false" outlineLevel="0" max="8" min="8" style="0" width="5.86"/>
    <col collapsed="false" customWidth="true" hidden="false" outlineLevel="0" max="9" min="9" style="0" width="5.42"/>
    <col collapsed="false" customWidth="true" hidden="false" outlineLevel="0" max="11" min="11" style="0" width="7.15"/>
    <col collapsed="false" customWidth="true" hidden="false" outlineLevel="0" max="12" min="12" style="0" width="7.57"/>
    <col collapsed="false" customWidth="true" hidden="false" outlineLevel="0" max="13" min="13" style="0" width="6.29"/>
    <col collapsed="false" customWidth="true" hidden="false" outlineLevel="0" max="14" min="14" style="0" width="9.14"/>
    <col collapsed="false" customWidth="true" hidden="false" outlineLevel="0" max="15" min="15" style="0" width="9.57"/>
    <col collapsed="false" customWidth="true" hidden="false" outlineLevel="0" max="20" min="20" style="0" width="10"/>
    <col collapsed="false" customWidth="true" hidden="false" outlineLevel="0" max="21" min="21" style="0" width="12.42"/>
  </cols>
  <sheetData>
    <row r="1" customFormat="false" ht="27" hidden="false" customHeight="tru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669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2.7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I5" s="2"/>
    </row>
    <row r="6" customFormat="false" ht="77.1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червень!B7</f>
        <v>Бережний В.М.</v>
      </c>
      <c r="C7" s="18" t="str">
        <f aca="false">червень!C7</f>
        <v>1001</v>
      </c>
      <c r="D7" s="19" t="n">
        <f aca="false">червень!P7</f>
        <v>632.050000000002</v>
      </c>
      <c r="E7" s="19" t="n">
        <f aca="false">червень!Q7</f>
        <v>0</v>
      </c>
      <c r="F7" s="20" t="n">
        <f aca="false">червень!F7</f>
        <v>0</v>
      </c>
      <c r="G7" s="21" t="n">
        <f aca="false">червень!G7</f>
        <v>64.26</v>
      </c>
      <c r="H7" s="21" t="n">
        <f aca="false">червень!H7</f>
        <v>0</v>
      </c>
      <c r="I7" s="22" t="n">
        <f aca="false">червень!I7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895.520000000002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червень!B8</f>
        <v>Старикова Т.О.</v>
      </c>
      <c r="C8" s="18" t="str">
        <f aca="false">червень!C8</f>
        <v>1002</v>
      </c>
      <c r="D8" s="19" t="n">
        <f aca="false">червень!P8</f>
        <v>3522.32</v>
      </c>
      <c r="E8" s="19" t="n">
        <f aca="false">червень!Q8</f>
        <v>0</v>
      </c>
      <c r="F8" s="20" t="n">
        <f aca="false">червень!F8</f>
        <v>0</v>
      </c>
      <c r="G8" s="21" t="n">
        <f aca="false">червень!G8</f>
        <v>48.71</v>
      </c>
      <c r="H8" s="21" t="n">
        <f aca="false">червень!H8</f>
        <v>0</v>
      </c>
      <c r="I8" s="22" t="n">
        <f aca="false">червень!I8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3722.03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червень!B9</f>
        <v>Мазур Т.В.</v>
      </c>
      <c r="C9" s="18" t="str">
        <f aca="false">червень!C9</f>
        <v>1003</v>
      </c>
      <c r="D9" s="19" t="n">
        <f aca="false">червень!P9</f>
        <v>155</v>
      </c>
      <c r="E9" s="19" t="n">
        <f aca="false">червень!Q9</f>
        <v>0</v>
      </c>
      <c r="F9" s="20" t="n">
        <f aca="false">червень!F9</f>
        <v>0</v>
      </c>
      <c r="G9" s="21" t="n">
        <f aca="false">червень!G9</f>
        <v>35</v>
      </c>
      <c r="H9" s="21" t="n">
        <f aca="false">червень!H9</f>
        <v>0</v>
      </c>
      <c r="I9" s="22" t="n">
        <f aca="false">червень!I9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 t="n">
        <v>144.5</v>
      </c>
      <c r="P9" s="25" t="n">
        <f aca="false">IF(D9=0,IF((N9-E9-O9)&gt;0,(N9-E9-O9),0),IF((D9+N9-O9)&gt;0,(D9+N9-O9),0))</f>
        <v>154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червень!B10</f>
        <v>Сокол О.В.</v>
      </c>
      <c r="C10" s="18" t="str">
        <f aca="false">червень!C10</f>
        <v>1004</v>
      </c>
      <c r="D10" s="19" t="n">
        <f aca="false">червень!P10</f>
        <v>0</v>
      </c>
      <c r="E10" s="19" t="n">
        <f aca="false">червень!Q10</f>
        <v>252.59</v>
      </c>
      <c r="F10" s="20" t="n">
        <f aca="false">червень!F10</f>
        <v>0</v>
      </c>
      <c r="G10" s="21" t="n">
        <f aca="false">червень!G10</f>
        <v>61.6</v>
      </c>
      <c r="H10" s="21" t="n">
        <f aca="false">червень!H10</f>
        <v>0</v>
      </c>
      <c r="I10" s="22" t="n">
        <f aca="false">червень!I10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 t="n">
        <v>252.56</v>
      </c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252.59</v>
      </c>
    </row>
    <row r="11" customFormat="false" ht="15" hidden="false" customHeight="false" outlineLevel="0" collapsed="false">
      <c r="A11" s="17" t="s">
        <v>31</v>
      </c>
      <c r="B11" s="18" t="str">
        <f aca="false">червень!B11</f>
        <v>Семко Л.І.</v>
      </c>
      <c r="C11" s="18" t="str">
        <f aca="false">червень!C11</f>
        <v>1005</v>
      </c>
      <c r="D11" s="19" t="n">
        <f aca="false">червень!P11</f>
        <v>0</v>
      </c>
      <c r="E11" s="19" t="n">
        <f aca="false">червень!Q11</f>
        <v>141.829999999999</v>
      </c>
      <c r="F11" s="20" t="n">
        <f aca="false">червень!F11</f>
        <v>0</v>
      </c>
      <c r="G11" s="21" t="n">
        <f aca="false">червень!G11</f>
        <v>28.34</v>
      </c>
      <c r="H11" s="21" t="n">
        <f aca="false">червень!H11</f>
        <v>0</v>
      </c>
      <c r="I11" s="22" t="n">
        <f aca="false">червень!I11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0</v>
      </c>
      <c r="Q11" s="25" t="n">
        <f aca="false">IF(E11=0,IF((D11+N11-O11)&lt;0,ABS(D11+N11-O11),0),IF((N11-E11-O11)&lt;0,ABS(N11-E11-O11),0))</f>
        <v>25.6399999999994</v>
      </c>
    </row>
    <row r="12" customFormat="false" ht="15" hidden="false" customHeight="false" outlineLevel="0" collapsed="false">
      <c r="A12" s="17" t="s">
        <v>31</v>
      </c>
      <c r="B12" s="18" t="str">
        <f aca="false">червень!B12</f>
        <v>Гаркуша Н.І.</v>
      </c>
      <c r="C12" s="18" t="str">
        <f aca="false">червень!C12</f>
        <v>1005-а</v>
      </c>
      <c r="D12" s="19" t="n">
        <f aca="false">червень!P12</f>
        <v>199.960000000001</v>
      </c>
      <c r="E12" s="19" t="n">
        <f aca="false">червень!Q12</f>
        <v>0</v>
      </c>
      <c r="F12" s="20" t="n">
        <f aca="false">червень!F12</f>
        <v>0</v>
      </c>
      <c r="G12" s="21" t="n">
        <f aca="false">червень!G12</f>
        <v>36.66</v>
      </c>
      <c r="H12" s="21" t="n">
        <f aca="false">червень!H12</f>
        <v>0</v>
      </c>
      <c r="I12" s="22" t="n">
        <f aca="false">червень!I12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350.270000000001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червень!B13</f>
        <v>Андріяшев В.М</v>
      </c>
      <c r="C13" s="18" t="str">
        <f aca="false">червень!C13</f>
        <v>1006</v>
      </c>
      <c r="D13" s="19" t="n">
        <f aca="false">червень!P13</f>
        <v>29.1600000000004</v>
      </c>
      <c r="E13" s="19" t="n">
        <f aca="false">червень!Q13</f>
        <v>0</v>
      </c>
      <c r="F13" s="20" t="n">
        <f aca="false">червень!F13</f>
        <v>0</v>
      </c>
      <c r="G13" s="21" t="n">
        <f aca="false">червень!G13</f>
        <v>49.8</v>
      </c>
      <c r="H13" s="21" t="n">
        <f aca="false">червень!H13</f>
        <v>0</v>
      </c>
      <c r="I13" s="22" t="n">
        <f aca="false">червень!I13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 t="n">
        <v>205</v>
      </c>
      <c r="P13" s="25" t="n">
        <f aca="false">IF(D13=0,IF((N13-E13-O13)&gt;0,(N13-E13-O13),0),IF((D13+N13-O13)&gt;0,(D13+N13-O13),0))</f>
        <v>28.3400000000004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червень!B14</f>
        <v>Старчикова О.М.</v>
      </c>
      <c r="C14" s="18" t="str">
        <f aca="false">червень!C14</f>
        <v>1007</v>
      </c>
      <c r="D14" s="19" t="n">
        <f aca="false">червень!P14</f>
        <v>140.26</v>
      </c>
      <c r="E14" s="19" t="n">
        <f aca="false">червень!Q14</f>
        <v>0</v>
      </c>
      <c r="F14" s="20" t="n">
        <f aca="false">червень!F14</f>
        <v>0</v>
      </c>
      <c r="G14" s="21" t="n">
        <f aca="false">червень!G14</f>
        <v>34.65</v>
      </c>
      <c r="H14" s="21" t="n">
        <f aca="false">червень!H14</f>
        <v>0</v>
      </c>
      <c r="I14" s="22" t="n">
        <f aca="false">червень!I14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143</v>
      </c>
      <c r="P14" s="25" t="n">
        <f aca="false">IF(D14=0,IF((N14-E14-O14)&gt;0,(N14-E14-O14),0),IF((D14+N14-O14)&gt;0,(D14+N14-O14),0))</f>
        <v>139.33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червень!B15</f>
        <v>Безер Т.М</v>
      </c>
      <c r="C15" s="18" t="str">
        <f aca="false">червень!C15</f>
        <v>1008</v>
      </c>
      <c r="D15" s="19" t="n">
        <f aca="false">червень!P15</f>
        <v>224.87</v>
      </c>
      <c r="E15" s="19" t="n">
        <f aca="false">червень!Q15</f>
        <v>0</v>
      </c>
      <c r="F15" s="20" t="n">
        <f aca="false">червень!F15</f>
        <v>0</v>
      </c>
      <c r="G15" s="21" t="n">
        <f aca="false">червень!G15</f>
        <v>62.14</v>
      </c>
      <c r="H15" s="21" t="n">
        <f aca="false">червень!H15</f>
        <v>0</v>
      </c>
      <c r="I15" s="22" t="n">
        <f aca="false">червень!I15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 t="n">
        <v>510</v>
      </c>
      <c r="P15" s="25" t="n">
        <f aca="false">IF(D15=0,IF((N15-E15-O15)&gt;0,(N15-E15-O15),0),IF((D15+N15-O15)&gt;0,(D15+N15-O15),0))</f>
        <v>0</v>
      </c>
      <c r="Q15" s="25" t="n">
        <f aca="false">IF(E15=0,IF((D15+N15-O15)&lt;0,ABS(D15+N15-O15),0),IF((N15-E15-O15)&lt;0,ABS(N15-E15-O15),0))</f>
        <v>30.3600000000001</v>
      </c>
    </row>
    <row r="16" customFormat="false" ht="15" hidden="false" customHeight="false" outlineLevel="0" collapsed="false">
      <c r="A16" s="17" t="s">
        <v>45</v>
      </c>
      <c r="B16" s="18" t="str">
        <f aca="false">червень!B16</f>
        <v>Решетило М.М</v>
      </c>
      <c r="C16" s="18" t="str">
        <f aca="false">червень!C16</f>
        <v>1009</v>
      </c>
      <c r="D16" s="19" t="n">
        <f aca="false">червень!P16</f>
        <v>308.919999999999</v>
      </c>
      <c r="E16" s="19" t="n">
        <f aca="false">червень!Q16</f>
        <v>0</v>
      </c>
      <c r="F16" s="20" t="n">
        <f aca="false">червень!F16</f>
        <v>0</v>
      </c>
      <c r="G16" s="21" t="n">
        <f aca="false">червень!G16</f>
        <v>65.16</v>
      </c>
      <c r="H16" s="21" t="n">
        <f aca="false">червень!H16</f>
        <v>0</v>
      </c>
      <c r="I16" s="22" t="n">
        <f aca="false">червень!I16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576.08</v>
      </c>
      <c r="Q16" s="25" t="n">
        <f aca="false">IF(E16=0,IF((D16+N16-O16)&lt;0,ABS(D16+N16-O16),0),IF((N16-E16-O16)&lt;0,ABS(N16-E16-O16),0))</f>
        <v>0</v>
      </c>
      <c r="T16" s="26"/>
    </row>
    <row r="17" customFormat="false" ht="15" hidden="false" customHeight="false" outlineLevel="0" collapsed="false">
      <c r="A17" s="17" t="s">
        <v>48</v>
      </c>
      <c r="B17" s="18" t="str">
        <f aca="false">червень!B17</f>
        <v>Фесенко О.В.</v>
      </c>
      <c r="C17" s="18" t="str">
        <f aca="false">червень!C17</f>
        <v>1010</v>
      </c>
      <c r="D17" s="19" t="n">
        <f aca="false">червень!P17</f>
        <v>2814.39</v>
      </c>
      <c r="E17" s="19" t="n">
        <f aca="false">червень!Q17</f>
        <v>0</v>
      </c>
      <c r="F17" s="20" t="n">
        <f aca="false">червень!F17</f>
        <v>0</v>
      </c>
      <c r="G17" s="21" t="n">
        <f aca="false">червень!G17</f>
        <v>50.1</v>
      </c>
      <c r="H17" s="21" t="n">
        <f aca="false">червень!H17</f>
        <v>0</v>
      </c>
      <c r="I17" s="22" t="n">
        <f aca="false">червень!I17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3019.8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червень!B18</f>
        <v>Петренко О.М.</v>
      </c>
      <c r="C18" s="18" t="str">
        <f aca="false">червень!C18</f>
        <v>1011</v>
      </c>
      <c r="D18" s="19" t="n">
        <f aca="false">червень!P18</f>
        <v>2218.6</v>
      </c>
      <c r="E18" s="19" t="n">
        <f aca="false">червень!Q18</f>
        <v>0</v>
      </c>
      <c r="F18" s="20" t="n">
        <f aca="false">червень!F18</f>
        <v>0</v>
      </c>
      <c r="G18" s="21" t="n">
        <f aca="false">червень!G18</f>
        <v>35.2</v>
      </c>
      <c r="H18" s="21" t="n">
        <f aca="false">червень!H18</f>
        <v>0</v>
      </c>
      <c r="I18" s="22" t="n">
        <f aca="false">червень!I18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 t="n">
        <v>1500</v>
      </c>
      <c r="P18" s="25" t="n">
        <f aca="false">IF(D18=0,IF((N18-E18-O18)&gt;0,(N18-E18-O18),0),IF((D18+N18-O18)&gt;0,(D18+N18-O18),0))</f>
        <v>862.92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червень!B19</f>
        <v>Зеленюк А.Д</v>
      </c>
      <c r="C19" s="18" t="str">
        <f aca="false">червень!C19</f>
        <v>1012</v>
      </c>
      <c r="D19" s="19" t="n">
        <f aca="false">червень!P19</f>
        <v>4457.61</v>
      </c>
      <c r="E19" s="19" t="n">
        <f aca="false">червень!Q19</f>
        <v>0</v>
      </c>
      <c r="F19" s="20" t="n">
        <f aca="false">червень!F19</f>
        <v>0</v>
      </c>
      <c r="G19" s="21" t="n">
        <f aca="false">червень!G19</f>
        <v>62.78</v>
      </c>
      <c r="H19" s="21" t="n">
        <f aca="false">червень!H19</f>
        <v>0</v>
      </c>
      <c r="I19" s="22" t="n">
        <f aca="false">червень!I19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4715.01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червень!B20</f>
        <v>Вовк І.В</v>
      </c>
      <c r="C20" s="18" t="str">
        <f aca="false">червень!C20</f>
        <v>1013</v>
      </c>
      <c r="D20" s="19" t="n">
        <f aca="false">червень!P20</f>
        <v>2831.31</v>
      </c>
      <c r="E20" s="19" t="n">
        <f aca="false">червень!Q20</f>
        <v>0</v>
      </c>
      <c r="F20" s="20" t="n">
        <f aca="false">червень!F20</f>
        <v>0</v>
      </c>
      <c r="G20" s="21" t="n">
        <f aca="false">червень!G20</f>
        <v>28.23</v>
      </c>
      <c r="H20" s="21" t="n">
        <f aca="false">червень!H20</f>
        <v>0</v>
      </c>
      <c r="I20" s="22" t="n">
        <f aca="false">червень!I20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2947.05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червень!B21</f>
        <v>Романовський В.М</v>
      </c>
      <c r="C21" s="18" t="str">
        <f aca="false">червень!C21</f>
        <v>1013-а</v>
      </c>
      <c r="D21" s="19" t="n">
        <f aca="false">червень!P21</f>
        <v>4188.74</v>
      </c>
      <c r="E21" s="19" t="n">
        <f aca="false">червень!Q21</f>
        <v>0</v>
      </c>
      <c r="F21" s="20" t="n">
        <f aca="false">червень!F21</f>
        <v>0</v>
      </c>
      <c r="G21" s="21" t="n">
        <f aca="false">червень!G21</f>
        <v>37.84</v>
      </c>
      <c r="H21" s="21" t="n">
        <f aca="false">червень!H21</f>
        <v>0</v>
      </c>
      <c r="I21" s="22" t="n">
        <f aca="false">червень!I21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4343.88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червень!B22</f>
        <v>Ряба Л.І</v>
      </c>
      <c r="C22" s="18" t="str">
        <f aca="false">червень!C22</f>
        <v>1014</v>
      </c>
      <c r="D22" s="19" t="n">
        <f aca="false">червень!P22</f>
        <v>1222.56</v>
      </c>
      <c r="E22" s="19" t="n">
        <f aca="false">червень!Q22</f>
        <v>0</v>
      </c>
      <c r="F22" s="20" t="n">
        <f aca="false">червень!F22</f>
        <v>0</v>
      </c>
      <c r="G22" s="21" t="n">
        <f aca="false">червень!G22</f>
        <v>49.24</v>
      </c>
      <c r="H22" s="21" t="n">
        <f aca="false">червень!H22</f>
        <v>0</v>
      </c>
      <c r="I22" s="22" t="n">
        <f aca="false">червень!I22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 t="n">
        <f aca="false">500+500</f>
        <v>1000</v>
      </c>
      <c r="P22" s="25" t="n">
        <f aca="false">IF(D22=0,IF((N22-E22-O22)&gt;0,(N22-E22-O22),0),IF((D22+N22-O22)&gt;0,(D22+N22-O22),0))</f>
        <v>424.440000000001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червень!B23</f>
        <v>Кас'янова О.А.</v>
      </c>
      <c r="C23" s="18" t="str">
        <f aca="false">червень!C23</f>
        <v>1015</v>
      </c>
      <c r="D23" s="19" t="n">
        <f aca="false">червень!P23</f>
        <v>1772.5</v>
      </c>
      <c r="E23" s="19" t="n">
        <f aca="false">червень!Q23</f>
        <v>0</v>
      </c>
      <c r="F23" s="20" t="n">
        <f aca="false">червень!F23</f>
        <v>0</v>
      </c>
      <c r="G23" s="21" t="n">
        <f aca="false">червень!G23</f>
        <v>35.1</v>
      </c>
      <c r="H23" s="21" t="n">
        <f aca="false">червень!H23</f>
        <v>0</v>
      </c>
      <c r="I23" s="22" t="n">
        <f aca="false">червень!I23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1916.41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червень!B24</f>
        <v>Корякіна М.В.</v>
      </c>
      <c r="C24" s="18" t="str">
        <f aca="false">червень!C24</f>
        <v>1016</v>
      </c>
      <c r="D24" s="19" t="n">
        <f aca="false">червень!P24</f>
        <v>1253.79</v>
      </c>
      <c r="E24" s="19" t="n">
        <f aca="false">червень!Q24</f>
        <v>0</v>
      </c>
      <c r="F24" s="20" t="n">
        <f aca="false">червень!F24</f>
        <v>0</v>
      </c>
      <c r="G24" s="21" t="n">
        <f aca="false">червень!G24</f>
        <v>61.9</v>
      </c>
      <c r="H24" s="21" t="n">
        <f aca="false">червень!H24</f>
        <v>0</v>
      </c>
      <c r="I24" s="22" t="n">
        <f aca="false">червень!I24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 t="n">
        <v>1000</v>
      </c>
      <c r="P24" s="25" t="n">
        <f aca="false">IF(D24=0,IF((N24-E24-O24)&gt;0,(N24-E24-O24),0),IF((D24+N24-O24)&gt;0,(D24+N24-O24),0))</f>
        <v>507.58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червень!B25</f>
        <v>Сокерчак А.В.</v>
      </c>
      <c r="C25" s="18" t="str">
        <f aca="false">червень!C25</f>
        <v>1017</v>
      </c>
      <c r="D25" s="19" t="n">
        <f aca="false">червень!P25</f>
        <v>815.489999999999</v>
      </c>
      <c r="E25" s="19" t="n">
        <f aca="false">червень!Q25</f>
        <v>0</v>
      </c>
      <c r="F25" s="20" t="n">
        <f aca="false">червень!F25</f>
        <v>0</v>
      </c>
      <c r="G25" s="21" t="n">
        <f aca="false">червень!G25</f>
        <v>66.3</v>
      </c>
      <c r="H25" s="21" t="n">
        <f aca="false">червень!H25</f>
        <v>0</v>
      </c>
      <c r="I25" s="22" t="n">
        <f aca="false">червень!I25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1087.32</v>
      </c>
      <c r="Q25" s="25" t="n">
        <f aca="false">IF(E25=0,IF((D25+N25-O25)&lt;0,ABS(D25+N25-O25),0),IF((N25-E25-O25)&lt;0,ABS(N25-E25-O25),0))</f>
        <v>0</v>
      </c>
    </row>
    <row r="26" customFormat="false" ht="15" hidden="false" customHeight="false" outlineLevel="0" collapsed="false">
      <c r="A26" s="17" t="s">
        <v>74</v>
      </c>
      <c r="B26" s="18" t="str">
        <f aca="false">червень!B26</f>
        <v>Кравченко В.А</v>
      </c>
      <c r="C26" s="18" t="str">
        <f aca="false">червень!C26</f>
        <v>1018</v>
      </c>
      <c r="D26" s="19" t="n">
        <f aca="false">червень!P26</f>
        <v>0</v>
      </c>
      <c r="E26" s="19" t="n">
        <f aca="false">червень!Q26</f>
        <v>561.79</v>
      </c>
      <c r="F26" s="20" t="n">
        <f aca="false">червень!F26</f>
        <v>0</v>
      </c>
      <c r="G26" s="21" t="n">
        <f aca="false">червень!G26</f>
        <v>51.48</v>
      </c>
      <c r="H26" s="21" t="n">
        <f aca="false">червень!H26</f>
        <v>0</v>
      </c>
      <c r="I26" s="22" t="n">
        <f aca="false">червень!I26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350.72</v>
      </c>
    </row>
    <row r="27" customFormat="false" ht="15" hidden="false" customHeight="false" outlineLevel="0" collapsed="false">
      <c r="A27" s="17" t="s">
        <v>77</v>
      </c>
      <c r="B27" s="18" t="str">
        <f aca="false">червень!B27</f>
        <v>Чичикало А.С</v>
      </c>
      <c r="C27" s="18" t="str">
        <f aca="false">червень!C27</f>
        <v>1019</v>
      </c>
      <c r="D27" s="19" t="n">
        <f aca="false">червень!P27</f>
        <v>361.84</v>
      </c>
      <c r="E27" s="19" t="n">
        <f aca="false">червень!Q27</f>
        <v>0</v>
      </c>
      <c r="F27" s="20" t="n">
        <f aca="false">червень!F27</f>
        <v>0</v>
      </c>
      <c r="G27" s="21" t="n">
        <f aca="false">червень!G27</f>
        <v>35.1</v>
      </c>
      <c r="H27" s="21" t="n">
        <f aca="false">червень!H27</f>
        <v>0</v>
      </c>
      <c r="I27" s="22" t="n">
        <f aca="false">червень!I27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 t="n">
        <v>250</v>
      </c>
      <c r="P27" s="25" t="n">
        <f aca="false">IF(D27=0,IF((N27-E27-O27)&gt;0,(N27-E27-O27),0),IF((D27+N27-O27)&gt;0,(D27+N27-O27),0))</f>
        <v>255.75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червень!B28</f>
        <v>Сільващук А.А</v>
      </c>
      <c r="C28" s="18" t="str">
        <f aca="false">червень!C28</f>
        <v>1020</v>
      </c>
      <c r="D28" s="19" t="n">
        <f aca="false">червень!P28</f>
        <v>257.069999999999</v>
      </c>
      <c r="E28" s="19" t="n">
        <f aca="false">червень!Q28</f>
        <v>0</v>
      </c>
      <c r="F28" s="20" t="n">
        <f aca="false">червень!F28</f>
        <v>0</v>
      </c>
      <c r="G28" s="21" t="n">
        <f aca="false">червень!G28</f>
        <v>62.7</v>
      </c>
      <c r="H28" s="21" t="n">
        <f aca="false">червень!H28</f>
        <v>0</v>
      </c>
      <c r="I28" s="22" t="n">
        <f aca="false">червень!I28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 t="n">
        <v>771.21</v>
      </c>
      <c r="P28" s="25" t="n">
        <f aca="false">IF(D28=0,IF((N28-E28-O28)&gt;0,(N28-E28-O28),0),IF((D28+N28-O28)&gt;0,(D28+N28-O28),0))</f>
        <v>0</v>
      </c>
      <c r="Q28" s="25" t="n">
        <f aca="false">IF(E28=0,IF((D28+N28-O28)&lt;0,ABS(D28+N28-O28),0),IF((N28-E28-O28)&lt;0,ABS(N28-E28-O28),0))</f>
        <v>257.070000000001</v>
      </c>
    </row>
    <row r="29" customFormat="false" ht="15" hidden="false" customHeight="false" outlineLevel="0" collapsed="false">
      <c r="A29" s="17" t="s">
        <v>83</v>
      </c>
      <c r="B29" s="18" t="str">
        <f aca="false">червень!B29</f>
        <v>Стеценко Г.М</v>
      </c>
      <c r="C29" s="18" t="str">
        <f aca="false">червень!C29</f>
        <v>1021</v>
      </c>
      <c r="D29" s="19" t="n">
        <f aca="false">червень!P29</f>
        <v>1410.59</v>
      </c>
      <c r="E29" s="19" t="n">
        <f aca="false">червень!Q29</f>
        <v>0</v>
      </c>
      <c r="F29" s="20" t="n">
        <f aca="false">червень!F29</f>
        <v>0</v>
      </c>
      <c r="G29" s="21" t="n">
        <f aca="false">червень!G29</f>
        <v>65.32</v>
      </c>
      <c r="H29" s="21" t="n">
        <f aca="false">червень!H29</f>
        <v>0</v>
      </c>
      <c r="I29" s="22" t="n">
        <f aca="false">червень!I29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 t="n">
        <v>500</v>
      </c>
      <c r="P29" s="25" t="n">
        <f aca="false">IF(D29=0,IF((N29-E29-O29)&gt;0,(N29-E29-O29),0),IF((D29+N29-O29)&gt;0,(D29+N29-O29),0))</f>
        <v>1178.4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червень!B30</f>
        <v>Кирдячкіна П.А</v>
      </c>
      <c r="C30" s="18" t="str">
        <f aca="false">червень!C30</f>
        <v>1022</v>
      </c>
      <c r="D30" s="19" t="n">
        <f aca="false">червень!P30</f>
        <v>722.78</v>
      </c>
      <c r="E30" s="19" t="n">
        <f aca="false">червень!Q30</f>
        <v>0</v>
      </c>
      <c r="F30" s="20" t="n">
        <f aca="false">червень!F30</f>
        <v>0</v>
      </c>
      <c r="G30" s="21" t="n">
        <f aca="false">червень!G30</f>
        <v>49.7</v>
      </c>
      <c r="H30" s="21" t="n">
        <f aca="false">червень!H30</f>
        <v>0</v>
      </c>
      <c r="I30" s="22" t="n">
        <f aca="false">червень!I30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926.55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червень!B31</f>
        <v>Фоміченко Л.А</v>
      </c>
      <c r="C31" s="18" t="str">
        <f aca="false">червень!C31</f>
        <v>1023</v>
      </c>
      <c r="D31" s="19" t="n">
        <f aca="false">червень!P31</f>
        <v>863.46</v>
      </c>
      <c r="E31" s="19" t="n">
        <f aca="false">червень!Q31</f>
        <v>0</v>
      </c>
      <c r="F31" s="20" t="n">
        <f aca="false">червень!F31</f>
        <v>0</v>
      </c>
      <c r="G31" s="21" t="n">
        <f aca="false">червень!G31</f>
        <v>35.1</v>
      </c>
      <c r="H31" s="21" t="n">
        <f aca="false">червень!H31</f>
        <v>0</v>
      </c>
      <c r="I31" s="22" t="n">
        <f aca="false">червень!I31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1007.37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червень!B32</f>
        <v>Сердюк А.Г</v>
      </c>
      <c r="C32" s="18" t="str">
        <f aca="false">червень!C32</f>
        <v>1024</v>
      </c>
      <c r="D32" s="19" t="n">
        <f aca="false">червень!P32</f>
        <v>1261.43</v>
      </c>
      <c r="E32" s="19" t="n">
        <f aca="false">червень!Q32</f>
        <v>0</v>
      </c>
      <c r="F32" s="20" t="n">
        <f aca="false">червень!F32</f>
        <v>0</v>
      </c>
      <c r="G32" s="21" t="n">
        <f aca="false">червень!G32</f>
        <v>62.31</v>
      </c>
      <c r="H32" s="21" t="n">
        <f aca="false">червень!H32</f>
        <v>0</v>
      </c>
      <c r="I32" s="22" t="n">
        <f aca="false">червень!I32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 t="n">
        <v>500</v>
      </c>
      <c r="P32" s="25" t="n">
        <f aca="false">IF(D32=0,IF((N32-E32-O32)&gt;0,(N32-E32-O32),0),IF((D32+N32-O32)&gt;0,(D32+N32-O32),0))</f>
        <v>1016.9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червень!B33</f>
        <v>Михальченко Г.М</v>
      </c>
      <c r="C33" s="18" t="str">
        <f aca="false">червень!C33</f>
        <v>1025</v>
      </c>
      <c r="D33" s="19" t="n">
        <f aca="false">червень!P33</f>
        <v>4387.44</v>
      </c>
      <c r="E33" s="19" t="n">
        <f aca="false">червень!Q33</f>
        <v>0</v>
      </c>
      <c r="F33" s="20" t="n">
        <f aca="false">червень!F33</f>
        <v>0</v>
      </c>
      <c r="G33" s="21" t="n">
        <f aca="false">червень!G33</f>
        <v>65.04</v>
      </c>
      <c r="H33" s="21" t="n">
        <f aca="false">червень!H33</f>
        <v>0</v>
      </c>
      <c r="I33" s="22" t="n">
        <f aca="false">червень!I33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4654.1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червень!B34</f>
        <v>Замуховська Я.С</v>
      </c>
      <c r="C34" s="18" t="str">
        <f aca="false">червень!C34</f>
        <v>1026</v>
      </c>
      <c r="D34" s="19" t="n">
        <f aca="false">червень!P34</f>
        <v>2262.05</v>
      </c>
      <c r="E34" s="19" t="n">
        <f aca="false">червень!Q34</f>
        <v>0</v>
      </c>
      <c r="F34" s="20" t="n">
        <f aca="false">червень!F34</f>
        <v>0</v>
      </c>
      <c r="G34" s="21" t="n">
        <f aca="false">червень!G34</f>
        <v>49.8</v>
      </c>
      <c r="H34" s="21" t="n">
        <f aca="false">червень!H34</f>
        <v>0</v>
      </c>
      <c r="I34" s="22" t="n">
        <f aca="false">червень!I34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2466.23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червень!B35</f>
        <v>Мержиєвська Г.К</v>
      </c>
      <c r="C35" s="18" t="str">
        <f aca="false">червень!C35</f>
        <v>1027</v>
      </c>
      <c r="D35" s="19" t="n">
        <f aca="false">червень!P35</f>
        <v>0</v>
      </c>
      <c r="E35" s="19" t="n">
        <f aca="false">червень!Q35</f>
        <v>115.9</v>
      </c>
      <c r="F35" s="20" t="n">
        <f aca="false">червень!F35</f>
        <v>0</v>
      </c>
      <c r="G35" s="21" t="n">
        <f aca="false">червень!G35</f>
        <v>35.17</v>
      </c>
      <c r="H35" s="21" t="n">
        <f aca="false">червень!H35</f>
        <v>0</v>
      </c>
      <c r="I35" s="22" t="n">
        <f aca="false">червень!I35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 t="n">
        <v>500</v>
      </c>
      <c r="P35" s="25" t="n">
        <f aca="false">IF(D35=0,IF((N35-E35-O35)&gt;0,(N35-E35-O35),0),IF((D35+N35-O35)&gt;0,(D35+N35-O35),0))</f>
        <v>0</v>
      </c>
      <c r="Q35" s="25" t="n">
        <f aca="false">IF(E35=0,IF((D35+N35-O35)&lt;0,ABS(D35+N35-O35),0),IF((N35-E35-O35)&lt;0,ABS(N35-E35-O35),0))</f>
        <v>471.7</v>
      </c>
    </row>
    <row r="36" customFormat="false" ht="15" hidden="false" customHeight="false" outlineLevel="0" collapsed="false">
      <c r="A36" s="17" t="s">
        <v>104</v>
      </c>
      <c r="B36" s="18" t="str">
        <f aca="false">червень!B36</f>
        <v>Кулакова Л.В.</v>
      </c>
      <c r="C36" s="18" t="str">
        <f aca="false">червень!C36</f>
        <v>1028</v>
      </c>
      <c r="D36" s="19" t="n">
        <f aca="false">червень!P36</f>
        <v>1510.09</v>
      </c>
      <c r="E36" s="19" t="n">
        <f aca="false">червень!Q36</f>
        <v>0</v>
      </c>
      <c r="F36" s="20" t="n">
        <f aca="false">червень!F36</f>
        <v>0</v>
      </c>
      <c r="G36" s="21" t="n">
        <f aca="false">червень!G36</f>
        <v>62.47</v>
      </c>
      <c r="H36" s="21" t="n">
        <f aca="false">червень!H36</f>
        <v>0</v>
      </c>
      <c r="I36" s="22" t="n">
        <f aca="false">червень!I36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1766.22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червень!B37</f>
        <v>Бочаров В.Л.</v>
      </c>
      <c r="C37" s="18" t="str">
        <f aca="false">червень!C37</f>
        <v>1029</v>
      </c>
      <c r="D37" s="19" t="n">
        <f aca="false">червень!P37</f>
        <v>3096.12</v>
      </c>
      <c r="E37" s="19" t="n">
        <f aca="false">червень!Q37</f>
        <v>0</v>
      </c>
      <c r="F37" s="20" t="n">
        <f aca="false">червень!F37</f>
        <v>0</v>
      </c>
      <c r="G37" s="21" t="n">
        <f aca="false">червень!G37</f>
        <v>65.75</v>
      </c>
      <c r="H37" s="21" t="n">
        <f aca="false">червень!H37</f>
        <v>0</v>
      </c>
      <c r="I37" s="22" t="n">
        <f aca="false">червень!I37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3365.7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червень!B38</f>
        <v>Лучков В.Л.</v>
      </c>
      <c r="C38" s="18" t="str">
        <f aca="false">червень!C38</f>
        <v>1030</v>
      </c>
      <c r="D38" s="19" t="n">
        <f aca="false">червень!P38</f>
        <v>3455.45</v>
      </c>
      <c r="E38" s="19" t="n">
        <f aca="false">червень!Q38</f>
        <v>0</v>
      </c>
      <c r="F38" s="20" t="n">
        <f aca="false">червень!F38</f>
        <v>0</v>
      </c>
      <c r="G38" s="21" t="n">
        <f aca="false">червень!G38</f>
        <v>49.7</v>
      </c>
      <c r="H38" s="21" t="n">
        <f aca="false">червень!H38</f>
        <v>0</v>
      </c>
      <c r="I38" s="22" t="n">
        <f aca="false">червень!I38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3659.22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червень!B39</f>
        <v>Кашкар Т.М.</v>
      </c>
      <c r="C39" s="18" t="str">
        <f aca="false">червень!C39</f>
        <v>1031</v>
      </c>
      <c r="D39" s="19" t="n">
        <f aca="false">червень!P39</f>
        <v>287.82</v>
      </c>
      <c r="E39" s="19" t="n">
        <f aca="false">червень!Q39</f>
        <v>0</v>
      </c>
      <c r="F39" s="20" t="n">
        <f aca="false">червень!F39</f>
        <v>0</v>
      </c>
      <c r="G39" s="21" t="n">
        <f aca="false">червень!G39</f>
        <v>35.1</v>
      </c>
      <c r="H39" s="21" t="n">
        <f aca="false">червень!H39</f>
        <v>0</v>
      </c>
      <c r="I39" s="22" t="n">
        <f aca="false">червень!I39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 t="n">
        <v>575.64</v>
      </c>
      <c r="P39" s="25" t="n">
        <f aca="false">IF(D39=0,IF((N39-E39-O39)&gt;0,(N39-E39-O39),0),IF((D39+N39-O39)&gt;0,(D39+N39-O39),0))</f>
        <v>0</v>
      </c>
      <c r="Q39" s="25" t="n">
        <f aca="false">IF(E39=0,IF((D39+N39-O39)&lt;0,ABS(D39+N39-O39),0),IF((N39-E39-O39)&lt;0,ABS(N39-E39-O39),0))</f>
        <v>143.91</v>
      </c>
    </row>
    <row r="40" customFormat="false" ht="15" hidden="false" customHeight="false" outlineLevel="0" collapsed="false">
      <c r="A40" s="17" t="s">
        <v>116</v>
      </c>
      <c r="B40" s="18" t="str">
        <f aca="false">червень!B40</f>
        <v>Стецюк Н.П.</v>
      </c>
      <c r="C40" s="18" t="str">
        <f aca="false">червень!C40</f>
        <v>1032</v>
      </c>
      <c r="D40" s="19" t="n">
        <f aca="false">червень!P40</f>
        <v>3282.41</v>
      </c>
      <c r="E40" s="19" t="n">
        <f aca="false">червень!Q40</f>
        <v>0</v>
      </c>
      <c r="F40" s="20" t="n">
        <f aca="false">червень!F40</f>
        <v>0</v>
      </c>
      <c r="G40" s="21" t="n">
        <f aca="false">червень!G40</f>
        <v>61.9</v>
      </c>
      <c r="H40" s="21" t="n">
        <f aca="false">червень!H40</f>
        <v>0</v>
      </c>
      <c r="I40" s="22" t="n">
        <f aca="false">червень!I40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3536.2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червень!B41</f>
        <v>Маханько В.О.</v>
      </c>
      <c r="C41" s="18" t="str">
        <f aca="false">червень!C41</f>
        <v>1033</v>
      </c>
      <c r="D41" s="19" t="n">
        <f aca="false">червень!P41</f>
        <v>1501.31</v>
      </c>
      <c r="E41" s="19" t="n">
        <f aca="false">червень!Q41</f>
        <v>0</v>
      </c>
      <c r="F41" s="20" t="n">
        <f aca="false">червень!F41</f>
        <v>0</v>
      </c>
      <c r="G41" s="21" t="n">
        <f aca="false">червень!G41</f>
        <v>65.53</v>
      </c>
      <c r="H41" s="21" t="n">
        <f aca="false">червень!H41</f>
        <v>0</v>
      </c>
      <c r="I41" s="22" t="n">
        <f aca="false">червень!I41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1769.98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червень!B42</f>
        <v>Реуцька Р.С.</v>
      </c>
      <c r="C42" s="18" t="str">
        <f aca="false">червень!C42</f>
        <v>1034</v>
      </c>
      <c r="D42" s="19" t="n">
        <f aca="false">червень!P42</f>
        <v>2148.36</v>
      </c>
      <c r="E42" s="19" t="n">
        <f aca="false">червень!Q42</f>
        <v>0</v>
      </c>
      <c r="F42" s="20" t="n">
        <f aca="false">червень!F42</f>
        <v>0</v>
      </c>
      <c r="G42" s="21" t="n">
        <f aca="false">червень!G42</f>
        <v>49.7</v>
      </c>
      <c r="H42" s="21" t="n">
        <f aca="false">червень!H42</f>
        <v>0</v>
      </c>
      <c r="I42" s="22" t="n">
        <f aca="false">червень!I42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2352.13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червень!B43</f>
        <v>Колесникова Р.Г.</v>
      </c>
      <c r="C43" s="18" t="str">
        <f aca="false">червень!C43</f>
        <v>1035</v>
      </c>
      <c r="D43" s="19" t="n">
        <f aca="false">червень!P43</f>
        <v>759.76</v>
      </c>
      <c r="E43" s="19" t="n">
        <f aca="false">червень!Q43</f>
        <v>0</v>
      </c>
      <c r="F43" s="20" t="n">
        <f aca="false">червень!F43</f>
        <v>0</v>
      </c>
      <c r="G43" s="21" t="n">
        <f aca="false">червень!G43</f>
        <v>35.1</v>
      </c>
      <c r="H43" s="21" t="n">
        <f aca="false">червень!H43</f>
        <v>0</v>
      </c>
      <c r="I43" s="22" t="n">
        <f aca="false">червень!I43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903.67</v>
      </c>
      <c r="Q43" s="25" t="n">
        <f aca="false">IF(E43=0,IF((D43+N43-O43)&lt;0,ABS(D43+N43-O43),0),IF((N43-E43-O43)&lt;0,ABS(N43-E43-O43),0))</f>
        <v>0</v>
      </c>
      <c r="T43" s="46"/>
      <c r="U43" s="46"/>
      <c r="V43" s="46"/>
      <c r="W43" s="46"/>
      <c r="X43" s="46"/>
    </row>
    <row r="44" customFormat="false" ht="15" hidden="false" customHeight="false" outlineLevel="0" collapsed="false">
      <c r="A44" s="17" t="s">
        <v>128</v>
      </c>
      <c r="B44" s="18" t="str">
        <f aca="false">червень!B44</f>
        <v>Кучеренко М.М.</v>
      </c>
      <c r="C44" s="18" t="str">
        <f aca="false">червень!C44</f>
        <v>1036</v>
      </c>
      <c r="D44" s="19" t="n">
        <f aca="false">червень!P44</f>
        <v>4410.09</v>
      </c>
      <c r="E44" s="19" t="n">
        <f aca="false">червень!Q44</f>
        <v>0</v>
      </c>
      <c r="F44" s="20" t="n">
        <f aca="false">червень!F44</f>
        <v>0</v>
      </c>
      <c r="G44" s="21" t="n">
        <f aca="false">червень!G44</f>
        <v>61.88</v>
      </c>
      <c r="H44" s="21" t="n">
        <f aca="false">червень!H44</f>
        <v>0</v>
      </c>
      <c r="I44" s="22" t="n">
        <f aca="false">червень!I44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 t="n">
        <v>800</v>
      </c>
      <c r="P44" s="25" t="n">
        <f aca="false">IF(D44=0,IF((N44-E44-O44)&gt;0,(N44-E44-O44),0),IF((D44+N44-O44)&gt;0,(D44+N44-O44),0))</f>
        <v>3863.8</v>
      </c>
      <c r="Q44" s="25" t="n">
        <f aca="false">IF(E44=0,IF((D44+N44-O44)&lt;0,ABS(D44+N44-O44),0),IF((N44-E44-O44)&lt;0,ABS(N44-E44-O44),0))</f>
        <v>0</v>
      </c>
      <c r="T44" s="46"/>
      <c r="U44" s="46"/>
      <c r="V44" s="46"/>
      <c r="W44" s="46"/>
      <c r="X44" s="46"/>
    </row>
    <row r="45" customFormat="false" ht="15" hidden="false" customHeight="false" outlineLevel="0" collapsed="false">
      <c r="A45" s="17" t="s">
        <v>131</v>
      </c>
      <c r="B45" s="18" t="str">
        <f aca="false">червень!B45</f>
        <v>Гурова О.М.</v>
      </c>
      <c r="C45" s="18" t="str">
        <f aca="false">червень!C45</f>
        <v>2037</v>
      </c>
      <c r="D45" s="19" t="n">
        <f aca="false">червень!P45</f>
        <v>0</v>
      </c>
      <c r="E45" s="19" t="n">
        <f aca="false">червень!Q45</f>
        <v>61.4099999999996</v>
      </c>
      <c r="F45" s="20" t="n">
        <f aca="false">червень!F45</f>
        <v>0</v>
      </c>
      <c r="G45" s="21" t="n">
        <f aca="false">червень!G45</f>
        <v>62.2</v>
      </c>
      <c r="H45" s="21" t="n">
        <f aca="false">червень!H45</f>
        <v>0</v>
      </c>
      <c r="I45" s="22" t="n">
        <f aca="false">червень!I45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 t="n">
        <v>765.06</v>
      </c>
      <c r="P45" s="25" t="n">
        <f aca="false">IF(D45=0,IF((N45-E45-O45)&gt;0,(N45-E45-O45),0),IF((D45+N45-O45)&gt;0,(D45+N45-O45),0))</f>
        <v>0</v>
      </c>
      <c r="Q45" s="25" t="n">
        <f aca="false">IF(E45=0,IF((D45+N45-O45)&lt;0,ABS(D45+N45-O45),0),IF((N45-E45-O45)&lt;0,ABS(N45-E45-O45),0))</f>
        <v>571.45</v>
      </c>
      <c r="T45" s="46"/>
      <c r="U45" s="46"/>
      <c r="V45" s="46"/>
      <c r="W45" s="46"/>
      <c r="X45" s="46"/>
    </row>
    <row r="46" customFormat="false" ht="15" hidden="false" customHeight="false" outlineLevel="0" collapsed="false">
      <c r="A46" s="17" t="s">
        <v>134</v>
      </c>
      <c r="B46" s="18" t="str">
        <f aca="false">червень!B46</f>
        <v>Федорова В.І.</v>
      </c>
      <c r="C46" s="18" t="str">
        <f aca="false">червень!C46</f>
        <v>2038</v>
      </c>
      <c r="D46" s="19" t="n">
        <f aca="false">червень!P46</f>
        <v>0</v>
      </c>
      <c r="E46" s="19" t="n">
        <f aca="false">червень!Q46</f>
        <v>14.4599999999998</v>
      </c>
      <c r="F46" s="20" t="n">
        <f aca="false">червень!F46</f>
        <v>0</v>
      </c>
      <c r="G46" s="21" t="n">
        <f aca="false">червень!G46</f>
        <v>34.9</v>
      </c>
      <c r="H46" s="21" t="n">
        <f aca="false">червень!H46</f>
        <v>0</v>
      </c>
      <c r="I46" s="22" t="n">
        <f aca="false">червень!I46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128.63</v>
      </c>
      <c r="Q46" s="25" t="n">
        <f aca="false">IF(E46=0,IF((D46+N46-O46)&lt;0,ABS(D46+N46-O46),0),IF((N46-E46-O46)&lt;0,ABS(N46-E46-O46),0))</f>
        <v>0</v>
      </c>
      <c r="T46" s="46"/>
      <c r="U46" s="46"/>
      <c r="V46" s="46"/>
      <c r="W46" s="46"/>
      <c r="X46" s="46"/>
    </row>
    <row r="47" customFormat="false" ht="15" hidden="false" customHeight="false" outlineLevel="0" collapsed="false">
      <c r="A47" s="17" t="s">
        <v>137</v>
      </c>
      <c r="B47" s="18" t="str">
        <f aca="false">червень!B47</f>
        <v>Лаптєв В.І.</v>
      </c>
      <c r="C47" s="18" t="str">
        <f aca="false">червень!C47</f>
        <v>2039</v>
      </c>
      <c r="D47" s="19" t="n">
        <f aca="false">червень!P47</f>
        <v>200.020000000001</v>
      </c>
      <c r="E47" s="19" t="n">
        <f aca="false">червень!Q47</f>
        <v>0</v>
      </c>
      <c r="F47" s="20" t="n">
        <f aca="false">червень!F47</f>
        <v>0</v>
      </c>
      <c r="G47" s="21" t="n">
        <f aca="false">червень!G47</f>
        <v>48.8</v>
      </c>
      <c r="H47" s="21" t="n">
        <f aca="false">червень!H47</f>
        <v>0</v>
      </c>
      <c r="I47" s="22" t="n">
        <f aca="false">червень!I47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200.000000000001</v>
      </c>
      <c r="Q47" s="25" t="n">
        <f aca="false">IF(E47=0,IF((D47+N47-O47)&lt;0,ABS(D47+N47-O47),0),IF((N47-E47-O47)&lt;0,ABS(N47-E47-O47),0))</f>
        <v>0</v>
      </c>
      <c r="T47" s="46"/>
      <c r="U47" s="46"/>
      <c r="V47" s="46"/>
      <c r="W47" s="46"/>
      <c r="X47" s="46"/>
    </row>
    <row r="48" customFormat="false" ht="15" hidden="false" customHeight="false" outlineLevel="0" collapsed="false">
      <c r="A48" s="17" t="s">
        <v>140</v>
      </c>
      <c r="B48" s="18" t="str">
        <f aca="false">червень!B48</f>
        <v>Тимощук О.Є.</v>
      </c>
      <c r="C48" s="18" t="str">
        <f aca="false">червень!C48</f>
        <v>2040</v>
      </c>
      <c r="D48" s="19" t="n">
        <f aca="false">червень!P48</f>
        <v>483.850000000001</v>
      </c>
      <c r="E48" s="19" t="n">
        <f aca="false">червень!Q48</f>
        <v>0</v>
      </c>
      <c r="F48" s="20" t="n">
        <f aca="false">червень!F48</f>
        <v>0</v>
      </c>
      <c r="G48" s="21" t="n">
        <f aca="false">червень!G48</f>
        <v>57.3</v>
      </c>
      <c r="H48" s="21" t="n">
        <f aca="false">червень!H48</f>
        <v>0</v>
      </c>
      <c r="I48" s="22" t="n">
        <f aca="false">червень!I48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 t="n">
        <v>250</v>
      </c>
      <c r="P48" s="25" t="n">
        <f aca="false">IF(D48=0,IF((N48-E48-O48)&gt;0,(N48-E48-O48),0),IF((D48+N48-O48)&gt;0,(D48+N48-O48),0))</f>
        <v>468.780000000001</v>
      </c>
      <c r="Q48" s="25" t="n">
        <f aca="false">IF(E48=0,IF((D48+N48-O48)&lt;0,ABS(D48+N48-O48),0),IF((N48-E48-O48)&lt;0,ABS(N48-E48-O48),0))</f>
        <v>0</v>
      </c>
      <c r="T48" s="46"/>
      <c r="U48" s="46"/>
      <c r="V48" s="46"/>
      <c r="W48" s="46"/>
      <c r="X48" s="46"/>
    </row>
    <row r="49" customFormat="false" ht="15" hidden="false" customHeight="false" outlineLevel="0" collapsed="false">
      <c r="A49" s="17" t="s">
        <v>143</v>
      </c>
      <c r="B49" s="18" t="str">
        <f aca="false">червень!B49</f>
        <v>Котяш О.В.</v>
      </c>
      <c r="C49" s="18" t="str">
        <f aca="false">червень!C49</f>
        <v>2041</v>
      </c>
      <c r="D49" s="19" t="n">
        <f aca="false">червень!P49</f>
        <v>3371.75</v>
      </c>
      <c r="E49" s="19" t="n">
        <f aca="false">червень!Q49</f>
        <v>0</v>
      </c>
      <c r="F49" s="20" t="n">
        <f aca="false">червень!F49</f>
        <v>0</v>
      </c>
      <c r="G49" s="21" t="n">
        <f aca="false">червень!G49</f>
        <v>63.3</v>
      </c>
      <c r="H49" s="21" t="n">
        <f aca="false">червень!H49</f>
        <v>0</v>
      </c>
      <c r="I49" s="22" t="n">
        <f aca="false">червень!I49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3631.28</v>
      </c>
      <c r="Q49" s="25" t="n">
        <f aca="false">IF(E49=0,IF((D49+N49-O49)&lt;0,ABS(D49+N49-O49),0),IF((N49-E49-O49)&lt;0,ABS(N49-E49-O49),0))</f>
        <v>0</v>
      </c>
      <c r="T49" s="46"/>
      <c r="U49" s="46"/>
      <c r="V49" s="46"/>
      <c r="W49" s="46"/>
      <c r="X49" s="46"/>
    </row>
    <row r="50" customFormat="false" ht="15" hidden="false" customHeight="false" outlineLevel="0" collapsed="false">
      <c r="A50" s="17" t="s">
        <v>146</v>
      </c>
      <c r="B50" s="18" t="str">
        <f aca="false">червень!B50</f>
        <v>Токовило-Паращенко Л.П.</v>
      </c>
      <c r="C50" s="18" t="str">
        <f aca="false">червень!C50</f>
        <v>2042</v>
      </c>
      <c r="D50" s="19" t="n">
        <f aca="false">червень!P50</f>
        <v>1749.11</v>
      </c>
      <c r="E50" s="19" t="n">
        <f aca="false">червень!Q50</f>
        <v>0</v>
      </c>
      <c r="F50" s="20" t="n">
        <f aca="false">червень!F50</f>
        <v>0</v>
      </c>
      <c r="G50" s="21" t="n">
        <f aca="false">червень!G50</f>
        <v>35.68</v>
      </c>
      <c r="H50" s="21" t="n">
        <f aca="false">червень!H50</f>
        <v>0</v>
      </c>
      <c r="I50" s="22" t="n">
        <f aca="false">червень!I50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 t="n">
        <f aca="false">500+200</f>
        <v>700</v>
      </c>
      <c r="P50" s="25" t="n">
        <f aca="false">IF(D50=0,IF((N50-E50-O50)&gt;0,(N50-E50-O50),0),IF((D50+N50-O50)&gt;0,(D50+N50-O50),0))</f>
        <v>1195.4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червень!B51</f>
        <v>Бєлая К.В.</v>
      </c>
      <c r="C51" s="18" t="str">
        <f aca="false">червень!C51</f>
        <v>2043</v>
      </c>
      <c r="D51" s="19" t="n">
        <f aca="false">червень!P51</f>
        <v>9.09494701772928E-013</v>
      </c>
      <c r="E51" s="19" t="n">
        <f aca="false">червень!Q51</f>
        <v>0</v>
      </c>
      <c r="F51" s="20" t="n">
        <f aca="false">червень!F51</f>
        <v>0</v>
      </c>
      <c r="G51" s="21" t="n">
        <f aca="false">червень!G51</f>
        <v>49.8</v>
      </c>
      <c r="H51" s="21" t="n">
        <f aca="false">червень!H51</f>
        <v>0</v>
      </c>
      <c r="I51" s="22" t="n">
        <f aca="false">червень!I51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204.180000000001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червень!B52</f>
        <v>Стадник О.Ф.</v>
      </c>
      <c r="C52" s="18" t="str">
        <f aca="false">червень!C52</f>
        <v>2044</v>
      </c>
      <c r="D52" s="19" t="n">
        <f aca="false">червень!P52</f>
        <v>3023.57</v>
      </c>
      <c r="E52" s="19" t="n">
        <f aca="false">червень!Q52</f>
        <v>0</v>
      </c>
      <c r="F52" s="20" t="n">
        <f aca="false">червень!F52</f>
        <v>0</v>
      </c>
      <c r="G52" s="21" t="n">
        <f aca="false">червень!G52</f>
        <v>65.9</v>
      </c>
      <c r="H52" s="21" t="n">
        <f aca="false">червень!H52</f>
        <v>0</v>
      </c>
      <c r="I52" s="22" t="n">
        <f aca="false">червень!I52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3293.76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червень!B53</f>
        <v>Ляшенко В.М.</v>
      </c>
      <c r="C53" s="18" t="str">
        <f aca="false">червень!C53</f>
        <v>2045</v>
      </c>
      <c r="D53" s="19" t="n">
        <f aca="false">червень!P53</f>
        <v>0</v>
      </c>
      <c r="E53" s="19" t="n">
        <f aca="false">червень!Q53</f>
        <v>5.6843418860808E-013</v>
      </c>
      <c r="F53" s="20" t="n">
        <f aca="false">червень!F53</f>
        <v>0</v>
      </c>
      <c r="G53" s="21" t="n">
        <f aca="false">червень!G53</f>
        <v>62</v>
      </c>
      <c r="H53" s="21" t="n">
        <f aca="false">червень!H53</f>
        <v>0</v>
      </c>
      <c r="I53" s="22" t="n">
        <f aca="false">червень!I53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254.199999999999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червень!B54</f>
        <v>Смоленська Т.О.</v>
      </c>
      <c r="C54" s="18" t="str">
        <f aca="false">червень!C54</f>
        <v>2046</v>
      </c>
      <c r="D54" s="19" t="n">
        <f aca="false">червень!P54</f>
        <v>1863.46</v>
      </c>
      <c r="E54" s="19" t="n">
        <f aca="false">червень!Q54</f>
        <v>0</v>
      </c>
      <c r="F54" s="20" t="n">
        <f aca="false">червень!F54</f>
        <v>0</v>
      </c>
      <c r="G54" s="21" t="n">
        <f aca="false">червень!G54</f>
        <v>35.1</v>
      </c>
      <c r="H54" s="21" t="n">
        <f aca="false">червень!H54</f>
        <v>0</v>
      </c>
      <c r="I54" s="22" t="n">
        <f aca="false">червень!I54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2007.37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червень!B55</f>
        <v>Дудка І.В.</v>
      </c>
      <c r="C55" s="18" t="str">
        <f aca="false">червень!C55</f>
        <v>2047</v>
      </c>
      <c r="D55" s="19" t="n">
        <f aca="false">червень!P55</f>
        <v>406.720000000001</v>
      </c>
      <c r="E55" s="19" t="n">
        <f aca="false">червень!Q55</f>
        <v>0</v>
      </c>
      <c r="F55" s="20" t="n">
        <f aca="false">червень!F55</f>
        <v>0</v>
      </c>
      <c r="G55" s="21" t="n">
        <f aca="false">червень!G55</f>
        <v>49.6</v>
      </c>
      <c r="H55" s="21" t="n">
        <f aca="false">червень!H55</f>
        <v>0</v>
      </c>
      <c r="I55" s="22" t="n">
        <f aca="false">червень!I55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610.080000000001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червень!B56</f>
        <v>Буланова Л.І.</v>
      </c>
      <c r="C56" s="18" t="str">
        <f aca="false">червень!C56</f>
        <v>2048</v>
      </c>
      <c r="D56" s="19" t="n">
        <f aca="false">червень!P56</f>
        <v>544.8</v>
      </c>
      <c r="E56" s="19" t="n">
        <f aca="false">червень!Q56</f>
        <v>0</v>
      </c>
      <c r="F56" s="20" t="n">
        <f aca="false">червень!F56</f>
        <v>0</v>
      </c>
      <c r="G56" s="21" t="n">
        <f aca="false">червень!G56</f>
        <v>66.44</v>
      </c>
      <c r="H56" s="21" t="n">
        <f aca="false">червень!H56</f>
        <v>0</v>
      </c>
      <c r="I56" s="22" t="n">
        <f aca="false">червень!I56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 t="n">
        <v>544.8</v>
      </c>
      <c r="P56" s="25" t="n">
        <f aca="false">IF(D56=0,IF((N56-E56-O56)&gt;0,(N56-E56-O56),0),IF((D56+N56-O56)&gt;0,(D56+N56-O56),0))</f>
        <v>272.4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червень!B57</f>
        <v>Шалімова О.О.</v>
      </c>
      <c r="C57" s="18" t="str">
        <f aca="false">червень!C57</f>
        <v>2049</v>
      </c>
      <c r="D57" s="19" t="n">
        <f aca="false">червень!P57</f>
        <v>3287.93</v>
      </c>
      <c r="E57" s="19" t="n">
        <f aca="false">червень!Q57</f>
        <v>0</v>
      </c>
      <c r="F57" s="20" t="n">
        <f aca="false">червень!F57</f>
        <v>0</v>
      </c>
      <c r="G57" s="21" t="n">
        <f aca="false">червень!G57</f>
        <v>62.1</v>
      </c>
      <c r="H57" s="21" t="n">
        <f aca="false">червень!H57</f>
        <v>0</v>
      </c>
      <c r="I57" s="22" t="n">
        <f aca="false">червень!I57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3542.54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червень!B58</f>
        <v>Андросик О.О.</v>
      </c>
      <c r="C58" s="18" t="str">
        <f aca="false">червень!C58</f>
        <v>2050</v>
      </c>
      <c r="D58" s="19" t="n">
        <f aca="false">червень!P58</f>
        <v>0</v>
      </c>
      <c r="E58" s="19" t="n">
        <f aca="false">червень!Q58</f>
        <v>0</v>
      </c>
      <c r="F58" s="20" t="n">
        <f aca="false">червень!F58</f>
        <v>0</v>
      </c>
      <c r="G58" s="21" t="n">
        <f aca="false">червень!G58</f>
        <v>34.9</v>
      </c>
      <c r="H58" s="21" t="n">
        <f aca="false">червень!H58</f>
        <v>0</v>
      </c>
      <c r="I58" s="22" t="n">
        <f aca="false">червень!I58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143.09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червень!B59</f>
        <v>Токар Є.А.</v>
      </c>
      <c r="C59" s="18" t="str">
        <f aca="false">червень!C59</f>
        <v>2051</v>
      </c>
      <c r="D59" s="19" t="n">
        <f aca="false">червень!P59</f>
        <v>2768.95</v>
      </c>
      <c r="E59" s="19" t="n">
        <f aca="false">червень!Q59</f>
        <v>0</v>
      </c>
      <c r="F59" s="20" t="n">
        <f aca="false">червень!F59</f>
        <v>0</v>
      </c>
      <c r="G59" s="21" t="n">
        <f aca="false">червень!G59</f>
        <v>49.22</v>
      </c>
      <c r="H59" s="21" t="n">
        <f aca="false">червень!H59</f>
        <v>0</v>
      </c>
      <c r="I59" s="22" t="n">
        <f aca="false">червень!I59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2970.75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червень!B60</f>
        <v>Констанчук І.В.</v>
      </c>
      <c r="C60" s="18" t="str">
        <f aca="false">червень!C60</f>
        <v>2052</v>
      </c>
      <c r="D60" s="19" t="n">
        <f aca="false">червень!P60</f>
        <v>3455.71</v>
      </c>
      <c r="E60" s="19" t="n">
        <f aca="false">червень!Q60</f>
        <v>0</v>
      </c>
      <c r="F60" s="20" t="n">
        <f aca="false">червень!F60</f>
        <v>0</v>
      </c>
      <c r="G60" s="21" t="n">
        <f aca="false">червень!G60</f>
        <v>65.5</v>
      </c>
      <c r="H60" s="21" t="n">
        <f aca="false">червень!H60</f>
        <v>0</v>
      </c>
      <c r="I60" s="22" t="n">
        <f aca="false">червень!I60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3724.26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червень!B61</f>
        <v>Гончаров В.В.</v>
      </c>
      <c r="C61" s="18" t="str">
        <f aca="false">червень!C61</f>
        <v>2053</v>
      </c>
      <c r="D61" s="19" t="n">
        <f aca="false">червень!P61</f>
        <v>0</v>
      </c>
      <c r="E61" s="19" t="n">
        <f aca="false">червень!Q61</f>
        <v>1540.92</v>
      </c>
      <c r="F61" s="20" t="n">
        <f aca="false">червень!F61</f>
        <v>0</v>
      </c>
      <c r="G61" s="21" t="n">
        <f aca="false">червень!G61</f>
        <v>62.64</v>
      </c>
      <c r="H61" s="21" t="n">
        <f aca="false">червень!H61</f>
        <v>0</v>
      </c>
      <c r="I61" s="22" t="n">
        <f aca="false">червень!I61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1284.1</v>
      </c>
    </row>
    <row r="62" customFormat="false" ht="15" hidden="false" customHeight="false" outlineLevel="0" collapsed="false">
      <c r="A62" s="17" t="s">
        <v>182</v>
      </c>
      <c r="B62" s="18" t="str">
        <f aca="false">червень!B62</f>
        <v>Ляхомський В.О.</v>
      </c>
      <c r="C62" s="18" t="str">
        <f aca="false">червень!C62</f>
        <v>2054</v>
      </c>
      <c r="D62" s="19" t="n">
        <f aca="false">червень!P62</f>
        <v>719.93</v>
      </c>
      <c r="E62" s="19" t="n">
        <f aca="false">червень!Q62</f>
        <v>0</v>
      </c>
      <c r="F62" s="20" t="n">
        <f aca="false">червень!F62</f>
        <v>0</v>
      </c>
      <c r="G62" s="21" t="n">
        <f aca="false">червень!G62</f>
        <v>34.9</v>
      </c>
      <c r="H62" s="21" t="n">
        <f aca="false">червень!H62</f>
        <v>0</v>
      </c>
      <c r="I62" s="22" t="n">
        <f aca="false">червень!I62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863.02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червень!B63</f>
        <v>Крамаренко В.П.</v>
      </c>
      <c r="C63" s="18" t="str">
        <f aca="false">червень!C63</f>
        <v>2055</v>
      </c>
      <c r="D63" s="19" t="n">
        <f aca="false">червень!P63</f>
        <v>2660.78</v>
      </c>
      <c r="E63" s="19" t="n">
        <f aca="false">червень!Q63</f>
        <v>0</v>
      </c>
      <c r="F63" s="20" t="n">
        <f aca="false">червень!F63</f>
        <v>0</v>
      </c>
      <c r="G63" s="21" t="n">
        <f aca="false">червень!G63</f>
        <v>49.79</v>
      </c>
      <c r="H63" s="21" t="n">
        <f aca="false">червень!H63</f>
        <v>0</v>
      </c>
      <c r="I63" s="22" t="n">
        <f aca="false">червень!I63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2864.92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червень!B64</f>
        <v>Родзик С.Г.</v>
      </c>
      <c r="C64" s="18" t="str">
        <f aca="false">червень!C64</f>
        <v>2056</v>
      </c>
      <c r="D64" s="19" t="n">
        <f aca="false">червень!P64</f>
        <v>755.569999999999</v>
      </c>
      <c r="E64" s="19" t="n">
        <f aca="false">червень!Q64</f>
        <v>0</v>
      </c>
      <c r="F64" s="20" t="n">
        <f aca="false">червень!F64</f>
        <v>0</v>
      </c>
      <c r="G64" s="21" t="n">
        <f aca="false">червень!G64</f>
        <v>65.2</v>
      </c>
      <c r="H64" s="21" t="n">
        <f aca="false">червень!H64</f>
        <v>0</v>
      </c>
      <c r="I64" s="22" t="n">
        <f aca="false">червень!I64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1022.89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червень!B65</f>
        <v>Никоненко Н.С.</v>
      </c>
      <c r="C65" s="18" t="str">
        <f aca="false">червень!C65</f>
        <v>2057</v>
      </c>
      <c r="D65" s="19" t="n">
        <f aca="false">червень!P65</f>
        <v>2431.72</v>
      </c>
      <c r="E65" s="19" t="n">
        <f aca="false">червень!Q65</f>
        <v>0</v>
      </c>
      <c r="F65" s="20" t="n">
        <f aca="false">червень!F65</f>
        <v>0</v>
      </c>
      <c r="G65" s="21" t="n">
        <f aca="false">червень!G65</f>
        <v>61.88</v>
      </c>
      <c r="H65" s="21" t="n">
        <f aca="false">червень!H65</f>
        <v>0</v>
      </c>
      <c r="I65" s="22" t="n">
        <f aca="false">червень!I65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2685.43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червень!B66</f>
        <v>Чепок О.В.</v>
      </c>
      <c r="C66" s="18" t="str">
        <f aca="false">червень!C66</f>
        <v>2058</v>
      </c>
      <c r="D66" s="19" t="n">
        <f aca="false">червень!P66</f>
        <v>3478.91</v>
      </c>
      <c r="E66" s="19" t="n">
        <f aca="false">червень!Q66</f>
        <v>0</v>
      </c>
      <c r="F66" s="20" t="n">
        <f aca="false">червень!F66</f>
        <v>0</v>
      </c>
      <c r="G66" s="21" t="n">
        <f aca="false">червень!G66</f>
        <v>35</v>
      </c>
      <c r="H66" s="21" t="n">
        <f aca="false">червень!H66</f>
        <v>0</v>
      </c>
      <c r="I66" s="22" t="n">
        <f aca="false">червень!I66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3622.41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червень!B67</f>
        <v>Горошенко Л.С.</v>
      </c>
      <c r="C67" s="18" t="str">
        <f aca="false">червень!C67</f>
        <v>2059</v>
      </c>
      <c r="D67" s="19" t="n">
        <f aca="false">червень!P67</f>
        <v>0</v>
      </c>
      <c r="E67" s="19" t="n">
        <f aca="false">червень!Q67</f>
        <v>1565.85</v>
      </c>
      <c r="F67" s="20" t="n">
        <f aca="false">червень!F67</f>
        <v>0</v>
      </c>
      <c r="G67" s="21" t="n">
        <f aca="false">червень!G67</f>
        <v>49.3</v>
      </c>
      <c r="H67" s="21" t="n">
        <f aca="false">червень!H67</f>
        <v>0</v>
      </c>
      <c r="I67" s="22" t="n">
        <f aca="false">червень!I67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300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1663.72</v>
      </c>
    </row>
    <row r="68" customFormat="false" ht="15" hidden="false" customHeight="false" outlineLevel="0" collapsed="false">
      <c r="A68" s="17" t="s">
        <v>200</v>
      </c>
      <c r="B68" s="18" t="str">
        <f aca="false">червень!B68</f>
        <v>Неграчева Л.Г.</v>
      </c>
      <c r="C68" s="18" t="str">
        <f aca="false">червень!C68</f>
        <v>2060</v>
      </c>
      <c r="D68" s="19" t="n">
        <f aca="false">червень!P68</f>
        <v>0</v>
      </c>
      <c r="E68" s="19" t="n">
        <f aca="false">червень!Q68</f>
        <v>170.860000000001</v>
      </c>
      <c r="F68" s="20" t="n">
        <f aca="false">червень!F68</f>
        <v>0</v>
      </c>
      <c r="G68" s="21" t="n">
        <f aca="false">червень!G68</f>
        <v>66.6</v>
      </c>
      <c r="H68" s="21" t="n">
        <f aca="false">червень!H68</f>
        <v>0</v>
      </c>
      <c r="I68" s="22" t="n">
        <f aca="false">червень!I68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102.199999999999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червень!B69</f>
        <v>Брежнєв О.В.</v>
      </c>
      <c r="C69" s="18" t="str">
        <f aca="false">червень!C69</f>
        <v>2061</v>
      </c>
      <c r="D69" s="19" t="n">
        <f aca="false">червень!P69</f>
        <v>4292.94</v>
      </c>
      <c r="E69" s="19" t="n">
        <f aca="false">червень!Q69</f>
        <v>0</v>
      </c>
      <c r="F69" s="20" t="n">
        <f aca="false">червень!F69</f>
        <v>0</v>
      </c>
      <c r="G69" s="21" t="n">
        <f aca="false">червень!G69</f>
        <v>61.88</v>
      </c>
      <c r="H69" s="21" t="n">
        <f aca="false">червень!H69</f>
        <v>0</v>
      </c>
      <c r="I69" s="22" t="n">
        <f aca="false">червень!I69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 t="n">
        <f aca="false">1000+500</f>
        <v>1500</v>
      </c>
      <c r="P69" s="25" t="n">
        <f aca="false">IF(D69=0,IF((N69-E69-O69)&gt;0,(N69-E69-O69),0),IF((D69+N69-O69)&gt;0,(D69+N69-O69),0))</f>
        <v>3046.65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червень!B70</f>
        <v>Горбатюк К.О.</v>
      </c>
      <c r="C70" s="18" t="str">
        <f aca="false">червень!C70</f>
        <v>2062</v>
      </c>
      <c r="D70" s="19" t="n">
        <f aca="false">червень!P70</f>
        <v>1707.12</v>
      </c>
      <c r="E70" s="19" t="n">
        <f aca="false">червень!Q70</f>
        <v>0</v>
      </c>
      <c r="F70" s="20" t="n">
        <f aca="false">червень!F70</f>
        <v>0</v>
      </c>
      <c r="G70" s="21" t="n">
        <f aca="false">червень!G70</f>
        <v>34.96</v>
      </c>
      <c r="H70" s="21" t="n">
        <f aca="false">червень!H70</f>
        <v>0</v>
      </c>
      <c r="I70" s="22" t="n">
        <f aca="false">червень!I70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1850.46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червень!B71</f>
        <v>Божик М.О.</v>
      </c>
      <c r="C71" s="18" t="str">
        <f aca="false">червень!C71</f>
        <v>2063</v>
      </c>
      <c r="D71" s="19" t="n">
        <f aca="false">червень!P71</f>
        <v>218.72</v>
      </c>
      <c r="E71" s="19" t="n">
        <f aca="false">червень!Q71</f>
        <v>0</v>
      </c>
      <c r="F71" s="20" t="n">
        <f aca="false">червень!F71</f>
        <v>0</v>
      </c>
      <c r="G71" s="21" t="n">
        <f aca="false">червень!G71</f>
        <v>50.03</v>
      </c>
      <c r="H71" s="21" t="n">
        <f aca="false">червень!H71</f>
        <v>0</v>
      </c>
      <c r="I71" s="22" t="n">
        <f aca="false">червень!I71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423.84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червень!B72</f>
        <v>Зайченко С.Л</v>
      </c>
      <c r="C72" s="18" t="str">
        <f aca="false">червень!C72</f>
        <v>2064</v>
      </c>
      <c r="D72" s="19" t="n">
        <f aca="false">червень!P72</f>
        <v>4511.37</v>
      </c>
      <c r="E72" s="19" t="n">
        <f aca="false">червень!Q72</f>
        <v>0</v>
      </c>
      <c r="F72" s="20" t="n">
        <f aca="false">червень!F72</f>
        <v>0</v>
      </c>
      <c r="G72" s="21" t="n">
        <f aca="false">червень!G72</f>
        <v>65.15</v>
      </c>
      <c r="H72" s="21" t="n">
        <f aca="false">червень!H72</f>
        <v>0</v>
      </c>
      <c r="I72" s="22" t="n">
        <f aca="false">червень!I72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4778.49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червень!B73</f>
        <v>Бессараб Н.Г.</v>
      </c>
      <c r="C73" s="18" t="str">
        <f aca="false">червень!C73</f>
        <v>2065</v>
      </c>
      <c r="D73" s="19" t="n">
        <f aca="false">червень!P73</f>
        <v>0</v>
      </c>
      <c r="E73" s="19" t="n">
        <f aca="false">червень!Q73</f>
        <v>251.43</v>
      </c>
      <c r="F73" s="20" t="n">
        <f aca="false">червень!F73</f>
        <v>0</v>
      </c>
      <c r="G73" s="21" t="n">
        <f aca="false">червень!G73</f>
        <v>63.41</v>
      </c>
      <c r="H73" s="21" t="n">
        <f aca="false">червень!H73</f>
        <v>0</v>
      </c>
      <c r="I73" s="22" t="n">
        <f aca="false">червень!I73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 t="n">
        <v>300</v>
      </c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291.45</v>
      </c>
    </row>
    <row r="74" customFormat="false" ht="15" hidden="false" customHeight="false" outlineLevel="0" collapsed="false">
      <c r="A74" s="17" t="s">
        <v>218</v>
      </c>
      <c r="B74" s="18" t="str">
        <f aca="false">червень!B74</f>
        <v>Прохорова С.І.</v>
      </c>
      <c r="C74" s="18" t="str">
        <f aca="false">червень!C74</f>
        <v>2066</v>
      </c>
      <c r="D74" s="19" t="n">
        <f aca="false">червень!P74</f>
        <v>2239.67</v>
      </c>
      <c r="E74" s="19" t="n">
        <f aca="false">червень!Q74</f>
        <v>0</v>
      </c>
      <c r="F74" s="20" t="n">
        <f aca="false">червень!F74</f>
        <v>0</v>
      </c>
      <c r="G74" s="21" t="n">
        <f aca="false">червень!G74</f>
        <v>35.19</v>
      </c>
      <c r="H74" s="21" t="n">
        <f aca="false">червень!H74</f>
        <v>0</v>
      </c>
      <c r="I74" s="22" t="n">
        <f aca="false">червень!I74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2383.95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червень!B75</f>
        <v>Браташ А.Ф.</v>
      </c>
      <c r="C75" s="18" t="str">
        <f aca="false">червень!C75</f>
        <v>2067</v>
      </c>
      <c r="D75" s="19" t="n">
        <f aca="false">червень!P75</f>
        <v>3744.57</v>
      </c>
      <c r="E75" s="19" t="n">
        <f aca="false">червень!Q75</f>
        <v>0</v>
      </c>
      <c r="F75" s="20" t="n">
        <f aca="false">червень!F75</f>
        <v>0</v>
      </c>
      <c r="G75" s="21" t="n">
        <f aca="false">червень!G75</f>
        <v>49.89</v>
      </c>
      <c r="H75" s="21" t="n">
        <f aca="false">червень!H75</f>
        <v>0</v>
      </c>
      <c r="I75" s="22" t="n">
        <f aca="false">червень!I75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3949.12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червень!B76</f>
        <v>Кудас Д.О.</v>
      </c>
      <c r="C76" s="18" t="str">
        <f aca="false">червень!C76</f>
        <v>2068</v>
      </c>
      <c r="D76" s="19" t="n">
        <f aca="false">червень!P76</f>
        <v>65.72</v>
      </c>
      <c r="E76" s="19" t="n">
        <f aca="false">червень!Q76</f>
        <v>0</v>
      </c>
      <c r="F76" s="20" t="n">
        <f aca="false">червень!F76</f>
        <v>0</v>
      </c>
      <c r="G76" s="21" t="n">
        <f aca="false">червень!G76</f>
        <v>65.03</v>
      </c>
      <c r="H76" s="21" t="n">
        <f aca="false">червень!H76</f>
        <v>0</v>
      </c>
      <c r="I76" s="22" t="n">
        <f aca="false">червень!I76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332.34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червень!B77</f>
        <v>Шушлєбін Б.В.</v>
      </c>
      <c r="C77" s="18" t="str">
        <f aca="false">червень!C77</f>
        <v>2069</v>
      </c>
      <c r="D77" s="19" t="n">
        <f aca="false">червень!P77</f>
        <v>234.51</v>
      </c>
      <c r="E77" s="19" t="n">
        <f aca="false">червень!Q77</f>
        <v>0</v>
      </c>
      <c r="F77" s="20" t="n">
        <f aca="false">червень!F77</f>
        <v>0</v>
      </c>
      <c r="G77" s="21" t="n">
        <f aca="false">червень!G77</f>
        <v>62.11</v>
      </c>
      <c r="H77" s="21" t="n">
        <f aca="false">червень!H77</f>
        <v>0</v>
      </c>
      <c r="I77" s="22" t="n">
        <f aca="false">червень!I77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489.16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червень!B78</f>
        <v>Бородіна І.О.</v>
      </c>
      <c r="C78" s="18" t="str">
        <f aca="false">червень!C78</f>
        <v>2070</v>
      </c>
      <c r="D78" s="19" t="n">
        <f aca="false">червень!P78</f>
        <v>2473.29</v>
      </c>
      <c r="E78" s="19" t="n">
        <f aca="false">червень!Q78</f>
        <v>0</v>
      </c>
      <c r="F78" s="20" t="n">
        <f aca="false">червень!F78</f>
        <v>0</v>
      </c>
      <c r="G78" s="21" t="n">
        <f aca="false">червень!G78</f>
        <v>34.9</v>
      </c>
      <c r="H78" s="21" t="n">
        <f aca="false">червень!H78</f>
        <v>0</v>
      </c>
      <c r="I78" s="22" t="n">
        <f aca="false">червень!I78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2616.38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червень!B79</f>
        <v>Котурга Л.Й.</v>
      </c>
      <c r="C79" s="18" t="str">
        <f aca="false">червень!C79</f>
        <v>2071</v>
      </c>
      <c r="D79" s="19" t="n">
        <f aca="false">червень!P79</f>
        <v>1650.5</v>
      </c>
      <c r="E79" s="19" t="n">
        <f aca="false">червень!Q79</f>
        <v>0</v>
      </c>
      <c r="F79" s="20" t="n">
        <f aca="false">червень!F79</f>
        <v>0</v>
      </c>
      <c r="G79" s="21" t="n">
        <f aca="false">червень!G79</f>
        <v>49.2</v>
      </c>
      <c r="H79" s="21" t="n">
        <f aca="false">червень!H79</f>
        <v>0</v>
      </c>
      <c r="I79" s="22" t="n">
        <f aca="false">червень!I79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1852.22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червень!B80</f>
        <v>Горова О.І.</v>
      </c>
      <c r="C80" s="18" t="str">
        <f aca="false">червень!C80</f>
        <v>2072</v>
      </c>
      <c r="D80" s="19" t="n">
        <f aca="false">червень!P80</f>
        <v>3286.03</v>
      </c>
      <c r="E80" s="19" t="n">
        <f aca="false">червень!Q80</f>
        <v>0</v>
      </c>
      <c r="F80" s="20" t="n">
        <f aca="false">червень!F80</f>
        <v>0</v>
      </c>
      <c r="G80" s="21" t="n">
        <f aca="false">червень!G80</f>
        <v>65.43</v>
      </c>
      <c r="H80" s="21" t="n">
        <f aca="false">червень!H80</f>
        <v>0</v>
      </c>
      <c r="I80" s="22" t="n">
        <f aca="false">червень!I80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3554.29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червень!B81</f>
        <v>Рибакевич М.П.</v>
      </c>
      <c r="C81" s="18" t="str">
        <f aca="false">червень!C81</f>
        <v>3073</v>
      </c>
      <c r="D81" s="19" t="n">
        <f aca="false">червень!P81</f>
        <v>4238.8</v>
      </c>
      <c r="E81" s="19" t="n">
        <f aca="false">червень!Q81</f>
        <v>0</v>
      </c>
      <c r="F81" s="20" t="n">
        <f aca="false">червень!F81</f>
        <v>0</v>
      </c>
      <c r="G81" s="21" t="n">
        <f aca="false">червень!G81</f>
        <v>64.5</v>
      </c>
      <c r="H81" s="21" t="n">
        <f aca="false">червень!H81</f>
        <v>0</v>
      </c>
      <c r="I81" s="22" t="n">
        <f aca="false">червень!I81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4503.25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червень!B82</f>
        <v>Башкалов В.В.</v>
      </c>
      <c r="C82" s="18" t="str">
        <f aca="false">червень!C82</f>
        <v>3074</v>
      </c>
      <c r="D82" s="19" t="n">
        <f aca="false">червень!P82</f>
        <v>484.68</v>
      </c>
      <c r="E82" s="19" t="n">
        <f aca="false">червень!Q82</f>
        <v>0</v>
      </c>
      <c r="F82" s="20" t="n">
        <f aca="false">червень!F82</f>
        <v>0</v>
      </c>
      <c r="G82" s="21" t="n">
        <f aca="false">червень!G82</f>
        <v>50.8</v>
      </c>
      <c r="H82" s="21" t="n">
        <f aca="false">червень!H82</f>
        <v>0</v>
      </c>
      <c r="I82" s="22" t="n">
        <f aca="false">червень!I82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692.96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червень!B83</f>
        <v>Тіхенко Г.Д.</v>
      </c>
      <c r="C83" s="18" t="str">
        <f aca="false">червень!C83</f>
        <v>3075</v>
      </c>
      <c r="D83" s="19" t="n">
        <f aca="false">червень!P83</f>
        <v>2024.81</v>
      </c>
      <c r="E83" s="19" t="n">
        <f aca="false">червень!Q83</f>
        <v>0</v>
      </c>
      <c r="F83" s="20" t="n">
        <f aca="false">червень!F83</f>
        <v>0</v>
      </c>
      <c r="G83" s="21" t="n">
        <f aca="false">червень!G83</f>
        <v>34.9</v>
      </c>
      <c r="H83" s="21" t="n">
        <f aca="false">червень!H83</f>
        <v>0</v>
      </c>
      <c r="I83" s="22" t="n">
        <f aca="false">червень!I83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 t="n">
        <v>300</v>
      </c>
      <c r="P83" s="25" t="n">
        <f aca="false">IF(D83=0,IF((N83-E83-O83)&gt;0,(N83-E83-O83),0),IF((D83+N83-O83)&gt;0,(D83+N83-O83),0))</f>
        <v>1867.9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червень!B84</f>
        <v>Головченко В.Г.</v>
      </c>
      <c r="C84" s="18" t="str">
        <f aca="false">червень!C84</f>
        <v>3076</v>
      </c>
      <c r="D84" s="19" t="n">
        <f aca="false">червень!P84</f>
        <v>698.18</v>
      </c>
      <c r="E84" s="19" t="n">
        <f aca="false">червень!Q84</f>
        <v>0</v>
      </c>
      <c r="F84" s="20" t="n">
        <f aca="false">червень!F84</f>
        <v>0</v>
      </c>
      <c r="G84" s="21" t="n">
        <f aca="false">червень!G84</f>
        <v>61</v>
      </c>
      <c r="H84" s="21" t="n">
        <f aca="false">червень!H84</f>
        <v>0</v>
      </c>
      <c r="I84" s="22" t="n">
        <f aca="false">червень!I84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 t="n">
        <v>1000</v>
      </c>
      <c r="P84" s="25" t="n">
        <f aca="false">IF(D84=0,IF((N84-E84-O84)&gt;0,(N84-E84-O84),0),IF((D84+N84-O84)&gt;0,(D84+N84-O84),0))</f>
        <v>0</v>
      </c>
      <c r="Q84" s="25" t="n">
        <f aca="false">IF(E84=0,IF((D84+N84-O84)&lt;0,ABS(D84+N84-O84),0),IF((N84-E84-O84)&lt;0,ABS(N84-E84-O84),0))</f>
        <v>51.7200000000005</v>
      </c>
    </row>
    <row r="85" customFormat="false" ht="15" hidden="false" customHeight="false" outlineLevel="0" collapsed="false">
      <c r="A85" s="17" t="s">
        <v>251</v>
      </c>
      <c r="B85" s="18" t="str">
        <f aca="false">червень!B85</f>
        <v>Семанішина Є.С.</v>
      </c>
      <c r="C85" s="18" t="str">
        <f aca="false">червень!C85</f>
        <v>3077</v>
      </c>
      <c r="D85" s="19" t="n">
        <f aca="false">червень!P85</f>
        <v>3166.15</v>
      </c>
      <c r="E85" s="19" t="n">
        <f aca="false">червень!Q85</f>
        <v>0</v>
      </c>
      <c r="F85" s="20" t="n">
        <f aca="false">червень!F85</f>
        <v>0</v>
      </c>
      <c r="G85" s="21" t="n">
        <f aca="false">червень!G85</f>
        <v>64.5</v>
      </c>
      <c r="H85" s="21" t="n">
        <f aca="false">червень!H85</f>
        <v>0</v>
      </c>
      <c r="I85" s="22" t="n">
        <f aca="false">червень!I85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3430.6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червень!B86</f>
        <v>Зінченко Ю.В.</v>
      </c>
      <c r="C86" s="18" t="str">
        <f aca="false">червень!C86</f>
        <v>3078</v>
      </c>
      <c r="D86" s="19" t="n">
        <f aca="false">червень!P86</f>
        <v>186.39</v>
      </c>
      <c r="E86" s="19" t="n">
        <f aca="false">червень!Q86</f>
        <v>0</v>
      </c>
      <c r="F86" s="20" t="n">
        <f aca="false">червень!F86</f>
        <v>0</v>
      </c>
      <c r="G86" s="21" t="n">
        <f aca="false">червень!G86</f>
        <v>49.3</v>
      </c>
      <c r="H86" s="21" t="n">
        <f aca="false">червень!H86</f>
        <v>0</v>
      </c>
      <c r="I86" s="22" t="n">
        <f aca="false">червень!I86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388.52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червень!B87</f>
        <v>Рилова Г.П.</v>
      </c>
      <c r="C87" s="18" t="str">
        <f aca="false">червень!C87</f>
        <v>3079</v>
      </c>
      <c r="D87" s="19" t="n">
        <f aca="false">червень!P87</f>
        <v>0</v>
      </c>
      <c r="E87" s="19" t="n">
        <f aca="false">червень!Q87</f>
        <v>6.60000000000025</v>
      </c>
      <c r="F87" s="20" t="n">
        <f aca="false">червень!F87</f>
        <v>0</v>
      </c>
      <c r="G87" s="21" t="n">
        <f aca="false">червень!G87</f>
        <v>35</v>
      </c>
      <c r="H87" s="21" t="n">
        <f aca="false">червень!H87</f>
        <v>0</v>
      </c>
      <c r="I87" s="22" t="n">
        <f aca="false">червень!I87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/>
      <c r="P87" s="25" t="n">
        <f aca="false">IF(D87=0,IF((N87-E87-O87)&gt;0,(N87-E87-O87),0),IF((D87+N87-O87)&gt;0,(D87+N87-O87),0))</f>
        <v>136.9</v>
      </c>
      <c r="Q87" s="25" t="n">
        <f aca="false">IF(E87=0,IF((D87+N87-O87)&lt;0,ABS(D87+N87-O87),0),IF((N87-E87-O87)&lt;0,ABS(N87-E87-O87),0))</f>
        <v>0</v>
      </c>
    </row>
    <row r="88" customFormat="false" ht="15" hidden="false" customHeight="false" outlineLevel="0" collapsed="false">
      <c r="A88" s="17" t="s">
        <v>260</v>
      </c>
      <c r="B88" s="18" t="str">
        <f aca="false">червень!B88</f>
        <v>Ленський І.О.</v>
      </c>
      <c r="C88" s="18" t="str">
        <f aca="false">червень!C88</f>
        <v>3080</v>
      </c>
      <c r="D88" s="19" t="n">
        <f aca="false">червень!P88</f>
        <v>476.73</v>
      </c>
      <c r="E88" s="19" t="n">
        <f aca="false">червень!Q88</f>
        <v>0</v>
      </c>
      <c r="F88" s="20" t="n">
        <f aca="false">червень!F88</f>
        <v>0</v>
      </c>
      <c r="G88" s="21" t="n">
        <f aca="false">червень!G88</f>
        <v>61.8</v>
      </c>
      <c r="H88" s="21" t="n">
        <f aca="false">червень!H88</f>
        <v>0</v>
      </c>
      <c r="I88" s="22" t="n">
        <f aca="false">червень!I88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 t="n">
        <v>260</v>
      </c>
      <c r="P88" s="25" t="n">
        <f aca="false">IF(D88=0,IF((N88-E88-O88)&gt;0,(N88-E88-O88),0),IF((D88+N88-O88)&gt;0,(D88+N88-O88),0))</f>
        <v>470.11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червень!B89</f>
        <v>Слюсар О.О.</v>
      </c>
      <c r="C89" s="18" t="str">
        <f aca="false">червень!C89</f>
        <v>3081</v>
      </c>
      <c r="D89" s="19" t="n">
        <f aca="false">червень!P89</f>
        <v>4452.47</v>
      </c>
      <c r="E89" s="19" t="n">
        <f aca="false">червень!Q89</f>
        <v>0</v>
      </c>
      <c r="F89" s="20" t="n">
        <f aca="false">червень!F89</f>
        <v>0</v>
      </c>
      <c r="G89" s="21" t="n">
        <f aca="false">червень!G89</f>
        <v>65.81</v>
      </c>
      <c r="H89" s="21" t="n">
        <f aca="false">червень!H89</f>
        <v>0</v>
      </c>
      <c r="I89" s="22" t="n">
        <f aca="false">червень!I89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4722.29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червень!B90</f>
        <v>Кісельов Г.О.</v>
      </c>
      <c r="C90" s="18" t="str">
        <f aca="false">червень!C90</f>
        <v>3082</v>
      </c>
      <c r="D90" s="19" t="n">
        <f aca="false">червень!P90</f>
        <v>31.6899999999999</v>
      </c>
      <c r="E90" s="19" t="n">
        <f aca="false">червень!Q90</f>
        <v>0</v>
      </c>
      <c r="F90" s="20" t="n">
        <f aca="false">червень!F90</f>
        <v>0</v>
      </c>
      <c r="G90" s="21" t="n">
        <f aca="false">червень!G90</f>
        <v>49.7</v>
      </c>
      <c r="H90" s="21" t="n">
        <f aca="false">червень!H90</f>
        <v>0</v>
      </c>
      <c r="I90" s="22" t="n">
        <f aca="false">червень!I90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235.46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червень!B91</f>
        <v>Губанова Н.С.</v>
      </c>
      <c r="C91" s="18" t="str">
        <f aca="false">червень!C91</f>
        <v>3083</v>
      </c>
      <c r="D91" s="19" t="n">
        <f aca="false">червень!P91</f>
        <v>1555.95</v>
      </c>
      <c r="E91" s="19" t="n">
        <f aca="false">червень!Q91</f>
        <v>0</v>
      </c>
      <c r="F91" s="20" t="n">
        <f aca="false">червень!F91</f>
        <v>0</v>
      </c>
      <c r="G91" s="21" t="n">
        <f aca="false">червень!G91</f>
        <v>34.5</v>
      </c>
      <c r="H91" s="21" t="n">
        <f aca="false">червень!H91</f>
        <v>0</v>
      </c>
      <c r="I91" s="22" t="n">
        <f aca="false">червень!I91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1697.4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червень!B92</f>
        <v>Попова А.В.</v>
      </c>
      <c r="C92" s="18" t="str">
        <f aca="false">червень!C92</f>
        <v>3084</v>
      </c>
      <c r="D92" s="19" t="n">
        <f aca="false">червень!P92</f>
        <v>1534.23</v>
      </c>
      <c r="E92" s="19" t="n">
        <f aca="false">червень!Q92</f>
        <v>0</v>
      </c>
      <c r="F92" s="20" t="n">
        <f aca="false">червень!F92</f>
        <v>0</v>
      </c>
      <c r="G92" s="21" t="n">
        <f aca="false">червень!G92</f>
        <v>62.4</v>
      </c>
      <c r="H92" s="21" t="n">
        <f aca="false">червень!H92</f>
        <v>0</v>
      </c>
      <c r="I92" s="22" t="n">
        <f aca="false">червень!I92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1790.07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червень!B93</f>
        <v>Стародубець О.К.</v>
      </c>
      <c r="C93" s="18" t="str">
        <f aca="false">червень!C93</f>
        <v>3085</v>
      </c>
      <c r="D93" s="19" t="n">
        <f aca="false">червень!P93</f>
        <v>4582.59</v>
      </c>
      <c r="E93" s="19" t="n">
        <f aca="false">червень!Q93</f>
        <v>0</v>
      </c>
      <c r="F93" s="20" t="n">
        <f aca="false">червень!F93</f>
        <v>0</v>
      </c>
      <c r="G93" s="21" t="n">
        <f aca="false">червень!G93</f>
        <v>66.46</v>
      </c>
      <c r="H93" s="21" t="n">
        <f aca="false">червень!H93</f>
        <v>0</v>
      </c>
      <c r="I93" s="22" t="n">
        <f aca="false">червень!I93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4855.08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червень!B94</f>
        <v>Сакун Т.А.</v>
      </c>
      <c r="C94" s="18" t="str">
        <f aca="false">червень!C94</f>
        <v>3086</v>
      </c>
      <c r="D94" s="19" t="n">
        <f aca="false">червень!P94</f>
        <v>3669.92</v>
      </c>
      <c r="E94" s="19" t="n">
        <f aca="false">червень!Q94</f>
        <v>0</v>
      </c>
      <c r="F94" s="20" t="n">
        <f aca="false">червень!F94</f>
        <v>0</v>
      </c>
      <c r="G94" s="21" t="n">
        <f aca="false">червень!G94</f>
        <v>49.73</v>
      </c>
      <c r="H94" s="21" t="n">
        <f aca="false">червень!H94</f>
        <v>0</v>
      </c>
      <c r="I94" s="22" t="n">
        <f aca="false">червень!I94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3873.81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червень!B95</f>
        <v>Фатєєв Ю.О.</v>
      </c>
      <c r="C95" s="18" t="str">
        <f aca="false">червень!C95</f>
        <v>3087</v>
      </c>
      <c r="D95" s="19" t="n">
        <f aca="false">червень!P95</f>
        <v>4650.99</v>
      </c>
      <c r="E95" s="19" t="n">
        <f aca="false">червень!Q95</f>
        <v>0</v>
      </c>
      <c r="F95" s="20" t="n">
        <f aca="false">червень!F95</f>
        <v>0</v>
      </c>
      <c r="G95" s="21" t="n">
        <f aca="false">червень!G95</f>
        <v>34.9</v>
      </c>
      <c r="H95" s="21" t="n">
        <f aca="false">червень!H95</f>
        <v>0</v>
      </c>
      <c r="I95" s="22" t="n">
        <f aca="false">червень!I95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4794.08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червень!B96</f>
        <v>Лукашов Є.В.</v>
      </c>
      <c r="C96" s="18" t="str">
        <f aca="false">червень!C96</f>
        <v>3088</v>
      </c>
      <c r="D96" s="19" t="n">
        <f aca="false">червень!P96</f>
        <v>8963.69000000002</v>
      </c>
      <c r="E96" s="19" t="n">
        <f aca="false">червень!Q96</f>
        <v>0</v>
      </c>
      <c r="F96" s="20" t="n">
        <f aca="false">червень!F96</f>
        <v>0</v>
      </c>
      <c r="G96" s="21" t="n">
        <f aca="false">червень!G96</f>
        <v>61.9</v>
      </c>
      <c r="H96" s="21" t="n">
        <f aca="false">червень!H96</f>
        <v>0</v>
      </c>
      <c r="I96" s="22" t="n">
        <f aca="false">червень!I96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9217.48000000003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червень!B97</f>
        <v>Довбета В.М.</v>
      </c>
      <c r="C97" s="18" t="str">
        <f aca="false">червень!C97</f>
        <v>3089</v>
      </c>
      <c r="D97" s="19" t="n">
        <f aca="false">червень!P97</f>
        <v>0</v>
      </c>
      <c r="E97" s="19" t="n">
        <f aca="false">червень!Q97</f>
        <v>38.9499999999995</v>
      </c>
      <c r="F97" s="20" t="n">
        <f aca="false">червень!F97</f>
        <v>0</v>
      </c>
      <c r="G97" s="21" t="n">
        <f aca="false">червень!G97</f>
        <v>65.3</v>
      </c>
      <c r="H97" s="21" t="n">
        <f aca="false">червень!H97</f>
        <v>0</v>
      </c>
      <c r="I97" s="22" t="n">
        <f aca="false">червень!I97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270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41.2199999999995</v>
      </c>
    </row>
    <row r="98" customFormat="false" ht="15" hidden="false" customHeight="false" outlineLevel="0" collapsed="false">
      <c r="A98" s="17" t="s">
        <v>290</v>
      </c>
      <c r="B98" s="18" t="str">
        <f aca="false">червень!B98</f>
        <v>Черняк К.В.</v>
      </c>
      <c r="C98" s="18" t="str">
        <f aca="false">червень!C98</f>
        <v>3090</v>
      </c>
      <c r="D98" s="19" t="n">
        <f aca="false">червень!P98</f>
        <v>0</v>
      </c>
      <c r="E98" s="19" t="n">
        <f aca="false">червень!Q98</f>
        <v>408.41</v>
      </c>
      <c r="F98" s="20" t="n">
        <f aca="false">червень!F98</f>
        <v>0</v>
      </c>
      <c r="G98" s="21" t="n">
        <f aca="false">червень!G98</f>
        <v>49.48</v>
      </c>
      <c r="H98" s="21" t="n">
        <f aca="false">червень!H98</f>
        <v>0</v>
      </c>
      <c r="I98" s="22" t="n">
        <f aca="false">червень!I98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205.54</v>
      </c>
    </row>
    <row r="99" customFormat="false" ht="15" hidden="false" customHeight="false" outlineLevel="0" collapsed="false">
      <c r="A99" s="17" t="s">
        <v>293</v>
      </c>
      <c r="B99" s="18" t="str">
        <f aca="false">червень!B99</f>
        <v>Удінцева Г.А.</v>
      </c>
      <c r="C99" s="18" t="str">
        <f aca="false">червень!C99</f>
        <v>3091</v>
      </c>
      <c r="D99" s="19" t="n">
        <f aca="false">червень!P99</f>
        <v>660.74</v>
      </c>
      <c r="E99" s="19" t="n">
        <f aca="false">червень!Q99</f>
        <v>0</v>
      </c>
      <c r="F99" s="20" t="n">
        <f aca="false">червень!F99</f>
        <v>0</v>
      </c>
      <c r="G99" s="21" t="n">
        <f aca="false">червень!G99</f>
        <v>35.1</v>
      </c>
      <c r="H99" s="21" t="n">
        <f aca="false">червень!H99</f>
        <v>0</v>
      </c>
      <c r="I99" s="22" t="n">
        <f aca="false">червень!I99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 t="n">
        <v>518.8</v>
      </c>
      <c r="P99" s="25" t="n">
        <f aca="false">IF(D99=0,IF((N99-E99-O99)&gt;0,(N99-E99-O99),0),IF((D99+N99-O99)&gt;0,(D99+N99-O99),0))</f>
        <v>285.85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червень!B100</f>
        <v>Липка Г.Ю.</v>
      </c>
      <c r="C100" s="18" t="str">
        <f aca="false">червень!C100</f>
        <v>3092</v>
      </c>
      <c r="D100" s="19" t="n">
        <f aca="false">червень!P100</f>
        <v>5182.4</v>
      </c>
      <c r="E100" s="19" t="n">
        <f aca="false">червень!Q100</f>
        <v>0</v>
      </c>
      <c r="F100" s="20" t="n">
        <f aca="false">червень!F100</f>
        <v>0</v>
      </c>
      <c r="G100" s="21" t="n">
        <f aca="false">червень!G100</f>
        <v>63.2</v>
      </c>
      <c r="H100" s="21" t="n">
        <f aca="false">червень!H100</f>
        <v>0</v>
      </c>
      <c r="I100" s="22" t="n">
        <f aca="false">червень!I100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5441.52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червень!B101</f>
        <v>Утьосов Д.М.</v>
      </c>
      <c r="C101" s="18" t="str">
        <f aca="false">червень!C101</f>
        <v>3093</v>
      </c>
      <c r="D101" s="19" t="n">
        <f aca="false">червень!P101</f>
        <v>4264.54</v>
      </c>
      <c r="E101" s="19" t="n">
        <f aca="false">червень!Q101</f>
        <v>0</v>
      </c>
      <c r="F101" s="20" t="n">
        <f aca="false">червень!F101</f>
        <v>0</v>
      </c>
      <c r="G101" s="21" t="n">
        <f aca="false">червень!G101</f>
        <v>66.1</v>
      </c>
      <c r="H101" s="21" t="n">
        <f aca="false">червень!H101</f>
        <v>0</v>
      </c>
      <c r="I101" s="22" t="n">
        <f aca="false">червень!I101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 t="n">
        <v>5000</v>
      </c>
      <c r="P101" s="25" t="n">
        <f aca="false">IF(D101=0,IF((N101-E101-O101)&gt;0,(N101-E101-O101),0),IF((D101+N101-O101)&gt;0,(D101+N101-O101),0))</f>
        <v>0</v>
      </c>
      <c r="Q101" s="25" t="n">
        <f aca="false">IF(E101=0,IF((D101+N101-O101)&lt;0,ABS(D101+N101-O101),0),IF((N101-E101-O101)&lt;0,ABS(N101-E101-O101),0))</f>
        <v>464.449999999998</v>
      </c>
    </row>
    <row r="102" customFormat="false" ht="15" hidden="false" customHeight="false" outlineLevel="0" collapsed="false">
      <c r="A102" s="17" t="s">
        <v>302</v>
      </c>
      <c r="B102" s="18" t="str">
        <f aca="false">червень!B102</f>
        <v>Стеценко Д.М.</v>
      </c>
      <c r="C102" s="18" t="str">
        <f aca="false">червень!C102</f>
        <v>3094</v>
      </c>
      <c r="D102" s="19" t="n">
        <f aca="false">червень!P102</f>
        <v>1225.15</v>
      </c>
      <c r="E102" s="19" t="n">
        <f aca="false">червень!Q102</f>
        <v>0</v>
      </c>
      <c r="F102" s="20" t="n">
        <f aca="false">червень!F102</f>
        <v>0</v>
      </c>
      <c r="G102" s="21" t="n">
        <f aca="false">червень!G102</f>
        <v>49.8</v>
      </c>
      <c r="H102" s="21" t="n">
        <f aca="false">червень!H102</f>
        <v>0</v>
      </c>
      <c r="I102" s="22" t="n">
        <f aca="false">червень!I102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1429.33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червень!B103</f>
        <v>Задніпряна О.М.</v>
      </c>
      <c r="C103" s="18" t="str">
        <f aca="false">червень!C103</f>
        <v>3095</v>
      </c>
      <c r="D103" s="19" t="n">
        <f aca="false">червень!P103</f>
        <v>1987.64</v>
      </c>
      <c r="E103" s="19" t="n">
        <f aca="false">червень!Q103</f>
        <v>0</v>
      </c>
      <c r="F103" s="20" t="n">
        <f aca="false">червень!F103</f>
        <v>0</v>
      </c>
      <c r="G103" s="21" t="n">
        <f aca="false">червень!G103</f>
        <v>34.6</v>
      </c>
      <c r="H103" s="21" t="n">
        <f aca="false">червень!H103</f>
        <v>0</v>
      </c>
      <c r="I103" s="22" t="n">
        <f aca="false">червень!I103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2129.5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червень!B104</f>
        <v>Геращенко М.Д.</v>
      </c>
      <c r="C104" s="18" t="str">
        <f aca="false">червень!C104</f>
        <v>3096</v>
      </c>
      <c r="D104" s="19" t="n">
        <f aca="false">червень!P104</f>
        <v>1339.26</v>
      </c>
      <c r="E104" s="19" t="n">
        <f aca="false">червень!Q104</f>
        <v>0</v>
      </c>
      <c r="F104" s="20" t="n">
        <f aca="false">червень!F104</f>
        <v>0</v>
      </c>
      <c r="G104" s="21" t="n">
        <f aca="false">червень!G104</f>
        <v>62.6</v>
      </c>
      <c r="H104" s="21" t="n">
        <f aca="false">червень!H104</f>
        <v>0</v>
      </c>
      <c r="I104" s="22" t="n">
        <f aca="false">червень!I104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1595.92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червень!B105</f>
        <v>Горб В.М.</v>
      </c>
      <c r="C105" s="18" t="str">
        <f aca="false">червень!C105</f>
        <v>3097</v>
      </c>
      <c r="D105" s="19" t="n">
        <f aca="false">червень!P105</f>
        <v>3223.39</v>
      </c>
      <c r="E105" s="19" t="n">
        <f aca="false">червень!Q105</f>
        <v>0</v>
      </c>
      <c r="F105" s="20" t="n">
        <f aca="false">червень!F105</f>
        <v>0</v>
      </c>
      <c r="G105" s="21" t="n">
        <f aca="false">червень!G105</f>
        <v>65.57</v>
      </c>
      <c r="H105" s="21" t="n">
        <f aca="false">червень!H105</f>
        <v>0</v>
      </c>
      <c r="I105" s="22" t="n">
        <f aca="false">червень!I105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3492.23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червень!B106</f>
        <v>Нойок Г.К.</v>
      </c>
      <c r="C106" s="18" t="str">
        <f aca="false">червень!C106</f>
        <v>3098</v>
      </c>
      <c r="D106" s="19" t="n">
        <f aca="false">червень!P106</f>
        <v>1238.75</v>
      </c>
      <c r="E106" s="19" t="n">
        <f aca="false">червень!Q106</f>
        <v>0</v>
      </c>
      <c r="F106" s="20" t="n">
        <f aca="false">червень!F106</f>
        <v>0</v>
      </c>
      <c r="G106" s="21" t="n">
        <f aca="false">червень!G106</f>
        <v>49.8</v>
      </c>
      <c r="H106" s="21" t="n">
        <f aca="false">червень!H106</f>
        <v>0</v>
      </c>
      <c r="I106" s="22" t="n">
        <f aca="false">червень!I106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1442.93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червень!B107</f>
        <v>Сафонова О.В.</v>
      </c>
      <c r="C107" s="18" t="str">
        <f aca="false">червень!C107</f>
        <v>3099</v>
      </c>
      <c r="D107" s="19" t="n">
        <f aca="false">червень!P107</f>
        <v>1671.26</v>
      </c>
      <c r="E107" s="19" t="n">
        <f aca="false">червень!Q107</f>
        <v>0</v>
      </c>
      <c r="F107" s="20" t="n">
        <f aca="false">червень!F107</f>
        <v>0</v>
      </c>
      <c r="G107" s="21" t="n">
        <f aca="false">червень!G107</f>
        <v>34.9</v>
      </c>
      <c r="H107" s="21" t="n">
        <f aca="false">червень!H107</f>
        <v>0</v>
      </c>
      <c r="I107" s="22" t="n">
        <f aca="false">червень!I107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1814.35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червень!B108</f>
        <v>Вінарська Н.П.</v>
      </c>
      <c r="C108" s="18" t="str">
        <f aca="false">червень!C108</f>
        <v>30100</v>
      </c>
      <c r="D108" s="19" t="n">
        <f aca="false">червень!P108</f>
        <v>4375.04</v>
      </c>
      <c r="E108" s="19" t="n">
        <f aca="false">червень!Q108</f>
        <v>0</v>
      </c>
      <c r="F108" s="20" t="n">
        <f aca="false">червень!F108</f>
        <v>0</v>
      </c>
      <c r="G108" s="21" t="n">
        <f aca="false">червень!G108</f>
        <v>62.78</v>
      </c>
      <c r="H108" s="21" t="n">
        <f aca="false">червень!H108</f>
        <v>0</v>
      </c>
      <c r="I108" s="22" t="n">
        <f aca="false">червень!I108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4632.44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червень!B109</f>
        <v>Чернова Н.І.</v>
      </c>
      <c r="C109" s="18" t="str">
        <f aca="false">червень!C109</f>
        <v>30101</v>
      </c>
      <c r="D109" s="19" t="n">
        <f aca="false">червень!P109</f>
        <v>4539.5</v>
      </c>
      <c r="E109" s="19" t="n">
        <f aca="false">червень!Q109</f>
        <v>0</v>
      </c>
      <c r="F109" s="20" t="n">
        <f aca="false">червень!F109</f>
        <v>0</v>
      </c>
      <c r="G109" s="21" t="n">
        <f aca="false">червень!G109</f>
        <v>66.29</v>
      </c>
      <c r="H109" s="21" t="n">
        <f aca="false">червень!H109</f>
        <v>0</v>
      </c>
      <c r="I109" s="22" t="n">
        <f aca="false">червень!I109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4811.29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червень!B110</f>
        <v>Кошева Н.П</v>
      </c>
      <c r="C110" s="18" t="str">
        <f aca="false">червень!C110</f>
        <v>30102</v>
      </c>
      <c r="D110" s="19" t="n">
        <f aca="false">червень!P110</f>
        <v>3099</v>
      </c>
      <c r="E110" s="19" t="n">
        <f aca="false">червень!Q110</f>
        <v>0</v>
      </c>
      <c r="F110" s="20" t="n">
        <f aca="false">червень!F110</f>
        <v>0</v>
      </c>
      <c r="G110" s="21" t="n">
        <f aca="false">червень!G110</f>
        <v>50</v>
      </c>
      <c r="H110" s="21" t="n">
        <f aca="false">червень!H110</f>
        <v>0</v>
      </c>
      <c r="I110" s="22" t="n">
        <f aca="false">червень!I110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3304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червень!B111</f>
        <v>Уривський Д.Б.</v>
      </c>
      <c r="C111" s="18" t="str">
        <f aca="false">червень!C111</f>
        <v>30103</v>
      </c>
      <c r="D111" s="19" t="n">
        <f aca="false">червень!P111</f>
        <v>2516.09</v>
      </c>
      <c r="E111" s="19" t="n">
        <f aca="false">червень!Q111</f>
        <v>0</v>
      </c>
      <c r="F111" s="20" t="n">
        <f aca="false">червень!F111</f>
        <v>0</v>
      </c>
      <c r="G111" s="21" t="n">
        <f aca="false">червень!G111</f>
        <v>35</v>
      </c>
      <c r="H111" s="21" t="n">
        <f aca="false">червень!H111</f>
        <v>0</v>
      </c>
      <c r="I111" s="22" t="n">
        <f aca="false">червень!I111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2659.59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червень!B112</f>
        <v>АДПСУ (Чорноморець В.М.)</v>
      </c>
      <c r="C112" s="18" t="str">
        <f aca="false">червень!C112</f>
        <v>30104</v>
      </c>
      <c r="D112" s="19" t="n">
        <f aca="false">червень!P112</f>
        <v>2780.38</v>
      </c>
      <c r="E112" s="19" t="n">
        <f aca="false">червень!Q112</f>
        <v>0</v>
      </c>
      <c r="F112" s="20" t="n">
        <f aca="false">червень!F112</f>
        <v>0</v>
      </c>
      <c r="G112" s="21" t="n">
        <f aca="false">червень!G112</f>
        <v>61.1</v>
      </c>
      <c r="H112" s="21" t="n">
        <f aca="false">червень!H112</f>
        <v>0</v>
      </c>
      <c r="I112" s="22" t="n">
        <f aca="false">червень!I112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3030.89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червень!B113</f>
        <v>Дмитренко Г.В.</v>
      </c>
      <c r="C113" s="18" t="str">
        <f aca="false">червень!C113</f>
        <v>30105</v>
      </c>
      <c r="D113" s="19" t="n">
        <f aca="false">червень!P113</f>
        <v>3504.27</v>
      </c>
      <c r="E113" s="19" t="n">
        <f aca="false">червень!Q113</f>
        <v>0</v>
      </c>
      <c r="F113" s="20" t="n">
        <f aca="false">червень!F113</f>
        <v>0</v>
      </c>
      <c r="G113" s="21" t="n">
        <f aca="false">червень!G113</f>
        <v>64.89</v>
      </c>
      <c r="H113" s="21" t="n">
        <f aca="false">червень!H113</f>
        <v>0</v>
      </c>
      <c r="I113" s="22" t="n">
        <f aca="false">червень!I113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3770.32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червень!B114</f>
        <v>Номерова Т.В.</v>
      </c>
      <c r="C114" s="18" t="str">
        <f aca="false">червень!C114</f>
        <v>30106</v>
      </c>
      <c r="D114" s="19" t="n">
        <f aca="false">червень!P114</f>
        <v>379.84</v>
      </c>
      <c r="E114" s="19" t="n">
        <f aca="false">червень!Q114</f>
        <v>0</v>
      </c>
      <c r="F114" s="20" t="n">
        <f aca="false">червень!F114</f>
        <v>0</v>
      </c>
      <c r="G114" s="21" t="n">
        <f aca="false">червень!G114</f>
        <v>49.96</v>
      </c>
      <c r="H114" s="21" t="n">
        <f aca="false">червень!H114</f>
        <v>0</v>
      </c>
      <c r="I114" s="22" t="n">
        <f aca="false">червень!I114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584.68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червень!B115</f>
        <v>Самойлова О.В.</v>
      </c>
      <c r="C115" s="18" t="str">
        <f aca="false">червень!C115</f>
        <v>30107</v>
      </c>
      <c r="D115" s="19" t="n">
        <f aca="false">червень!P115</f>
        <v>141.45</v>
      </c>
      <c r="E115" s="19" t="n">
        <f aca="false">червень!Q115</f>
        <v>0</v>
      </c>
      <c r="F115" s="20" t="n">
        <f aca="false">червень!F115</f>
        <v>0</v>
      </c>
      <c r="G115" s="21" t="n">
        <f aca="false">червень!G115</f>
        <v>34.5</v>
      </c>
      <c r="H115" s="21" t="n">
        <f aca="false">червень!H115</f>
        <v>0</v>
      </c>
      <c r="I115" s="22" t="n">
        <f aca="false">червень!I115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 t="n">
        <v>141.45</v>
      </c>
      <c r="P115" s="25" t="n">
        <f aca="false">IF(D115=0,IF((N115-E115-O115)&gt;0,(N115-E115-O115),0),IF((D115+N115-O115)&gt;0,(D115+N115-O115),0))</f>
        <v>141.45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червень!B116</f>
        <v>Випенко О.І.</v>
      </c>
      <c r="C116" s="18" t="str">
        <f aca="false">червень!C116</f>
        <v>30108</v>
      </c>
      <c r="D116" s="19" t="n">
        <f aca="false">червень!P116</f>
        <v>7704.34</v>
      </c>
      <c r="E116" s="19" t="n">
        <f aca="false">червень!Q116</f>
        <v>0</v>
      </c>
      <c r="F116" s="20" t="n">
        <f aca="false">червень!F116</f>
        <v>0</v>
      </c>
      <c r="G116" s="21" t="n">
        <f aca="false">червень!G116</f>
        <v>62.9</v>
      </c>
      <c r="H116" s="21" t="n">
        <f aca="false">червень!H116</f>
        <v>0</v>
      </c>
      <c r="I116" s="22" t="n">
        <f aca="false">червень!I116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7962.23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червень!B117</f>
        <v>Саприкін Ю.О.</v>
      </c>
      <c r="C117" s="18" t="str">
        <f aca="false">червень!C117</f>
        <v>40109</v>
      </c>
      <c r="D117" s="19" t="n">
        <f aca="false">червень!P117</f>
        <v>398.52</v>
      </c>
      <c r="E117" s="19" t="n">
        <f aca="false">червень!Q117</f>
        <v>0</v>
      </c>
      <c r="F117" s="20" t="n">
        <f aca="false">червень!F117</f>
        <v>0</v>
      </c>
      <c r="G117" s="21" t="n">
        <f aca="false">червень!G117</f>
        <v>97.2</v>
      </c>
      <c r="H117" s="21" t="n">
        <f aca="false">червень!H117</f>
        <v>0</v>
      </c>
      <c r="I117" s="22" t="n">
        <f aca="false">червень!I117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 t="n">
        <v>398.52</v>
      </c>
      <c r="P117" s="25" t="n">
        <f aca="false">IF(D117=0,IF((N117-E117-O117)&gt;0,(N117-E117-O117),0),IF((D117+N117-O117)&gt;0,(D117+N117-O117),0))</f>
        <v>398.52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червень!B118</f>
        <v>Мовчан В.М.</v>
      </c>
      <c r="C118" s="18" t="str">
        <f aca="false">червень!C118</f>
        <v>40110</v>
      </c>
      <c r="D118" s="19" t="n">
        <f aca="false">червень!P118</f>
        <v>198.85</v>
      </c>
      <c r="E118" s="19" t="n">
        <f aca="false">червень!Q118</f>
        <v>0</v>
      </c>
      <c r="F118" s="20" t="n">
        <f aca="false">червень!F118</f>
        <v>0</v>
      </c>
      <c r="G118" s="21" t="n">
        <f aca="false">червень!G118</f>
        <v>48.75</v>
      </c>
      <c r="H118" s="21" t="n">
        <f aca="false">червень!H118</f>
        <v>0</v>
      </c>
      <c r="I118" s="22" t="n">
        <f aca="false">червень!I118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/>
      <c r="P118" s="25" t="n">
        <f aca="false">IF(D118=0,IF((N118-E118-O118)&gt;0,(N118-E118-O118),0),IF((D118+N118-O118)&gt;0,(D118+N118-O118),0))</f>
        <v>398.73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червень!B119</f>
        <v>Величко Н.М.</v>
      </c>
      <c r="C119" s="18" t="str">
        <f aca="false">червень!C119</f>
        <v>40111</v>
      </c>
      <c r="D119" s="19" t="n">
        <f aca="false">червень!P119</f>
        <v>3658.9</v>
      </c>
      <c r="E119" s="19" t="n">
        <f aca="false">червень!Q119</f>
        <v>0</v>
      </c>
      <c r="F119" s="20" t="n">
        <f aca="false">червень!F119</f>
        <v>0</v>
      </c>
      <c r="G119" s="21" t="n">
        <f aca="false">червень!G119</f>
        <v>63.8</v>
      </c>
      <c r="H119" s="21" t="n">
        <f aca="false">червень!H119</f>
        <v>0</v>
      </c>
      <c r="I119" s="22" t="n">
        <f aca="false">червень!I119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 t="n">
        <v>3000</v>
      </c>
      <c r="P119" s="25" t="n">
        <f aca="false">IF(D119=0,IF((N119-E119-O119)&gt;0,(N119-E119-O119),0),IF((D119+N119-O119)&gt;0,(D119+N119-O119),0))</f>
        <v>920.479999999999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червень!B120</f>
        <v>Бухлов С.В.</v>
      </c>
      <c r="C120" s="18" t="str">
        <f aca="false">червень!C120</f>
        <v>40112</v>
      </c>
      <c r="D120" s="19" t="n">
        <f aca="false">червень!P120</f>
        <v>9534.45</v>
      </c>
      <c r="E120" s="19" t="n">
        <f aca="false">червень!Q120</f>
        <v>0</v>
      </c>
      <c r="F120" s="20" t="n">
        <f aca="false">червень!F120</f>
        <v>0</v>
      </c>
      <c r="G120" s="21" t="n">
        <f aca="false">червень!G120</f>
        <v>62.6</v>
      </c>
      <c r="H120" s="21" t="n">
        <f aca="false">червень!H120</f>
        <v>0</v>
      </c>
      <c r="I120" s="22" t="n">
        <f aca="false">червень!I120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9791.11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червень!B121</f>
        <v>Перепеліцина Т.Ю.</v>
      </c>
      <c r="C121" s="18" t="str">
        <f aca="false">червень!C121</f>
        <v>40113</v>
      </c>
      <c r="D121" s="19" t="n">
        <f aca="false">червень!P121</f>
        <v>235.09</v>
      </c>
      <c r="E121" s="19" t="n">
        <f aca="false">червень!Q121</f>
        <v>0</v>
      </c>
      <c r="F121" s="20" t="n">
        <f aca="false">червень!F121</f>
        <v>0</v>
      </c>
      <c r="G121" s="21" t="n">
        <f aca="false">червень!G121</f>
        <v>34.7</v>
      </c>
      <c r="H121" s="21" t="n">
        <f aca="false">червень!H121</f>
        <v>0</v>
      </c>
      <c r="I121" s="22" t="n">
        <f aca="false">червень!I121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 t="n">
        <v>450</v>
      </c>
      <c r="P121" s="25" t="n">
        <f aca="false">IF(D121=0,IF((N121-E121-O121)&gt;0,(N121-E121-O121),0),IF((D121+N121-O121)&gt;0,(D121+N121-O121),0))</f>
        <v>0</v>
      </c>
      <c r="Q121" s="25" t="n">
        <f aca="false">IF(E121=0,IF((D121+N121-O121)&lt;0,ABS(D121+N121-O121),0),IF((N121-E121-O121)&lt;0,ABS(N121-E121-O121),0))</f>
        <v>72.6399999999999</v>
      </c>
    </row>
    <row r="122" customFormat="false" ht="15" hidden="false" customHeight="false" outlineLevel="0" collapsed="false">
      <c r="A122" s="17" t="s">
        <v>362</v>
      </c>
      <c r="B122" s="18" t="str">
        <f aca="false">червень!B122</f>
        <v>Свєтлова Т.Ю.</v>
      </c>
      <c r="C122" s="18" t="str">
        <f aca="false">червень!C122</f>
        <v>40114</v>
      </c>
      <c r="D122" s="19" t="n">
        <f aca="false">червень!P122</f>
        <v>1224.7</v>
      </c>
      <c r="E122" s="19" t="n">
        <f aca="false">червень!Q122</f>
        <v>0</v>
      </c>
      <c r="F122" s="20" t="n">
        <f aca="false">червень!F122</f>
        <v>0</v>
      </c>
      <c r="G122" s="21" t="n">
        <f aca="false">червень!G122</f>
        <v>49.72</v>
      </c>
      <c r="H122" s="21" t="n">
        <f aca="false">червень!H122</f>
        <v>0</v>
      </c>
      <c r="I122" s="22" t="n">
        <f aca="false">червень!I122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1428.55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червень!B123</f>
        <v>Маркова О.М.</v>
      </c>
      <c r="C123" s="18" t="str">
        <f aca="false">червень!C123</f>
        <v>40115</v>
      </c>
      <c r="D123" s="19" t="n">
        <f aca="false">червень!P123</f>
        <v>4557.47</v>
      </c>
      <c r="E123" s="19" t="n">
        <f aca="false">червень!Q123</f>
        <v>0</v>
      </c>
      <c r="F123" s="20" t="n">
        <f aca="false">червень!F123</f>
        <v>0</v>
      </c>
      <c r="G123" s="21" t="n">
        <f aca="false">червень!G123</f>
        <v>65.1</v>
      </c>
      <c r="H123" s="21" t="n">
        <f aca="false">червень!H123</f>
        <v>0</v>
      </c>
      <c r="I123" s="22" t="n">
        <f aca="false">червень!I123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4824.38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червень!B124</f>
        <v>Ракитська А.М.</v>
      </c>
      <c r="C124" s="18" t="str">
        <f aca="false">червень!C124</f>
        <v>40116</v>
      </c>
      <c r="D124" s="19" t="n">
        <f aca="false">червень!P124</f>
        <v>2984.48</v>
      </c>
      <c r="E124" s="19" t="n">
        <f aca="false">червень!Q124</f>
        <v>0</v>
      </c>
      <c r="F124" s="20" t="n">
        <f aca="false">червень!F124</f>
        <v>0</v>
      </c>
      <c r="G124" s="21" t="n">
        <f aca="false">червень!G124</f>
        <v>62.18</v>
      </c>
      <c r="H124" s="21" t="n">
        <f aca="false">червень!H124</f>
        <v>0</v>
      </c>
      <c r="I124" s="22" t="n">
        <f aca="false">червень!I124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3239.42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червень!B125</f>
        <v>Гусак К.С.</v>
      </c>
      <c r="C125" s="18" t="str">
        <f aca="false">червень!C125</f>
        <v>40117</v>
      </c>
      <c r="D125" s="19" t="n">
        <f aca="false">червень!P125</f>
        <v>2363.7</v>
      </c>
      <c r="E125" s="19" t="n">
        <f aca="false">червень!Q125</f>
        <v>0</v>
      </c>
      <c r="F125" s="20" t="n">
        <f aca="false">червень!F125</f>
        <v>0</v>
      </c>
      <c r="G125" s="21" t="n">
        <f aca="false">червень!G125</f>
        <v>35.1</v>
      </c>
      <c r="H125" s="21" t="n">
        <f aca="false">червень!H125</f>
        <v>0</v>
      </c>
      <c r="I125" s="22" t="n">
        <f aca="false">червень!I125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2507.61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червень!B126</f>
        <v>Пісоченко М.Г.</v>
      </c>
      <c r="C126" s="18" t="str">
        <f aca="false">червень!C126</f>
        <v>40118</v>
      </c>
      <c r="D126" s="19" t="n">
        <f aca="false">червень!P126</f>
        <v>2781.3</v>
      </c>
      <c r="E126" s="19" t="n">
        <f aca="false">червень!Q126</f>
        <v>0</v>
      </c>
      <c r="F126" s="20" t="n">
        <f aca="false">червень!F126</f>
        <v>0</v>
      </c>
      <c r="G126" s="21" t="n">
        <f aca="false">червень!G126</f>
        <v>49.8</v>
      </c>
      <c r="H126" s="21" t="n">
        <f aca="false">червень!H126</f>
        <v>0</v>
      </c>
      <c r="I126" s="22" t="n">
        <f aca="false">червень!I126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 t="n">
        <f aca="false">1500+1281.3</f>
        <v>2781.3</v>
      </c>
      <c r="P126" s="25" t="n">
        <f aca="false">IF(D126=0,IF((N126-E126-O126)&gt;0,(N126-E126-O126),0),IF((D126+N126-O126)&gt;0,(D126+N126-O126),0))</f>
        <v>204.18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червень!B127</f>
        <v>Столяр О.М.</v>
      </c>
      <c r="C127" s="18" t="str">
        <f aca="false">червень!C127</f>
        <v>40119</v>
      </c>
      <c r="D127" s="19" t="n">
        <f aca="false">червень!P127</f>
        <v>8105.84</v>
      </c>
      <c r="E127" s="19" t="n">
        <f aca="false">червень!Q127</f>
        <v>0</v>
      </c>
      <c r="F127" s="20" t="n">
        <f aca="false">червень!F127</f>
        <v>0</v>
      </c>
      <c r="G127" s="21" t="n">
        <f aca="false">червень!G127</f>
        <v>65.3</v>
      </c>
      <c r="H127" s="21" t="n">
        <f aca="false">червень!H127</f>
        <v>0</v>
      </c>
      <c r="I127" s="22" t="n">
        <f aca="false">червень!I127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8373.56999999999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червень!B128</f>
        <v>Рєзніков В.П.</v>
      </c>
      <c r="C128" s="18" t="str">
        <f aca="false">червень!C128</f>
        <v>40120</v>
      </c>
      <c r="D128" s="19" t="n">
        <f aca="false">червень!P128</f>
        <v>486.690000000001</v>
      </c>
      <c r="E128" s="19" t="n">
        <f aca="false">червень!Q128</f>
        <v>0</v>
      </c>
      <c r="F128" s="20" t="n">
        <f aca="false">червень!F128</f>
        <v>0</v>
      </c>
      <c r="G128" s="21" t="n">
        <f aca="false">червень!G128</f>
        <v>62.44</v>
      </c>
      <c r="H128" s="21" t="n">
        <f aca="false">червень!H128</f>
        <v>0</v>
      </c>
      <c r="I128" s="22" t="n">
        <f aca="false">червень!I128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 t="n">
        <v>500</v>
      </c>
      <c r="P128" s="25" t="n">
        <f aca="false">IF(D128=0,IF((N128-E128-O128)&gt;0,(N128-E128-O128),0),IF((D128+N128-O128)&gt;0,(D128+N128-O128),0))</f>
        <v>242.690000000001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червень!B129</f>
        <v>Золотоверха Я.І.</v>
      </c>
      <c r="C129" s="18" t="str">
        <f aca="false">червень!C129</f>
        <v>40121</v>
      </c>
      <c r="D129" s="19" t="n">
        <f aca="false">червень!P129</f>
        <v>8.5265128291212E-014</v>
      </c>
      <c r="E129" s="19" t="n">
        <f aca="false">червень!Q129</f>
        <v>0</v>
      </c>
      <c r="F129" s="20" t="n">
        <f aca="false">червень!F129</f>
        <v>0</v>
      </c>
      <c r="G129" s="21" t="n">
        <f aca="false">червень!G129</f>
        <v>35.6</v>
      </c>
      <c r="H129" s="21" t="n">
        <f aca="false">червень!H129</f>
        <v>0</v>
      </c>
      <c r="I129" s="22" t="n">
        <f aca="false">червень!I129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червень!B130</f>
        <v>Бурлаков А.В.</v>
      </c>
      <c r="C130" s="18" t="str">
        <f aca="false">червень!C130</f>
        <v>40122</v>
      </c>
      <c r="D130" s="19" t="n">
        <f aca="false">червень!P130</f>
        <v>64.4100000000002</v>
      </c>
      <c r="E130" s="19" t="n">
        <f aca="false">червень!Q130</f>
        <v>0</v>
      </c>
      <c r="F130" s="20" t="n">
        <f aca="false">червень!F130</f>
        <v>0</v>
      </c>
      <c r="G130" s="21" t="n">
        <f aca="false">червень!G130</f>
        <v>49.7</v>
      </c>
      <c r="H130" s="21" t="n">
        <f aca="false">червень!H130</f>
        <v>0</v>
      </c>
      <c r="I130" s="22" t="n">
        <f aca="false">червень!I130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 t="n">
        <v>204</v>
      </c>
      <c r="P130" s="25" t="n">
        <f aca="false">IF(D130=0,IF((N130-E130-O130)&gt;0,(N130-E130-O130),0),IF((D130+N130-O130)&gt;0,(D130+N130-O130),0))</f>
        <v>64.1800000000002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червень!B131</f>
        <v>Сикула О.Ю.</v>
      </c>
      <c r="C131" s="18" t="str">
        <f aca="false">червень!C131</f>
        <v>40123</v>
      </c>
      <c r="D131" s="19" t="n">
        <f aca="false">червень!P131</f>
        <v>3860.9</v>
      </c>
      <c r="E131" s="19" t="n">
        <f aca="false">червень!Q131</f>
        <v>0</v>
      </c>
      <c r="F131" s="20" t="n">
        <f aca="false">червень!F131</f>
        <v>0</v>
      </c>
      <c r="G131" s="21" t="n">
        <f aca="false">червень!G131</f>
        <v>65.15</v>
      </c>
      <c r="H131" s="21" t="n">
        <f aca="false">червень!H131</f>
        <v>0</v>
      </c>
      <c r="I131" s="22" t="n">
        <f aca="false">червень!I131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4128.02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червень!B132</f>
        <v>Арістов О.О.</v>
      </c>
      <c r="C132" s="18" t="str">
        <f aca="false">червень!C132</f>
        <v>40124</v>
      </c>
      <c r="D132" s="19" t="n">
        <f aca="false">червень!P132</f>
        <v>1152.45</v>
      </c>
      <c r="E132" s="19" t="n">
        <f aca="false">червень!Q132</f>
        <v>0</v>
      </c>
      <c r="F132" s="20" t="n">
        <f aca="false">червень!F132</f>
        <v>0</v>
      </c>
      <c r="G132" s="21" t="n">
        <f aca="false">червень!G132</f>
        <v>63</v>
      </c>
      <c r="H132" s="21" t="n">
        <f aca="false">червень!H132</f>
        <v>0</v>
      </c>
      <c r="I132" s="22" t="n">
        <f aca="false">червень!I132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1410.75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червень!B133</f>
        <v>Бондаренко Т.О.</v>
      </c>
      <c r="C133" s="18" t="str">
        <f aca="false">червень!C133</f>
        <v>40125</v>
      </c>
      <c r="D133" s="19" t="n">
        <f aca="false">червень!P133</f>
        <v>1947.94</v>
      </c>
      <c r="E133" s="19" t="n">
        <f aca="false">червень!Q133</f>
        <v>0</v>
      </c>
      <c r="F133" s="20" t="n">
        <f aca="false">червень!F133</f>
        <v>0</v>
      </c>
      <c r="G133" s="21" t="n">
        <f aca="false">червень!G133</f>
        <v>34.7</v>
      </c>
      <c r="H133" s="21" t="n">
        <f aca="false">червень!H133</f>
        <v>0</v>
      </c>
      <c r="I133" s="22" t="n">
        <f aca="false">червень!I133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2090.21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червень!B134</f>
        <v>Гайчев П.В.</v>
      </c>
      <c r="C134" s="18" t="str">
        <f aca="false">червень!C134</f>
        <v>40126</v>
      </c>
      <c r="D134" s="19" t="n">
        <f aca="false">червень!P134</f>
        <v>1609.64</v>
      </c>
      <c r="E134" s="19" t="n">
        <f aca="false">червень!Q134</f>
        <v>0</v>
      </c>
      <c r="F134" s="20" t="n">
        <f aca="false">червень!F134</f>
        <v>0</v>
      </c>
      <c r="G134" s="21" t="n">
        <f aca="false">червень!G134</f>
        <v>49.2</v>
      </c>
      <c r="H134" s="21" t="n">
        <f aca="false">червень!H134</f>
        <v>0</v>
      </c>
      <c r="I134" s="22" t="n">
        <f aca="false">червень!I134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1811.36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червень!B135</f>
        <v>Радченко О.С.</v>
      </c>
      <c r="C135" s="18" t="str">
        <f aca="false">червень!C135</f>
        <v>40127</v>
      </c>
      <c r="D135" s="19" t="n">
        <f aca="false">червень!P135</f>
        <v>796.899999999999</v>
      </c>
      <c r="E135" s="19" t="n">
        <f aca="false">червень!Q135</f>
        <v>0</v>
      </c>
      <c r="F135" s="20" t="n">
        <f aca="false">червень!F135</f>
        <v>0</v>
      </c>
      <c r="G135" s="21" t="n">
        <f aca="false">червень!G135</f>
        <v>65.15</v>
      </c>
      <c r="H135" s="21" t="n">
        <f aca="false">червень!H135</f>
        <v>0</v>
      </c>
      <c r="I135" s="22" t="n">
        <f aca="false">червень!I135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1064.02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червень!B136</f>
        <v>Шилін С.М.</v>
      </c>
      <c r="C136" s="18" t="str">
        <f aca="false">червень!C136</f>
        <v>40128</v>
      </c>
      <c r="D136" s="19" t="n">
        <f aca="false">червень!P136</f>
        <v>2809.16</v>
      </c>
      <c r="E136" s="19" t="n">
        <f aca="false">червень!Q136</f>
        <v>0</v>
      </c>
      <c r="F136" s="20" t="n">
        <f aca="false">червень!F136</f>
        <v>0</v>
      </c>
      <c r="G136" s="21" t="n">
        <f aca="false">червень!G136</f>
        <v>62.3</v>
      </c>
      <c r="H136" s="21" t="n">
        <f aca="false">червень!H136</f>
        <v>0</v>
      </c>
      <c r="I136" s="22" t="n">
        <f aca="false">червень!I136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3064.59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червень!B137</f>
        <v>Петрулевич В.М.</v>
      </c>
      <c r="C137" s="18" t="str">
        <f aca="false">червень!C137</f>
        <v>40129</v>
      </c>
      <c r="D137" s="19" t="n">
        <f aca="false">червень!P137</f>
        <v>1981.64</v>
      </c>
      <c r="E137" s="19" t="n">
        <f aca="false">червень!Q137</f>
        <v>0</v>
      </c>
      <c r="F137" s="20" t="n">
        <f aca="false">червень!F137</f>
        <v>0</v>
      </c>
      <c r="G137" s="21" t="n">
        <f aca="false">червень!G137</f>
        <v>35.3</v>
      </c>
      <c r="H137" s="21" t="n">
        <f aca="false">червень!H137</f>
        <v>0</v>
      </c>
      <c r="I137" s="22" t="n">
        <f aca="false">червень!I137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2126.37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червень!B138</f>
        <v>Кривошеєва Л.М.</v>
      </c>
      <c r="C138" s="18" t="str">
        <f aca="false">червень!C138</f>
        <v>40130</v>
      </c>
      <c r="D138" s="19" t="n">
        <f aca="false">червень!P138</f>
        <v>2297.02</v>
      </c>
      <c r="E138" s="19" t="n">
        <f aca="false">червень!Q138</f>
        <v>0</v>
      </c>
      <c r="F138" s="20" t="n">
        <f aca="false">червень!F138</f>
        <v>0</v>
      </c>
      <c r="G138" s="21" t="n">
        <f aca="false">червень!G138</f>
        <v>49.78</v>
      </c>
      <c r="H138" s="21" t="n">
        <f aca="false">червень!H138</f>
        <v>0</v>
      </c>
      <c r="I138" s="22" t="n">
        <f aca="false">червень!I138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 t="n">
        <v>100</v>
      </c>
      <c r="P138" s="25" t="n">
        <f aca="false">IF(D138=0,IF((N138-E138-O138)&gt;0,(N138-E138-O138),0),IF((D138+N138-O138)&gt;0,(D138+N138-O138),0))</f>
        <v>2401.12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червень!B139</f>
        <v>Харченко І.С.</v>
      </c>
      <c r="C139" s="18" t="str">
        <f aca="false">червень!C139</f>
        <v>40131</v>
      </c>
      <c r="D139" s="19" t="n">
        <f aca="false">червень!P139</f>
        <v>1086.57</v>
      </c>
      <c r="E139" s="19" t="n">
        <f aca="false">червень!Q139</f>
        <v>0</v>
      </c>
      <c r="F139" s="20" t="n">
        <f aca="false">червень!F139</f>
        <v>0</v>
      </c>
      <c r="G139" s="21" t="n">
        <f aca="false">червень!G139</f>
        <v>65.93</v>
      </c>
      <c r="H139" s="21" t="n">
        <f aca="false">червень!H139</f>
        <v>0</v>
      </c>
      <c r="I139" s="22" t="n">
        <f aca="false">червень!I139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f aca="false">256+300</f>
        <v>556</v>
      </c>
      <c r="P139" s="25" t="n">
        <f aca="false">IF(D139=0,IF((N139-E139-O139)&gt;0,(N139-E139-O139),0),IF((D139+N139-O139)&gt;0,(D139+N139-O139),0))</f>
        <v>800.879999999998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червень!B140</f>
        <v>Куриленко І.О.</v>
      </c>
      <c r="C140" s="18" t="str">
        <f aca="false">червень!C140</f>
        <v>40132</v>
      </c>
      <c r="D140" s="19" t="n">
        <f aca="false">червень!P140</f>
        <v>4600.53</v>
      </c>
      <c r="E140" s="19" t="n">
        <f aca="false">червень!Q140</f>
        <v>0</v>
      </c>
      <c r="F140" s="20" t="n">
        <f aca="false">червень!F140</f>
        <v>0</v>
      </c>
      <c r="G140" s="21" t="n">
        <f aca="false">червень!G140</f>
        <v>62.36</v>
      </c>
      <c r="H140" s="21" t="n">
        <f aca="false">червень!H140</f>
        <v>0</v>
      </c>
      <c r="I140" s="22" t="n">
        <f aca="false">червень!I140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4856.21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червень!B141</f>
        <v>Єлсукова В.М.</v>
      </c>
      <c r="C141" s="18" t="str">
        <f aca="false">червень!C141</f>
        <v>40133</v>
      </c>
      <c r="D141" s="19" t="n">
        <f aca="false">червень!P141</f>
        <v>2590.38</v>
      </c>
      <c r="E141" s="19" t="n">
        <f aca="false">червень!Q141</f>
        <v>0</v>
      </c>
      <c r="F141" s="20" t="n">
        <f aca="false">червень!F141</f>
        <v>0</v>
      </c>
      <c r="G141" s="21" t="n">
        <f aca="false">червень!G141</f>
        <v>35.1</v>
      </c>
      <c r="H141" s="21" t="n">
        <f aca="false">червень!H141</f>
        <v>0</v>
      </c>
      <c r="I141" s="22" t="n">
        <f aca="false">червень!I141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2734.29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червень!B142</f>
        <v>Пімонова М.В.</v>
      </c>
      <c r="C142" s="18" t="str">
        <f aca="false">червень!C142</f>
        <v>40134</v>
      </c>
      <c r="D142" s="19" t="n">
        <f aca="false">червень!P142</f>
        <v>5189.61</v>
      </c>
      <c r="E142" s="19" t="n">
        <f aca="false">червень!Q142</f>
        <v>0</v>
      </c>
      <c r="F142" s="20" t="n">
        <f aca="false">червень!F142</f>
        <v>0</v>
      </c>
      <c r="G142" s="21" t="n">
        <f aca="false">червень!G142</f>
        <v>49.47</v>
      </c>
      <c r="H142" s="21" t="n">
        <f aca="false">червень!H142</f>
        <v>0</v>
      </c>
      <c r="I142" s="22" t="n">
        <f aca="false">червень!I142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5392.44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червень!B143</f>
        <v>Осипенко В.В.</v>
      </c>
      <c r="C143" s="18" t="str">
        <f aca="false">червень!C143</f>
        <v>40135</v>
      </c>
      <c r="D143" s="19" t="n">
        <f aca="false">червень!P143</f>
        <v>2689.89</v>
      </c>
      <c r="E143" s="19" t="n">
        <f aca="false">червень!Q143</f>
        <v>0</v>
      </c>
      <c r="F143" s="20" t="n">
        <f aca="false">червень!F143</f>
        <v>0</v>
      </c>
      <c r="G143" s="21" t="n">
        <f aca="false">червень!G143</f>
        <v>65.65</v>
      </c>
      <c r="H143" s="21" t="n">
        <f aca="false">червень!H143</f>
        <v>0</v>
      </c>
      <c r="I143" s="22" t="n">
        <f aca="false">червень!I143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2959.06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червень!B144</f>
        <v>Друзь О.О.</v>
      </c>
      <c r="C144" s="18" t="str">
        <f aca="false">червень!C144</f>
        <v>40136</v>
      </c>
      <c r="D144" s="19" t="n">
        <f aca="false">червень!P144</f>
        <v>3309.25</v>
      </c>
      <c r="E144" s="19" t="n">
        <f aca="false">червень!Q144</f>
        <v>0</v>
      </c>
      <c r="F144" s="20" t="n">
        <f aca="false">червень!F144</f>
        <v>0</v>
      </c>
      <c r="G144" s="21" t="n">
        <f aca="false">червень!G144</f>
        <v>62.1</v>
      </c>
      <c r="H144" s="21" t="n">
        <f aca="false">червень!H144</f>
        <v>0</v>
      </c>
      <c r="I144" s="22" t="n">
        <f aca="false">червень!I144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3563.86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червень!B145</f>
        <v>Вовченко Р.І.</v>
      </c>
      <c r="C145" s="18" t="str">
        <f aca="false">червень!C145</f>
        <v>40137</v>
      </c>
      <c r="D145" s="19" t="n">
        <f aca="false">червень!P145</f>
        <v>209.119999999999</v>
      </c>
      <c r="E145" s="19" t="n">
        <f aca="false">червень!Q145</f>
        <v>0</v>
      </c>
      <c r="F145" s="20" t="n">
        <f aca="false">червень!F145</f>
        <v>0</v>
      </c>
      <c r="G145" s="21" t="n">
        <f aca="false">червень!G145</f>
        <v>35.2</v>
      </c>
      <c r="H145" s="21" t="n">
        <f aca="false">червень!H145</f>
        <v>0</v>
      </c>
      <c r="I145" s="22" t="n">
        <f aca="false">червень!I145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353.439999999999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червень!B146</f>
        <v>Плакун Д.В.</v>
      </c>
      <c r="C146" s="18" t="str">
        <f aca="false">червень!C146</f>
        <v>40138</v>
      </c>
      <c r="D146" s="19" t="n">
        <f aca="false">червень!P146</f>
        <v>1227.22</v>
      </c>
      <c r="E146" s="19" t="n">
        <f aca="false">червень!Q146</f>
        <v>0</v>
      </c>
      <c r="F146" s="20" t="n">
        <f aca="false">червень!F146</f>
        <v>0</v>
      </c>
      <c r="G146" s="21" t="n">
        <f aca="false">червень!G146</f>
        <v>49.9</v>
      </c>
      <c r="H146" s="21" t="n">
        <f aca="false">червень!H146</f>
        <v>0</v>
      </c>
      <c r="I146" s="22" t="n">
        <f aca="false">червень!I146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1431.81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червень!B147</f>
        <v>Гаврилова Ю.О.</v>
      </c>
      <c r="C147" s="18" t="str">
        <f aca="false">червень!C147</f>
        <v>40139</v>
      </c>
      <c r="D147" s="19" t="n">
        <f aca="false">червень!P147</f>
        <v>342.34</v>
      </c>
      <c r="E147" s="19" t="n">
        <f aca="false">червень!Q147</f>
        <v>0</v>
      </c>
      <c r="F147" s="20" t="n">
        <f aca="false">червень!F147</f>
        <v>0</v>
      </c>
      <c r="G147" s="21" t="n">
        <f aca="false">червень!G147</f>
        <v>65.8</v>
      </c>
      <c r="H147" s="21" t="n">
        <f aca="false">червень!H147</f>
        <v>0</v>
      </c>
      <c r="I147" s="22" t="n">
        <f aca="false">червень!I147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612.12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червень!B148</f>
        <v>Корзун Г.М.</v>
      </c>
      <c r="C148" s="18" t="str">
        <f aca="false">червень!C148</f>
        <v>40140</v>
      </c>
      <c r="D148" s="19" t="n">
        <f aca="false">червень!P148</f>
        <v>613.239999999998</v>
      </c>
      <c r="E148" s="19" t="n">
        <f aca="false">червень!Q148</f>
        <v>0</v>
      </c>
      <c r="F148" s="20" t="n">
        <f aca="false">червень!F148</f>
        <v>0</v>
      </c>
      <c r="G148" s="21" t="n">
        <f aca="false">червень!G148</f>
        <v>63.2</v>
      </c>
      <c r="H148" s="21" t="n">
        <f aca="false">червень!H148</f>
        <v>0</v>
      </c>
      <c r="I148" s="22" t="n">
        <f aca="false">червень!I148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872.359999999998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червень!B149</f>
        <v>Бондаренко Л.Л.</v>
      </c>
      <c r="C149" s="18" t="str">
        <f aca="false">червень!C149</f>
        <v>40141</v>
      </c>
      <c r="D149" s="19" t="n">
        <f aca="false">червень!P149</f>
        <v>143.29</v>
      </c>
      <c r="E149" s="19" t="n">
        <f aca="false">червень!Q149</f>
        <v>0</v>
      </c>
      <c r="F149" s="20" t="n">
        <f aca="false">червень!F149</f>
        <v>0</v>
      </c>
      <c r="G149" s="21" t="n">
        <f aca="false">червень!G149</f>
        <v>34.9</v>
      </c>
      <c r="H149" s="21" t="n">
        <f aca="false">червень!H149</f>
        <v>0</v>
      </c>
      <c r="I149" s="22" t="n">
        <f aca="false">червень!I149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286.38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червень!B150</f>
        <v>Капелюш Н.А.</v>
      </c>
      <c r="C150" s="18" t="str">
        <f aca="false">червень!C150</f>
        <v>40142</v>
      </c>
      <c r="D150" s="19" t="n">
        <f aca="false">червень!P150</f>
        <v>3306.24</v>
      </c>
      <c r="E150" s="19" t="n">
        <f aca="false">червень!Q150</f>
        <v>0</v>
      </c>
      <c r="F150" s="20" t="n">
        <f aca="false">червень!F150</f>
        <v>0</v>
      </c>
      <c r="G150" s="21" t="n">
        <f aca="false">червень!G150</f>
        <v>50.4</v>
      </c>
      <c r="H150" s="21" t="n">
        <f aca="false">червень!H150</f>
        <v>0</v>
      </c>
      <c r="I150" s="22" t="n">
        <f aca="false">червень!I150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3512.88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червень!B151</f>
        <v>Кістрінь Л.П.</v>
      </c>
      <c r="C151" s="18" t="str">
        <f aca="false">червень!C151</f>
        <v>40143</v>
      </c>
      <c r="D151" s="19" t="n">
        <f aca="false">червень!P151</f>
        <v>5599.17</v>
      </c>
      <c r="E151" s="19" t="n">
        <f aca="false">червень!Q151</f>
        <v>0</v>
      </c>
      <c r="F151" s="20" t="n">
        <f aca="false">червень!F151</f>
        <v>0</v>
      </c>
      <c r="G151" s="21" t="n">
        <f aca="false">червень!G151</f>
        <v>65.2</v>
      </c>
      <c r="H151" s="21" t="n">
        <f aca="false">червень!H151</f>
        <v>0</v>
      </c>
      <c r="I151" s="22" t="n">
        <f aca="false">червень!I151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5866.49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червень!B152</f>
        <v>Козьміна І.В.</v>
      </c>
      <c r="C152" s="18" t="str">
        <f aca="false">червень!C152</f>
        <v>50144</v>
      </c>
      <c r="D152" s="19" t="n">
        <f aca="false">червень!P152</f>
        <v>264.74</v>
      </c>
      <c r="E152" s="19" t="n">
        <f aca="false">червень!Q152</f>
        <v>0</v>
      </c>
      <c r="F152" s="20" t="n">
        <f aca="false">червень!F152</f>
        <v>0</v>
      </c>
      <c r="G152" s="21" t="n">
        <f aca="false">червень!G152</f>
        <v>64.57</v>
      </c>
      <c r="H152" s="21" t="n">
        <f aca="false">червень!H152</f>
        <v>0</v>
      </c>
      <c r="I152" s="22" t="n">
        <f aca="false">червень!I152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529.48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червень!B153</f>
        <v>Чала С.С.</v>
      </c>
      <c r="C153" s="18" t="str">
        <f aca="false">червень!C153</f>
        <v>50145</v>
      </c>
      <c r="D153" s="19" t="n">
        <f aca="false">червень!P153</f>
        <v>5050.11</v>
      </c>
      <c r="E153" s="19" t="n">
        <f aca="false">червень!Q153</f>
        <v>0</v>
      </c>
      <c r="F153" s="20" t="n">
        <f aca="false">червень!F153</f>
        <v>0</v>
      </c>
      <c r="G153" s="21" t="n">
        <f aca="false">червень!G153</f>
        <v>48.7</v>
      </c>
      <c r="H153" s="21" t="n">
        <f aca="false">червень!H153</f>
        <v>0</v>
      </c>
      <c r="I153" s="22" t="n">
        <f aca="false">червень!I153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5249.78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червень!B154</f>
        <v>Свєтайлова І.М.</v>
      </c>
      <c r="C154" s="18" t="str">
        <f aca="false">червень!C154</f>
        <v>50146</v>
      </c>
      <c r="D154" s="19" t="n">
        <f aca="false">червень!P154</f>
        <v>2446.47</v>
      </c>
      <c r="E154" s="19" t="n">
        <f aca="false">червень!Q154</f>
        <v>0</v>
      </c>
      <c r="F154" s="20" t="n">
        <f aca="false">червень!F154</f>
        <v>0</v>
      </c>
      <c r="G154" s="21" t="n">
        <f aca="false">червень!G154</f>
        <v>35.1</v>
      </c>
      <c r="H154" s="21" t="n">
        <f aca="false">червень!H154</f>
        <v>0</v>
      </c>
      <c r="I154" s="22" t="n">
        <f aca="false">червень!I154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2590.38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червень!B155</f>
        <v>Неделько Д.І.</v>
      </c>
      <c r="C155" s="18" t="str">
        <f aca="false">червень!C155</f>
        <v>50147</v>
      </c>
      <c r="D155" s="19" t="n">
        <f aca="false">червень!P155</f>
        <v>0</v>
      </c>
      <c r="E155" s="19" t="n">
        <f aca="false">червень!Q155</f>
        <v>3.41060513164848E-013</v>
      </c>
      <c r="F155" s="20" t="n">
        <f aca="false">червень!F155</f>
        <v>0</v>
      </c>
      <c r="G155" s="21" t="n">
        <f aca="false">червень!G155</f>
        <v>53.57</v>
      </c>
      <c r="H155" s="21" t="n">
        <f aca="false">червень!H155</f>
        <v>0</v>
      </c>
      <c r="I155" s="22" t="n">
        <f aca="false">червень!I155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219.64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червень!B156</f>
        <v>Самойленко Л.К.</v>
      </c>
      <c r="C156" s="18" t="str">
        <f aca="false">червень!C156</f>
        <v>50148</v>
      </c>
      <c r="D156" s="19" t="n">
        <f aca="false">червень!P156</f>
        <v>0</v>
      </c>
      <c r="E156" s="19" t="n">
        <f aca="false">червень!Q156</f>
        <v>952.86</v>
      </c>
      <c r="F156" s="20" t="n">
        <f aca="false">червень!F156</f>
        <v>0</v>
      </c>
      <c r="G156" s="21" t="n">
        <f aca="false">червень!G156</f>
        <v>65.7</v>
      </c>
      <c r="H156" s="21" t="n">
        <f aca="false">червень!H156</f>
        <v>0</v>
      </c>
      <c r="I156" s="22" t="n">
        <f aca="false">червень!I156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989.51</v>
      </c>
    </row>
    <row r="157" customFormat="false" ht="15" hidden="false" customHeight="false" outlineLevel="0" collapsed="false">
      <c r="A157" s="17" t="s">
        <v>467</v>
      </c>
      <c r="B157" s="18" t="str">
        <f aca="false">червень!B157</f>
        <v>Павлов Ю.В.</v>
      </c>
      <c r="C157" s="18" t="str">
        <f aca="false">червень!C157</f>
        <v>50149</v>
      </c>
      <c r="D157" s="19" t="n">
        <f aca="false">червень!P157</f>
        <v>2774.38</v>
      </c>
      <c r="E157" s="19" t="n">
        <f aca="false">червень!Q157</f>
        <v>0</v>
      </c>
      <c r="F157" s="20" t="n">
        <f aca="false">червень!F157</f>
        <v>0</v>
      </c>
      <c r="G157" s="21" t="n">
        <f aca="false">червень!G157</f>
        <v>49.78</v>
      </c>
      <c r="H157" s="21" t="n">
        <f aca="false">червень!H157</f>
        <v>0</v>
      </c>
      <c r="I157" s="22" t="n">
        <f aca="false">червень!I157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2978.48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червень!B158</f>
        <v>Коваленко Т.М.</v>
      </c>
      <c r="C158" s="18" t="str">
        <f aca="false">червень!C158</f>
        <v>50150</v>
      </c>
      <c r="D158" s="19" t="n">
        <f aca="false">червень!P158</f>
        <v>2583</v>
      </c>
      <c r="E158" s="19" t="n">
        <f aca="false">червень!Q158</f>
        <v>0</v>
      </c>
      <c r="F158" s="20" t="n">
        <f aca="false">червень!F158</f>
        <v>0</v>
      </c>
      <c r="G158" s="21" t="n">
        <f aca="false">червень!G158</f>
        <v>35</v>
      </c>
      <c r="H158" s="21" t="n">
        <f aca="false">червень!H158</f>
        <v>0</v>
      </c>
      <c r="I158" s="22" t="n">
        <f aca="false">червень!I158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2726.5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червень!B159</f>
        <v>Рощенко Л.Б.</v>
      </c>
      <c r="C159" s="18" t="str">
        <f aca="false">червень!C159</f>
        <v>50151</v>
      </c>
      <c r="D159" s="19" t="n">
        <f aca="false">червень!P159</f>
        <v>2259.07</v>
      </c>
      <c r="E159" s="19" t="n">
        <f aca="false">червень!Q159</f>
        <v>0</v>
      </c>
      <c r="F159" s="20" t="n">
        <f aca="false">червень!F159</f>
        <v>0</v>
      </c>
      <c r="G159" s="21" t="n">
        <f aca="false">червень!G159</f>
        <v>62.08</v>
      </c>
      <c r="H159" s="21" t="n">
        <f aca="false">червень!H159</f>
        <v>0</v>
      </c>
      <c r="I159" s="22" t="n">
        <f aca="false">червень!I159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2513.6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червень!B160</f>
        <v>Галушко С.Т.</v>
      </c>
      <c r="C160" s="18" t="str">
        <f aca="false">червень!C160</f>
        <v>50152</v>
      </c>
      <c r="D160" s="19" t="n">
        <f aca="false">червень!P160</f>
        <v>0</v>
      </c>
      <c r="E160" s="19" t="n">
        <f aca="false">червень!Q160</f>
        <v>2.27373675443232E-013</v>
      </c>
      <c r="F160" s="20" t="n">
        <f aca="false">червень!F160</f>
        <v>0</v>
      </c>
      <c r="G160" s="21" t="n">
        <f aca="false">червень!G160</f>
        <v>65.86</v>
      </c>
      <c r="H160" s="21" t="n">
        <f aca="false">червень!H160</f>
        <v>0</v>
      </c>
      <c r="I160" s="22" t="n">
        <f aca="false">червень!I160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 t="n">
        <v>270.03</v>
      </c>
      <c r="P160" s="25" t="n">
        <f aca="false">IF(D160=0,IF((N160-E160-O160)&gt;0,(N160-E160-O160),0),IF((D160+N160-O160)&gt;0,(D160+N160-O160),0))</f>
        <v>0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червень!B161</f>
        <v>Наумова Л.Я.</v>
      </c>
      <c r="C161" s="18" t="str">
        <f aca="false">червень!C161</f>
        <v>50153</v>
      </c>
      <c r="D161" s="19" t="n">
        <f aca="false">червень!P161</f>
        <v>3230.4</v>
      </c>
      <c r="E161" s="19" t="n">
        <f aca="false">червень!Q161</f>
        <v>0</v>
      </c>
      <c r="F161" s="20" t="n">
        <f aca="false">червень!F161</f>
        <v>0</v>
      </c>
      <c r="G161" s="21" t="n">
        <f aca="false">червень!G161</f>
        <v>49.95</v>
      </c>
      <c r="H161" s="21" t="n">
        <f aca="false">червень!H161</f>
        <v>0</v>
      </c>
      <c r="I161" s="22" t="n">
        <f aca="false">червень!I161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 t="n">
        <v>3500</v>
      </c>
      <c r="P161" s="25" t="n">
        <f aca="false">IF(D161=0,IF((N161-E161-O161)&gt;0,(N161-E161-O161),0),IF((D161+N161-O161)&gt;0,(D161+N161-O161),0))</f>
        <v>0</v>
      </c>
      <c r="Q161" s="25" t="n">
        <f aca="false">IF(E161=0,IF((D161+N161-O161)&lt;0,ABS(D161+N161-O161),0),IF((N161-E161-O161)&lt;0,ABS(N161-E161-O161),0))</f>
        <v>64.7999999999988</v>
      </c>
    </row>
    <row r="162" customFormat="false" ht="15" hidden="false" customHeight="false" outlineLevel="0" collapsed="false">
      <c r="A162" s="17" t="s">
        <v>482</v>
      </c>
      <c r="B162" s="18" t="str">
        <f aca="false">червень!B162</f>
        <v>Грєк В.С.</v>
      </c>
      <c r="C162" s="18" t="str">
        <f aca="false">червень!C162</f>
        <v>50154</v>
      </c>
      <c r="D162" s="19" t="n">
        <f aca="false">червень!P162</f>
        <v>689.4</v>
      </c>
      <c r="E162" s="19" t="n">
        <f aca="false">червень!Q162</f>
        <v>0</v>
      </c>
      <c r="F162" s="20" t="n">
        <f aca="false">червень!F162</f>
        <v>0</v>
      </c>
      <c r="G162" s="21" t="n">
        <f aca="false">червень!G162</f>
        <v>33.9</v>
      </c>
      <c r="H162" s="21" t="n">
        <f aca="false">червень!H162</f>
        <v>0</v>
      </c>
      <c r="I162" s="22" t="n">
        <f aca="false">червень!I162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828.39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червень!B163</f>
        <v>Пермінов О.А.</v>
      </c>
      <c r="C163" s="18" t="str">
        <f aca="false">червень!C163</f>
        <v>50155</v>
      </c>
      <c r="D163" s="19" t="n">
        <f aca="false">червень!P163</f>
        <v>740.800000000001</v>
      </c>
      <c r="E163" s="19" t="n">
        <f aca="false">червень!Q163</f>
        <v>0</v>
      </c>
      <c r="F163" s="20" t="n">
        <f aca="false">червень!F163</f>
        <v>0</v>
      </c>
      <c r="G163" s="21" t="n">
        <f aca="false">червень!G163</f>
        <v>62.43</v>
      </c>
      <c r="H163" s="21" t="n">
        <f aca="false">червень!H163</f>
        <v>0</v>
      </c>
      <c r="I163" s="22" t="n">
        <f aca="false">червень!I163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996.760000000001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червень!B164</f>
        <v>Рябчук Л.П.</v>
      </c>
      <c r="C164" s="18" t="str">
        <f aca="false">червень!C164</f>
        <v>50156</v>
      </c>
      <c r="D164" s="19" t="n">
        <f aca="false">червень!P164</f>
        <v>2179.44</v>
      </c>
      <c r="E164" s="19" t="n">
        <f aca="false">червень!Q164</f>
        <v>0</v>
      </c>
      <c r="F164" s="20" t="n">
        <f aca="false">червень!F164</f>
        <v>0</v>
      </c>
      <c r="G164" s="21" t="n">
        <f aca="false">червень!G164</f>
        <v>64.8</v>
      </c>
      <c r="H164" s="21" t="n">
        <f aca="false">червень!H164</f>
        <v>0</v>
      </c>
      <c r="I164" s="22" t="n">
        <f aca="false">червень!I164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2445.12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червень!B165</f>
        <v>Копасова Л.Б.</v>
      </c>
      <c r="C165" s="18" t="str">
        <f aca="false">червень!C165</f>
        <v>50157</v>
      </c>
      <c r="D165" s="19" t="n">
        <f aca="false">червень!P165</f>
        <v>2626.84</v>
      </c>
      <c r="E165" s="19" t="n">
        <f aca="false">червень!Q165</f>
        <v>0</v>
      </c>
      <c r="F165" s="20" t="n">
        <f aca="false">червень!F165</f>
        <v>0</v>
      </c>
      <c r="G165" s="21" t="n">
        <f aca="false">червень!G165</f>
        <v>49.4</v>
      </c>
      <c r="H165" s="21" t="n">
        <f aca="false">червень!H165</f>
        <v>0</v>
      </c>
      <c r="I165" s="22" t="n">
        <f aca="false">червень!I165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 t="n">
        <v>1000</v>
      </c>
      <c r="P165" s="25" t="n">
        <f aca="false">IF(D165=0,IF((N165-E165-O165)&gt;0,(N165-E165-O165),0),IF((D165+N165-O165)&gt;0,(D165+N165-O165),0))</f>
        <v>1829.38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червень!B166</f>
        <v>Киричинська Г.Я.</v>
      </c>
      <c r="C166" s="18" t="str">
        <f aca="false">червень!C166</f>
        <v>50158</v>
      </c>
      <c r="D166" s="19" t="n">
        <f aca="false">червень!P166</f>
        <v>1307.85</v>
      </c>
      <c r="E166" s="19" t="n">
        <f aca="false">червень!Q166</f>
        <v>0</v>
      </c>
      <c r="F166" s="20" t="n">
        <f aca="false">червень!F166</f>
        <v>0</v>
      </c>
      <c r="G166" s="21" t="n">
        <f aca="false">червень!G166</f>
        <v>35.1</v>
      </c>
      <c r="H166" s="21" t="n">
        <f aca="false">червень!H166</f>
        <v>0</v>
      </c>
      <c r="I166" s="22" t="n">
        <f aca="false">червень!I166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1451.76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червень!B167</f>
        <v>Бутрій К.В.</v>
      </c>
      <c r="C167" s="18" t="str">
        <f aca="false">червень!C167</f>
        <v>50159</v>
      </c>
      <c r="D167" s="19" t="n">
        <f aca="false">червень!P167</f>
        <v>3200.61</v>
      </c>
      <c r="E167" s="19" t="n">
        <f aca="false">червень!Q167</f>
        <v>0</v>
      </c>
      <c r="F167" s="20" t="n">
        <f aca="false">червень!F167</f>
        <v>0</v>
      </c>
      <c r="G167" s="21" t="n">
        <f aca="false">червень!G167</f>
        <v>62.4</v>
      </c>
      <c r="H167" s="21" t="n">
        <f aca="false">червень!H167</f>
        <v>0</v>
      </c>
      <c r="I167" s="22" t="n">
        <f aca="false">червень!I167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 t="n">
        <v>500</v>
      </c>
      <c r="P167" s="25" t="n">
        <f aca="false">IF(D167=0,IF((N167-E167-O167)&gt;0,(N167-E167-O167),0),IF((D167+N167-O167)&gt;0,(D167+N167-O167),0))</f>
        <v>2956.45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червень!B168</f>
        <v>Кузьома Г.І.</v>
      </c>
      <c r="C168" s="18" t="str">
        <f aca="false">червень!C168</f>
        <v>50160</v>
      </c>
      <c r="D168" s="19" t="n">
        <f aca="false">червень!P168</f>
        <v>159.58</v>
      </c>
      <c r="E168" s="19" t="n">
        <f aca="false">червень!Q168</f>
        <v>0</v>
      </c>
      <c r="F168" s="20" t="n">
        <f aca="false">червень!F168</f>
        <v>0</v>
      </c>
      <c r="G168" s="21" t="n">
        <f aca="false">червень!G168</f>
        <v>65.5</v>
      </c>
      <c r="H168" s="21" t="n">
        <f aca="false">червень!H168</f>
        <v>0</v>
      </c>
      <c r="I168" s="22" t="n">
        <f aca="false">червень!I168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428.13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червень!B169</f>
        <v>Павленко В.М.</v>
      </c>
      <c r="C169" s="18" t="str">
        <f aca="false">червень!C169</f>
        <v>50161</v>
      </c>
      <c r="D169" s="19" t="n">
        <f aca="false">червень!P169</f>
        <v>3685.5</v>
      </c>
      <c r="E169" s="19" t="n">
        <f aca="false">червень!Q169</f>
        <v>0</v>
      </c>
      <c r="F169" s="20" t="n">
        <f aca="false">червень!F169</f>
        <v>0</v>
      </c>
      <c r="G169" s="21" t="n">
        <f aca="false">червень!G169</f>
        <v>49.94</v>
      </c>
      <c r="H169" s="21" t="n">
        <f aca="false">червень!H169</f>
        <v>0</v>
      </c>
      <c r="I169" s="22" t="n">
        <f aca="false">червень!I169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3890.25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червень!B170</f>
        <v>Качуровська С.А.</v>
      </c>
      <c r="C170" s="18" t="str">
        <f aca="false">червень!C170</f>
        <v>50162</v>
      </c>
      <c r="D170" s="19" t="n">
        <f aca="false">червень!P170</f>
        <v>125.66</v>
      </c>
      <c r="E170" s="19" t="n">
        <f aca="false">червень!Q170</f>
        <v>0</v>
      </c>
      <c r="F170" s="20" t="n">
        <f aca="false">червень!F170</f>
        <v>0</v>
      </c>
      <c r="G170" s="21" t="n">
        <f aca="false">червень!G170</f>
        <v>35</v>
      </c>
      <c r="H170" s="21" t="n">
        <f aca="false">червень!H170</f>
        <v>0</v>
      </c>
      <c r="I170" s="22" t="n">
        <f aca="false">червень!I170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 t="n">
        <v>150</v>
      </c>
      <c r="P170" s="25" t="n">
        <f aca="false">IF(D170=0,IF((N170-E170-O170)&gt;0,(N170-E170-O170),0),IF((D170+N170-O170)&gt;0,(D170+N170-O170),0))</f>
        <v>119.16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червень!B171</f>
        <v>Білецький Б.Г.</v>
      </c>
      <c r="C171" s="18" t="str">
        <f aca="false">червень!C171</f>
        <v>50163</v>
      </c>
      <c r="D171" s="19" t="n">
        <f aca="false">червень!P171</f>
        <v>255.68</v>
      </c>
      <c r="E171" s="19" t="n">
        <f aca="false">червень!Q171</f>
        <v>0</v>
      </c>
      <c r="F171" s="20" t="n">
        <f aca="false">червень!F171</f>
        <v>0</v>
      </c>
      <c r="G171" s="21" t="n">
        <f aca="false">червень!G171</f>
        <v>62.36</v>
      </c>
      <c r="H171" s="21" t="n">
        <f aca="false">червень!H171</f>
        <v>0</v>
      </c>
      <c r="I171" s="22" t="n">
        <f aca="false">червень!I171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 t="n">
        <v>255.68</v>
      </c>
      <c r="P171" s="25" t="n">
        <f aca="false">IF(D171=0,IF((N171-E171-O171)&gt;0,(N171-E171-O171),0),IF((D171+N171-O171)&gt;0,(D171+N171-O171),0))</f>
        <v>255.68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червень!B172</f>
        <v>Кузнєцова В.В.</v>
      </c>
      <c r="C172" s="18" t="str">
        <f aca="false">червень!C172</f>
        <v>50164</v>
      </c>
      <c r="D172" s="19" t="n">
        <f aca="false">червень!P172</f>
        <v>2152.72</v>
      </c>
      <c r="E172" s="19" t="n">
        <f aca="false">червень!Q172</f>
        <v>0</v>
      </c>
      <c r="F172" s="20" t="n">
        <f aca="false">червень!F172</f>
        <v>0</v>
      </c>
      <c r="G172" s="21" t="n">
        <f aca="false">червень!G172</f>
        <v>65.63</v>
      </c>
      <c r="H172" s="21" t="n">
        <f aca="false">червень!H172</f>
        <v>0</v>
      </c>
      <c r="I172" s="22" t="n">
        <f aca="false">червень!I172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2421.8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червень!B173</f>
        <v>Сидоренко Б.Й.</v>
      </c>
      <c r="C173" s="18" t="str">
        <f aca="false">червень!C173</f>
        <v>50165</v>
      </c>
      <c r="D173" s="19" t="n">
        <f aca="false">червень!P173</f>
        <v>10052.75</v>
      </c>
      <c r="E173" s="19" t="n">
        <f aca="false">червень!Q173</f>
        <v>0</v>
      </c>
      <c r="F173" s="20" t="n">
        <f aca="false">червень!F173</f>
        <v>0</v>
      </c>
      <c r="G173" s="21" t="n">
        <f aca="false">червень!G173</f>
        <v>49.8</v>
      </c>
      <c r="H173" s="21" t="n">
        <f aca="false">червень!H173</f>
        <v>0</v>
      </c>
      <c r="I173" s="22" t="n">
        <f aca="false">червень!I173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10256.93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червень!B174</f>
        <v>Кузнєцова О.А.</v>
      </c>
      <c r="C174" s="18" t="str">
        <f aca="false">червень!C174</f>
        <v>50166</v>
      </c>
      <c r="D174" s="19" t="n">
        <f aca="false">червень!P174</f>
        <v>1004.5</v>
      </c>
      <c r="E174" s="19" t="n">
        <f aca="false">червень!Q174</f>
        <v>0</v>
      </c>
      <c r="F174" s="20" t="n">
        <f aca="false">червень!F174</f>
        <v>0</v>
      </c>
      <c r="G174" s="21" t="n">
        <f aca="false">червень!G174</f>
        <v>35</v>
      </c>
      <c r="H174" s="21" t="n">
        <f aca="false">червень!H174</f>
        <v>0</v>
      </c>
      <c r="I174" s="22" t="n">
        <f aca="false">червень!I174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1148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червень!B175</f>
        <v>Васильєва О.Г.</v>
      </c>
      <c r="C175" s="18" t="str">
        <f aca="false">червень!C175</f>
        <v>50167</v>
      </c>
      <c r="D175" s="19" t="n">
        <f aca="false">червень!P175</f>
        <v>4536.55</v>
      </c>
      <c r="E175" s="19" t="n">
        <f aca="false">червень!Q175</f>
        <v>0</v>
      </c>
      <c r="F175" s="20" t="n">
        <f aca="false">червень!F175</f>
        <v>0</v>
      </c>
      <c r="G175" s="21" t="n">
        <f aca="false">червень!G175</f>
        <v>61.7</v>
      </c>
      <c r="H175" s="21" t="n">
        <f aca="false">червень!H175</f>
        <v>0</v>
      </c>
      <c r="I175" s="22" t="n">
        <f aca="false">червень!I175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4789.52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червень!B176</f>
        <v>Кудінова Л.М.</v>
      </c>
      <c r="C176" s="18" t="str">
        <f aca="false">червень!C176</f>
        <v>50168</v>
      </c>
      <c r="D176" s="19" t="n">
        <f aca="false">червень!P176</f>
        <v>1856.43</v>
      </c>
      <c r="E176" s="19" t="n">
        <f aca="false">червень!Q176</f>
        <v>0</v>
      </c>
      <c r="F176" s="20" t="n">
        <f aca="false">червень!F176</f>
        <v>0</v>
      </c>
      <c r="G176" s="21" t="n">
        <f aca="false">червень!G176</f>
        <v>65.58</v>
      </c>
      <c r="H176" s="21" t="n">
        <f aca="false">червень!H176</f>
        <v>0</v>
      </c>
      <c r="I176" s="22" t="n">
        <f aca="false">червень!I176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 t="n">
        <v>1000</v>
      </c>
      <c r="P176" s="25" t="n">
        <f aca="false">IF(D176=0,IF((N176-E176-O176)&gt;0,(N176-E176-O176),0),IF((D176+N176-O176)&gt;0,(D176+N176-O176),0))</f>
        <v>1125.31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червень!B177</f>
        <v>Спільний І.В.</v>
      </c>
      <c r="C177" s="18" t="str">
        <f aca="false">червень!C177</f>
        <v>50169</v>
      </c>
      <c r="D177" s="19" t="n">
        <f aca="false">червень!P177</f>
        <v>0</v>
      </c>
      <c r="E177" s="19" t="n">
        <f aca="false">червень!Q177</f>
        <v>434.03</v>
      </c>
      <c r="F177" s="20" t="n">
        <f aca="false">червень!F177</f>
        <v>0</v>
      </c>
      <c r="G177" s="21" t="n">
        <f aca="false">червень!G177</f>
        <v>49.5</v>
      </c>
      <c r="H177" s="21" t="n">
        <f aca="false">червень!H177</f>
        <v>0</v>
      </c>
      <c r="I177" s="22" t="n">
        <f aca="false">червень!I177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0</v>
      </c>
      <c r="Q177" s="25" t="n">
        <f aca="false">IF(E177=0,IF((D177+N177-O177)&lt;0,ABS(D177+N177-O177),0),IF((N177-E177-O177)&lt;0,ABS(N177-E177-O177),0))</f>
        <v>231.08</v>
      </c>
    </row>
    <row r="178" customFormat="false" ht="15" hidden="false" customHeight="false" outlineLevel="0" collapsed="false">
      <c r="A178" s="17" t="s">
        <v>530</v>
      </c>
      <c r="B178" s="18" t="str">
        <f aca="false">червень!B178</f>
        <v>Кружаліна Т.А.</v>
      </c>
      <c r="C178" s="18" t="str">
        <f aca="false">червень!C178</f>
        <v>50170</v>
      </c>
      <c r="D178" s="19" t="n">
        <f aca="false">червень!P178</f>
        <v>0</v>
      </c>
      <c r="E178" s="19" t="n">
        <f aca="false">червень!Q178</f>
        <v>68.2699999999986</v>
      </c>
      <c r="F178" s="20" t="n">
        <f aca="false">червень!F178</f>
        <v>0</v>
      </c>
      <c r="G178" s="21" t="n">
        <f aca="false">червень!G178</f>
        <v>35.1</v>
      </c>
      <c r="H178" s="21" t="n">
        <f aca="false">червень!H178</f>
        <v>0</v>
      </c>
      <c r="I178" s="22" t="n">
        <f aca="false">червень!I178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75.6400000000014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червень!B179</f>
        <v>Григоренко Н.Е.</v>
      </c>
      <c r="C179" s="18" t="str">
        <f aca="false">червень!C179</f>
        <v>50171</v>
      </c>
      <c r="D179" s="19" t="n">
        <f aca="false">червень!P179</f>
        <v>1851.43</v>
      </c>
      <c r="E179" s="19" t="n">
        <f aca="false">червень!Q179</f>
        <v>0</v>
      </c>
      <c r="F179" s="20" t="n">
        <f aca="false">червень!F179</f>
        <v>0</v>
      </c>
      <c r="G179" s="21" t="n">
        <f aca="false">червень!G179</f>
        <v>62.91</v>
      </c>
      <c r="H179" s="21" t="n">
        <f aca="false">червень!H179</f>
        <v>0</v>
      </c>
      <c r="I179" s="22" t="n">
        <f aca="false">червень!I179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 t="n">
        <f aca="false">205.95+509</f>
        <v>714.95</v>
      </c>
      <c r="P179" s="25" t="n">
        <f aca="false">IF(D179=0,IF((N179-E179-O179)&gt;0,(N179-E179-O179),0),IF((D179+N179-O179)&gt;0,(D179+N179-O179),0))</f>
        <v>1394.41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червень!B180</f>
        <v>Бондарчук В.В.</v>
      </c>
      <c r="C180" s="18" t="str">
        <f aca="false">червень!C180</f>
        <v>50172</v>
      </c>
      <c r="D180" s="19" t="n">
        <f aca="false">червень!P180</f>
        <v>0</v>
      </c>
      <c r="E180" s="19" t="n">
        <f aca="false">червень!Q180</f>
        <v>812.159999999999</v>
      </c>
      <c r="F180" s="20" t="n">
        <f aca="false">червень!F180</f>
        <v>0</v>
      </c>
      <c r="G180" s="21" t="n">
        <f aca="false">червень!G180</f>
        <v>66.03</v>
      </c>
      <c r="H180" s="21" t="n">
        <f aca="false">червень!H180</f>
        <v>0</v>
      </c>
      <c r="I180" s="22" t="n">
        <f aca="false">червень!I180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541.439999999999</v>
      </c>
    </row>
    <row r="181" customFormat="false" ht="15" hidden="false" customHeight="false" outlineLevel="0" collapsed="false">
      <c r="A181" s="17" t="s">
        <v>539</v>
      </c>
      <c r="B181" s="18" t="str">
        <f aca="false">червень!B181</f>
        <v>Рябініна Н.І.</v>
      </c>
      <c r="C181" s="18" t="str">
        <f aca="false">червень!C181</f>
        <v>50173</v>
      </c>
      <c r="D181" s="19" t="n">
        <f aca="false">червень!P181</f>
        <v>1478.03</v>
      </c>
      <c r="E181" s="19" t="n">
        <f aca="false">червень!Q181</f>
        <v>0</v>
      </c>
      <c r="F181" s="20" t="n">
        <f aca="false">червень!F181</f>
        <v>0</v>
      </c>
      <c r="G181" s="21" t="n">
        <f aca="false">червень!G181</f>
        <v>49.9</v>
      </c>
      <c r="H181" s="21" t="n">
        <f aca="false">червень!H181</f>
        <v>0</v>
      </c>
      <c r="I181" s="22" t="n">
        <f aca="false">червень!I181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 t="n">
        <v>500</v>
      </c>
      <c r="P181" s="25" t="n">
        <f aca="false">IF(D181=0,IF((N181-E181-O181)&gt;0,(N181-E181-O181),0),IF((D181+N181-O181)&gt;0,(D181+N181-O181),0))</f>
        <v>1182.62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червень!B182</f>
        <v>Шапіро В.І.</v>
      </c>
      <c r="C182" s="18" t="str">
        <f aca="false">червень!C182</f>
        <v>50174</v>
      </c>
      <c r="D182" s="19" t="n">
        <f aca="false">червень!P182</f>
        <v>143.17</v>
      </c>
      <c r="E182" s="19" t="n">
        <f aca="false">червень!Q182</f>
        <v>0</v>
      </c>
      <c r="F182" s="20" t="n">
        <f aca="false">червень!F182</f>
        <v>0</v>
      </c>
      <c r="G182" s="21" t="n">
        <f aca="false">червень!G182</f>
        <v>34.92</v>
      </c>
      <c r="H182" s="21" t="n">
        <f aca="false">червень!H182</f>
        <v>0</v>
      </c>
      <c r="I182" s="22" t="n">
        <f aca="false">червень!I182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 t="n">
        <v>143.17</v>
      </c>
      <c r="P182" s="25" t="n">
        <f aca="false">IF(D182=0,IF((N182-E182-O182)&gt;0,(N182-E182-O182),0),IF((D182+N182-O182)&gt;0,(D182+N182-O182),0))</f>
        <v>143.17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червень!B183</f>
        <v>Крамаренко О.О.</v>
      </c>
      <c r="C183" s="18" t="str">
        <f aca="false">червень!C183</f>
        <v>50175</v>
      </c>
      <c r="D183" s="19" t="n">
        <f aca="false">червень!P183</f>
        <v>1309.22</v>
      </c>
      <c r="E183" s="19" t="n">
        <f aca="false">червень!Q183</f>
        <v>0</v>
      </c>
      <c r="F183" s="20" t="n">
        <f aca="false">червень!F183</f>
        <v>0</v>
      </c>
      <c r="G183" s="21" t="n">
        <f aca="false">червень!G183</f>
        <v>61.91</v>
      </c>
      <c r="H183" s="21" t="n">
        <f aca="false">червень!H183</f>
        <v>0</v>
      </c>
      <c r="I183" s="22" t="n">
        <f aca="false">червень!I183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1563.05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червень!B184</f>
        <v>Свиридов В.Ф.</v>
      </c>
      <c r="C184" s="18" t="str">
        <f aca="false">червень!C184</f>
        <v>50176</v>
      </c>
      <c r="D184" s="19" t="n">
        <f aca="false">червень!P184</f>
        <v>4060.51</v>
      </c>
      <c r="E184" s="19" t="n">
        <f aca="false">червень!Q184</f>
        <v>0</v>
      </c>
      <c r="F184" s="20" t="n">
        <f aca="false">червень!F184</f>
        <v>0</v>
      </c>
      <c r="G184" s="21" t="n">
        <f aca="false">червень!G184</f>
        <v>65.15</v>
      </c>
      <c r="H184" s="21" t="n">
        <f aca="false">червень!H184</f>
        <v>0</v>
      </c>
      <c r="I184" s="22" t="n">
        <f aca="false">червень!I184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4327.63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червень!B185</f>
        <v>Домацький В.А.</v>
      </c>
      <c r="C185" s="18" t="str">
        <f aca="false">червень!C185</f>
        <v>50177</v>
      </c>
      <c r="D185" s="19" t="n">
        <f aca="false">червень!P185</f>
        <v>2869.98</v>
      </c>
      <c r="E185" s="19" t="n">
        <f aca="false">червень!Q185</f>
        <v>0</v>
      </c>
      <c r="F185" s="20" t="n">
        <f aca="false">червень!F185</f>
        <v>0</v>
      </c>
      <c r="G185" s="21" t="n">
        <f aca="false">червень!G185</f>
        <v>50</v>
      </c>
      <c r="H185" s="21" t="n">
        <f aca="false">червень!H185</f>
        <v>0</v>
      </c>
      <c r="I185" s="22" t="n">
        <f aca="false">червень!I185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3074.98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червень!B186</f>
        <v>Шаповалова І.А.</v>
      </c>
      <c r="C186" s="18" t="str">
        <f aca="false">червень!C186</f>
        <v>50178</v>
      </c>
      <c r="D186" s="19" t="n">
        <f aca="false">червень!P186</f>
        <v>1870.11</v>
      </c>
      <c r="E186" s="19" t="n">
        <f aca="false">червень!Q186</f>
        <v>0</v>
      </c>
      <c r="F186" s="20" t="n">
        <f aca="false">червень!F186</f>
        <v>0</v>
      </c>
      <c r="G186" s="21" t="n">
        <f aca="false">червень!G186</f>
        <v>35.1</v>
      </c>
      <c r="H186" s="21" t="n">
        <f aca="false">червень!H186</f>
        <v>0</v>
      </c>
      <c r="I186" s="22" t="n">
        <f aca="false">червень!I186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2014.02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червень!B187</f>
        <v>Кононенко О.В.</v>
      </c>
      <c r="C187" s="18" t="str">
        <f aca="false">червень!C187</f>
        <v>50179</v>
      </c>
      <c r="D187" s="19" t="n">
        <f aca="false">червень!P187</f>
        <v>4560.23</v>
      </c>
      <c r="E187" s="19" t="n">
        <f aca="false">червень!Q187</f>
        <v>0</v>
      </c>
      <c r="F187" s="20" t="n">
        <f aca="false">червень!F187</f>
        <v>0</v>
      </c>
      <c r="G187" s="21" t="n">
        <f aca="false">червень!G187</f>
        <v>61.8</v>
      </c>
      <c r="H187" s="21" t="n">
        <f aca="false">червень!H187</f>
        <v>0</v>
      </c>
      <c r="I187" s="22" t="n">
        <f aca="false">червень!I187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4813.61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червень!B188</f>
        <v>Овчаренко Т.І.</v>
      </c>
      <c r="C188" s="18" t="str">
        <f aca="false">червень!C188</f>
        <v>60180</v>
      </c>
      <c r="D188" s="19" t="n">
        <f aca="false">червень!P188</f>
        <v>973.73</v>
      </c>
      <c r="E188" s="19" t="n">
        <f aca="false">червень!Q188</f>
        <v>0</v>
      </c>
      <c r="F188" s="20" t="n">
        <f aca="false">червень!F188</f>
        <v>0</v>
      </c>
      <c r="G188" s="21" t="n">
        <f aca="false">червень!G188</f>
        <v>71.06</v>
      </c>
      <c r="H188" s="21" t="n">
        <f aca="false">червень!H188</f>
        <v>0</v>
      </c>
      <c r="I188" s="22" t="n">
        <f aca="false">червень!I188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 t="n">
        <v>876</v>
      </c>
      <c r="P188" s="25" t="n">
        <f aca="false">IF(D188=0,IF((N188-E188-O188)&gt;0,(N188-E188-O188),0),IF((D188+N188-O188)&gt;0,(D188+N188-O188),0))</f>
        <v>389.08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червень!B189</f>
        <v>Попукайло О.Г.</v>
      </c>
      <c r="C189" s="18" t="str">
        <f aca="false">червень!C189</f>
        <v>60181</v>
      </c>
      <c r="D189" s="19" t="n">
        <f aca="false">червень!P189</f>
        <v>1209.12</v>
      </c>
      <c r="E189" s="19" t="n">
        <f aca="false">червень!Q189</f>
        <v>0</v>
      </c>
      <c r="F189" s="20" t="n">
        <f aca="false">червень!F189</f>
        <v>0</v>
      </c>
      <c r="G189" s="21" t="n">
        <f aca="false">червень!G189</f>
        <v>49.15</v>
      </c>
      <c r="H189" s="21" t="n">
        <f aca="false">червень!H189</f>
        <v>0</v>
      </c>
      <c r="I189" s="22" t="n">
        <f aca="false">червень!I189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1410.64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червень!B190</f>
        <v>Онищенко А.В.</v>
      </c>
      <c r="C190" s="18" t="str">
        <f aca="false">червень!C190</f>
        <v>60182</v>
      </c>
      <c r="D190" s="19" t="n">
        <f aca="false">червень!P190</f>
        <v>1366.78</v>
      </c>
      <c r="E190" s="19" t="n">
        <f aca="false">червень!Q190</f>
        <v>0</v>
      </c>
      <c r="F190" s="20" t="n">
        <f aca="false">червень!F190</f>
        <v>0</v>
      </c>
      <c r="G190" s="21" t="n">
        <f aca="false">червень!G190</f>
        <v>53.72</v>
      </c>
      <c r="H190" s="21" t="n">
        <f aca="false">червень!H190</f>
        <v>0</v>
      </c>
      <c r="I190" s="22" t="n">
        <f aca="false">червень!I190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1587.03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червень!B191</f>
        <v>Соколова О.О.</v>
      </c>
      <c r="C191" s="18" t="str">
        <f aca="false">червень!C191</f>
        <v>60183</v>
      </c>
      <c r="D191" s="19" t="n">
        <f aca="false">червень!P191</f>
        <v>0</v>
      </c>
      <c r="E191" s="19" t="n">
        <f aca="false">червень!Q191</f>
        <v>584.600000000001</v>
      </c>
      <c r="F191" s="20" t="n">
        <f aca="false">червень!F191</f>
        <v>0</v>
      </c>
      <c r="G191" s="21" t="n">
        <f aca="false">червень!G191</f>
        <v>68.97</v>
      </c>
      <c r="H191" s="21" t="n">
        <f aca="false">червень!H191</f>
        <v>0</v>
      </c>
      <c r="I191" s="22" t="n">
        <f aca="false">червень!I191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301.820000000001</v>
      </c>
    </row>
    <row r="192" customFormat="false" ht="15" hidden="false" customHeight="false" outlineLevel="0" collapsed="false">
      <c r="A192" s="17" t="s">
        <v>572</v>
      </c>
      <c r="B192" s="18" t="str">
        <f aca="false">червень!B192</f>
        <v>Ільіна В.П.</v>
      </c>
      <c r="C192" s="18" t="str">
        <f aca="false">червень!C192</f>
        <v>60184</v>
      </c>
      <c r="D192" s="19" t="n">
        <f aca="false">червень!P192</f>
        <v>5315.18</v>
      </c>
      <c r="E192" s="19" t="n">
        <f aca="false">червень!Q192</f>
        <v>0</v>
      </c>
      <c r="F192" s="20" t="n">
        <f aca="false">червень!F192</f>
        <v>0</v>
      </c>
      <c r="G192" s="21" t="n">
        <f aca="false">червень!G192</f>
        <v>49.86</v>
      </c>
      <c r="H192" s="21" t="n">
        <f aca="false">червень!H192</f>
        <v>0</v>
      </c>
      <c r="I192" s="22" t="n">
        <f aca="false">червень!I192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5519.61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червень!B193</f>
        <v>Чешок Г.К.</v>
      </c>
      <c r="C193" s="18" t="str">
        <f aca="false">червень!C193</f>
        <v>60185</v>
      </c>
      <c r="D193" s="19" t="n">
        <f aca="false">червень!P193</f>
        <v>4400.55</v>
      </c>
      <c r="E193" s="19" t="n">
        <f aca="false">червень!Q193</f>
        <v>0</v>
      </c>
      <c r="F193" s="20" t="n">
        <f aca="false">червень!F193</f>
        <v>0</v>
      </c>
      <c r="G193" s="21" t="n">
        <f aca="false">червень!G193</f>
        <v>60.86</v>
      </c>
      <c r="H193" s="21" t="n">
        <f aca="false">червень!H193</f>
        <v>0</v>
      </c>
      <c r="I193" s="22" t="n">
        <f aca="false">червень!I193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4650.08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червень!B194</f>
        <v>Бердников В.А.</v>
      </c>
      <c r="C194" s="18" t="str">
        <f aca="false">червень!C194</f>
        <v>60186</v>
      </c>
      <c r="D194" s="19" t="n">
        <f aca="false">червень!P194</f>
        <v>2191.71</v>
      </c>
      <c r="E194" s="19" t="n">
        <f aca="false">червень!Q194</f>
        <v>0</v>
      </c>
      <c r="F194" s="20" t="n">
        <f aca="false">червень!F194</f>
        <v>0</v>
      </c>
      <c r="G194" s="21" t="n">
        <f aca="false">червень!G194</f>
        <v>66.75</v>
      </c>
      <c r="H194" s="21" t="n">
        <f aca="false">червень!H194</f>
        <v>0</v>
      </c>
      <c r="I194" s="22" t="n">
        <f aca="false">червень!I194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2465.39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червень!B195</f>
        <v>Щербак Н.В.</v>
      </c>
      <c r="C195" s="18" t="str">
        <f aca="false">червень!C195</f>
        <v>60187</v>
      </c>
      <c r="D195" s="19" t="n">
        <f aca="false">червень!P195</f>
        <v>4160.84</v>
      </c>
      <c r="E195" s="19" t="n">
        <f aca="false">червень!Q195</f>
        <v>0</v>
      </c>
      <c r="F195" s="20" t="n">
        <f aca="false">червень!F195</f>
        <v>0</v>
      </c>
      <c r="G195" s="21" t="n">
        <f aca="false">червень!G195</f>
        <v>72.49</v>
      </c>
      <c r="H195" s="21" t="n">
        <f aca="false">червень!H195</f>
        <v>0</v>
      </c>
      <c r="I195" s="22" t="n">
        <f aca="false">червень!I195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4458.05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червень!B196</f>
        <v>Рожков Ю.М.</v>
      </c>
      <c r="C196" s="18" t="str">
        <f aca="false">червень!C196</f>
        <v>60188</v>
      </c>
      <c r="D196" s="19" t="n">
        <f aca="false">червень!P196</f>
        <v>1196.78</v>
      </c>
      <c r="E196" s="19" t="n">
        <f aca="false">червень!Q196</f>
        <v>0</v>
      </c>
      <c r="F196" s="20" t="n">
        <f aca="false">червень!F196</f>
        <v>0</v>
      </c>
      <c r="G196" s="21" t="n">
        <f aca="false">червень!G196</f>
        <v>49.8</v>
      </c>
      <c r="H196" s="21" t="n">
        <f aca="false">червень!H196</f>
        <v>0</v>
      </c>
      <c r="I196" s="22" t="n">
        <f aca="false">червень!I196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1400.96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червень!B197</f>
        <v>Кобець В.В.</v>
      </c>
      <c r="C197" s="18" t="str">
        <f aca="false">червень!C197</f>
        <v>60189</v>
      </c>
      <c r="D197" s="19" t="n">
        <f aca="false">червень!P197</f>
        <v>2568.87</v>
      </c>
      <c r="E197" s="19" t="n">
        <f aca="false">червень!Q197</f>
        <v>0</v>
      </c>
      <c r="F197" s="20" t="n">
        <f aca="false">червень!F197</f>
        <v>0</v>
      </c>
      <c r="G197" s="21" t="n">
        <f aca="false">червень!G197</f>
        <v>62.36</v>
      </c>
      <c r="H197" s="21" t="n">
        <f aca="false">червень!H197</f>
        <v>0</v>
      </c>
      <c r="I197" s="22" t="n">
        <f aca="false">червень!I197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2824.55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червень!B198</f>
        <v>Щерба Л.О.</v>
      </c>
      <c r="C198" s="18" t="str">
        <f aca="false">червень!C198</f>
        <v>60190</v>
      </c>
      <c r="D198" s="19" t="n">
        <f aca="false">червень!P198</f>
        <v>3815.5</v>
      </c>
      <c r="E198" s="19" t="n">
        <f aca="false">червень!Q198</f>
        <v>0</v>
      </c>
      <c r="F198" s="20" t="n">
        <f aca="false">червень!F198</f>
        <v>0</v>
      </c>
      <c r="G198" s="21" t="n">
        <f aca="false">червень!G198</f>
        <v>68.5</v>
      </c>
      <c r="H198" s="21" t="n">
        <f aca="false">червень!H198</f>
        <v>0</v>
      </c>
      <c r="I198" s="22" t="n">
        <f aca="false">червень!I198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 t="n">
        <v>500</v>
      </c>
      <c r="P198" s="25" t="n">
        <f aca="false">IF(D198=0,IF((N198-E198-O198)&gt;0,(N198-E198-O198),0),IF((D198+N198-O198)&gt;0,(D198+N198-O198),0))</f>
        <v>3596.35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червень!B199</f>
        <v>Сапунова І.В.</v>
      </c>
      <c r="C199" s="18" t="str">
        <f aca="false">червень!C199</f>
        <v>60191</v>
      </c>
      <c r="D199" s="19" t="n">
        <f aca="false">червень!P199</f>
        <v>2350.72</v>
      </c>
      <c r="E199" s="19" t="n">
        <f aca="false">червень!Q199</f>
        <v>0</v>
      </c>
      <c r="F199" s="20" t="n">
        <f aca="false">червень!F199</f>
        <v>0</v>
      </c>
      <c r="G199" s="21" t="n">
        <f aca="false">червень!G199</f>
        <v>70.42</v>
      </c>
      <c r="H199" s="21" t="n">
        <f aca="false">червень!H199</f>
        <v>0</v>
      </c>
      <c r="I199" s="22" t="n">
        <f aca="false">червень!I199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2639.44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червень!B200</f>
        <v>Саввідіс В.О.</v>
      </c>
      <c r="C200" s="18" t="str">
        <f aca="false">червень!C200</f>
        <v>60192</v>
      </c>
      <c r="D200" s="19" t="n">
        <f aca="false">червень!P200</f>
        <v>3965.64</v>
      </c>
      <c r="E200" s="19" t="n">
        <f aca="false">червень!Q200</f>
        <v>0</v>
      </c>
      <c r="F200" s="20" t="n">
        <f aca="false">червень!F200</f>
        <v>0</v>
      </c>
      <c r="G200" s="21" t="n">
        <f aca="false">червень!G200</f>
        <v>49.7</v>
      </c>
      <c r="H200" s="21" t="n">
        <f aca="false">червень!H200</f>
        <v>0</v>
      </c>
      <c r="I200" s="22" t="n">
        <f aca="false">червень!I200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4169.41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червень!B201</f>
        <v>Кашина Г.І.</v>
      </c>
      <c r="C201" s="18" t="str">
        <f aca="false">червень!C201</f>
        <v>60193</v>
      </c>
      <c r="D201" s="19" t="n">
        <f aca="false">червень!P201</f>
        <v>4363.22</v>
      </c>
      <c r="E201" s="19" t="n">
        <f aca="false">червень!Q201</f>
        <v>0</v>
      </c>
      <c r="F201" s="20" t="n">
        <f aca="false">червень!F201</f>
        <v>0</v>
      </c>
      <c r="G201" s="21" t="n">
        <f aca="false">червень!G201</f>
        <v>62.6</v>
      </c>
      <c r="H201" s="21" t="n">
        <f aca="false">червень!H201</f>
        <v>0</v>
      </c>
      <c r="I201" s="22" t="n">
        <f aca="false">червень!I201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4619.88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червень!B202</f>
        <v>Фадеєва Є.А.</v>
      </c>
      <c r="C202" s="18" t="str">
        <f aca="false">червень!C202</f>
        <v>60194</v>
      </c>
      <c r="D202" s="19" t="n">
        <f aca="false">червень!P202</f>
        <v>3752.32</v>
      </c>
      <c r="E202" s="19" t="n">
        <f aca="false">червень!Q202</f>
        <v>0</v>
      </c>
      <c r="F202" s="20" t="n">
        <f aca="false">червень!F202</f>
        <v>0</v>
      </c>
      <c r="G202" s="21" t="n">
        <f aca="false">червень!G202</f>
        <v>70.4</v>
      </c>
      <c r="H202" s="21" t="n">
        <f aca="false">червень!H202</f>
        <v>0</v>
      </c>
      <c r="I202" s="22" t="n">
        <f aca="false">червень!I202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4040.96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червень!B203</f>
        <v>Бойко О.А.</v>
      </c>
      <c r="C203" s="18" t="str">
        <f aca="false">червень!C203</f>
        <v>60195</v>
      </c>
      <c r="D203" s="19" t="n">
        <f aca="false">червень!P203</f>
        <v>4020.33</v>
      </c>
      <c r="E203" s="19" t="n">
        <f aca="false">червень!Q203</f>
        <v>0</v>
      </c>
      <c r="F203" s="20" t="n">
        <f aca="false">червень!F203</f>
        <v>0</v>
      </c>
      <c r="G203" s="21" t="n">
        <f aca="false">червень!G203</f>
        <v>70.2</v>
      </c>
      <c r="H203" s="21" t="n">
        <f aca="false">червень!H203</f>
        <v>0</v>
      </c>
      <c r="I203" s="22" t="n">
        <f aca="false">червень!I203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4308.15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червень!B204</f>
        <v>Дудник І.А.</v>
      </c>
      <c r="C204" s="18" t="str">
        <f aca="false">червень!C204</f>
        <v>60196</v>
      </c>
      <c r="D204" s="19" t="n">
        <f aca="false">червень!P204</f>
        <v>2917.77</v>
      </c>
      <c r="E204" s="19" t="n">
        <f aca="false">червень!Q204</f>
        <v>0</v>
      </c>
      <c r="F204" s="20" t="n">
        <f aca="false">червень!F204</f>
        <v>0</v>
      </c>
      <c r="G204" s="21" t="n">
        <f aca="false">червень!G204</f>
        <v>49.94</v>
      </c>
      <c r="H204" s="21" t="n">
        <f aca="false">червень!H204</f>
        <v>0</v>
      </c>
      <c r="I204" s="22" t="n">
        <f aca="false">червень!I204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3122.52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червень!B205</f>
        <v>Лебедєва Т.В.</v>
      </c>
      <c r="C205" s="18" t="str">
        <f aca="false">червень!C205</f>
        <v>60197</v>
      </c>
      <c r="D205" s="19" t="n">
        <f aca="false">червень!P205</f>
        <v>2294.3</v>
      </c>
      <c r="E205" s="19" t="n">
        <f aca="false">червень!Q205</f>
        <v>0</v>
      </c>
      <c r="F205" s="20" t="n">
        <f aca="false">червень!F205</f>
        <v>0</v>
      </c>
      <c r="G205" s="21" t="n">
        <f aca="false">червень!G205</f>
        <v>62.3</v>
      </c>
      <c r="H205" s="21" t="n">
        <f aca="false">червень!H205</f>
        <v>0</v>
      </c>
      <c r="I205" s="22" t="n">
        <f aca="false">червень!I205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2549.73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червень!B206</f>
        <v>Криницький Л.С.</v>
      </c>
      <c r="C206" s="18" t="str">
        <f aca="false">червень!C206</f>
        <v>60198</v>
      </c>
      <c r="D206" s="19" t="n">
        <f aca="false">червень!P206</f>
        <v>0</v>
      </c>
      <c r="E206" s="19" t="n">
        <f aca="false">червень!Q206</f>
        <v>277.2</v>
      </c>
      <c r="F206" s="20" t="n">
        <f aca="false">червень!F206</f>
        <v>0</v>
      </c>
      <c r="G206" s="21" t="n">
        <f aca="false">червень!G206</f>
        <v>67.61</v>
      </c>
      <c r="H206" s="21" t="n">
        <f aca="false">червень!H206</f>
        <v>0</v>
      </c>
      <c r="I206" s="22" t="n">
        <f aca="false">червень!I206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0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червень!B207</f>
        <v>Сафонов В.В.</v>
      </c>
      <c r="C207" s="18" t="str">
        <f aca="false">червень!C207</f>
        <v>60199</v>
      </c>
      <c r="D207" s="19" t="n">
        <f aca="false">червень!P207</f>
        <v>3649.1</v>
      </c>
      <c r="E207" s="19" t="n">
        <f aca="false">червень!Q207</f>
        <v>0</v>
      </c>
      <c r="F207" s="20" t="n">
        <f aca="false">червень!F207</f>
        <v>0</v>
      </c>
      <c r="G207" s="21" t="n">
        <f aca="false">червень!G207</f>
        <v>70.38</v>
      </c>
      <c r="H207" s="21" t="n">
        <f aca="false">червень!H207</f>
        <v>0</v>
      </c>
      <c r="I207" s="22" t="n">
        <f aca="false">червень!I207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3937.66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червень!B208</f>
        <v>Мільковська Р.Г.</v>
      </c>
      <c r="C208" s="18" t="str">
        <f aca="false">червень!C208</f>
        <v>60200</v>
      </c>
      <c r="D208" s="19" t="n">
        <f aca="false">червень!P208</f>
        <v>2696.6</v>
      </c>
      <c r="E208" s="19" t="n">
        <f aca="false">червень!Q208</f>
        <v>0</v>
      </c>
      <c r="F208" s="20" t="n">
        <f aca="false">червень!F208</f>
        <v>0</v>
      </c>
      <c r="G208" s="21" t="n">
        <f aca="false">червень!G208</f>
        <v>49.88</v>
      </c>
      <c r="H208" s="21" t="n">
        <f aca="false">червень!H208</f>
        <v>0</v>
      </c>
      <c r="I208" s="22" t="n">
        <f aca="false">червень!I208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2901.11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червень!B209</f>
        <v>Заранкін С.М.</v>
      </c>
      <c r="C209" s="18" t="str">
        <f aca="false">червень!C209</f>
        <v>60201</v>
      </c>
      <c r="D209" s="19" t="n">
        <f aca="false">червень!P209</f>
        <v>2494.92</v>
      </c>
      <c r="E209" s="19" t="n">
        <f aca="false">червень!Q209</f>
        <v>0</v>
      </c>
      <c r="F209" s="20" t="n">
        <f aca="false">червень!F209</f>
        <v>0</v>
      </c>
      <c r="G209" s="21" t="n">
        <f aca="false">червень!G209</f>
        <v>62.02</v>
      </c>
      <c r="H209" s="21" t="n">
        <f aca="false">червень!H209</f>
        <v>0</v>
      </c>
      <c r="I209" s="22" t="n">
        <f aca="false">червень!I209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2749.2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червень!B210</f>
        <v>Сіянко О.М.</v>
      </c>
      <c r="C210" s="18" t="str">
        <f aca="false">червень!C210</f>
        <v>60202</v>
      </c>
      <c r="D210" s="19" t="n">
        <f aca="false">червень!P210</f>
        <v>3309.67</v>
      </c>
      <c r="E210" s="19" t="n">
        <f aca="false">червень!Q210</f>
        <v>0</v>
      </c>
      <c r="F210" s="20" t="n">
        <f aca="false">червень!F210</f>
        <v>0</v>
      </c>
      <c r="G210" s="21" t="n">
        <f aca="false">червень!G210</f>
        <v>67.6</v>
      </c>
      <c r="H210" s="21" t="n">
        <f aca="false">червень!H210</f>
        <v>0</v>
      </c>
      <c r="I210" s="22" t="n">
        <f aca="false">червень!I210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3586.83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червень!B211</f>
        <v>Осипов В.В.</v>
      </c>
      <c r="C211" s="18" t="str">
        <f aca="false">червень!C211</f>
        <v>60203</v>
      </c>
      <c r="D211" s="19" t="n">
        <f aca="false">червень!P211</f>
        <v>5196.96000000001</v>
      </c>
      <c r="E211" s="19" t="n">
        <f aca="false">червень!Q211</f>
        <v>0</v>
      </c>
      <c r="F211" s="20" t="n">
        <f aca="false">червень!F211</f>
        <v>0</v>
      </c>
      <c r="G211" s="21" t="n">
        <f aca="false">червень!G211</f>
        <v>70.42</v>
      </c>
      <c r="H211" s="21" t="n">
        <f aca="false">червень!H211</f>
        <v>0</v>
      </c>
      <c r="I211" s="22" t="n">
        <f aca="false">червень!I211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5485.68000000001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червень!B212</f>
        <v>Перепьолкін А.Л.</v>
      </c>
      <c r="C212" s="18" t="str">
        <f aca="false">червень!C212</f>
        <v>60204</v>
      </c>
      <c r="D212" s="19" t="n">
        <f aca="false">червень!P212</f>
        <v>785.46</v>
      </c>
      <c r="E212" s="19" t="n">
        <f aca="false">червень!Q212</f>
        <v>0</v>
      </c>
      <c r="F212" s="20" t="n">
        <f aca="false">червень!F212</f>
        <v>0</v>
      </c>
      <c r="G212" s="21" t="n">
        <f aca="false">червень!G212</f>
        <v>49.8</v>
      </c>
      <c r="H212" s="21" t="n">
        <f aca="false">червень!H212</f>
        <v>0</v>
      </c>
      <c r="I212" s="22" t="n">
        <f aca="false">червень!I212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 t="n">
        <v>204.18</v>
      </c>
      <c r="P212" s="25" t="n">
        <f aca="false">IF(D212=0,IF((N212-E212-O212)&gt;0,(N212-E212-O212),0),IF((D212+N212-O212)&gt;0,(D212+N212-O212),0))</f>
        <v>785.46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червень!B213</f>
        <v>Синегрибова В.В.</v>
      </c>
      <c r="C213" s="18" t="str">
        <f aca="false">червень!C213</f>
        <v>60205</v>
      </c>
      <c r="D213" s="19" t="n">
        <f aca="false">червень!P213</f>
        <v>4843.42</v>
      </c>
      <c r="E213" s="19" t="n">
        <f aca="false">червень!Q213</f>
        <v>0</v>
      </c>
      <c r="F213" s="20" t="n">
        <f aca="false">червень!F213</f>
        <v>0</v>
      </c>
      <c r="G213" s="21" t="n">
        <f aca="false">червень!G213</f>
        <v>62.7</v>
      </c>
      <c r="H213" s="21" t="n">
        <f aca="false">червень!H213</f>
        <v>0</v>
      </c>
      <c r="I213" s="22" t="n">
        <f aca="false">червень!I213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5100.49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червень!B214</f>
        <v>Юдін М.В.</v>
      </c>
      <c r="C214" s="18" t="str">
        <f aca="false">червень!C214</f>
        <v>60206</v>
      </c>
      <c r="D214" s="19" t="n">
        <f aca="false">червень!P214</f>
        <v>204</v>
      </c>
      <c r="E214" s="19" t="n">
        <f aca="false">червень!Q214</f>
        <v>0</v>
      </c>
      <c r="F214" s="20" t="n">
        <f aca="false">червень!F214</f>
        <v>0</v>
      </c>
      <c r="G214" s="21" t="n">
        <f aca="false">червень!G214</f>
        <v>68</v>
      </c>
      <c r="H214" s="21" t="n">
        <f aca="false">червень!H214</f>
        <v>0</v>
      </c>
      <c r="I214" s="22" t="n">
        <f aca="false">червень!I214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червень!B215</f>
        <v>Сергєєва Н.О.</v>
      </c>
      <c r="C215" s="18" t="str">
        <f aca="false">червень!C215</f>
        <v>60207</v>
      </c>
      <c r="D215" s="19" t="n">
        <f aca="false">червень!P215</f>
        <v>197.520000000001</v>
      </c>
      <c r="E215" s="19" t="n">
        <f aca="false">червень!Q215</f>
        <v>0</v>
      </c>
      <c r="F215" s="20" t="n">
        <f aca="false">червень!F215</f>
        <v>0</v>
      </c>
      <c r="G215" s="21" t="n">
        <f aca="false">червень!G215</f>
        <v>72.1</v>
      </c>
      <c r="H215" s="21" t="n">
        <f aca="false">червень!H215</f>
        <v>0</v>
      </c>
      <c r="I215" s="22" t="n">
        <f aca="false">червень!I215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 t="n">
        <v>300</v>
      </c>
      <c r="P215" s="25" t="n">
        <f aca="false">IF(D215=0,IF((N215-E215-O215)&gt;0,(N215-E215-O215),0),IF((D215+N215-O215)&gt;0,(D215+N215-O215),0))</f>
        <v>193.130000000001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червень!B216</f>
        <v>Рева І.П.</v>
      </c>
      <c r="C216" s="18" t="str">
        <f aca="false">червень!C216</f>
        <v>60208</v>
      </c>
      <c r="D216" s="19" t="n">
        <f aca="false">червень!P216</f>
        <v>2027</v>
      </c>
      <c r="E216" s="19" t="n">
        <f aca="false">червень!Q216</f>
        <v>0</v>
      </c>
      <c r="F216" s="20" t="n">
        <f aca="false">червень!F216</f>
        <v>0</v>
      </c>
      <c r="G216" s="21" t="n">
        <f aca="false">червень!G216</f>
        <v>49.72</v>
      </c>
      <c r="H216" s="21" t="n">
        <f aca="false">червень!H216</f>
        <v>0</v>
      </c>
      <c r="I216" s="22" t="n">
        <f aca="false">червень!I216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2230.85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червень!B217</f>
        <v>Почапський Ю.Т.</v>
      </c>
      <c r="C217" s="18" t="str">
        <f aca="false">червень!C217</f>
        <v>60209</v>
      </c>
      <c r="D217" s="19" t="n">
        <f aca="false">червень!P217</f>
        <v>247.29</v>
      </c>
      <c r="E217" s="19" t="n">
        <f aca="false">червень!Q217</f>
        <v>0</v>
      </c>
      <c r="F217" s="20" t="n">
        <f aca="false">червень!F217</f>
        <v>0</v>
      </c>
      <c r="G217" s="21" t="n">
        <f aca="false">червень!G217</f>
        <v>62.39</v>
      </c>
      <c r="H217" s="21" t="n">
        <f aca="false">червень!H217</f>
        <v>0</v>
      </c>
      <c r="I217" s="22" t="n">
        <f aca="false">червень!I217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/>
      <c r="P217" s="25" t="n">
        <f aca="false">IF(D217=0,IF((N217-E217-O217)&gt;0,(N217-E217-O217),0),IF((D217+N217-O217)&gt;0,(D217+N217-O217),0))</f>
        <v>503.09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червень!B218</f>
        <v>Васильченко М.П.</v>
      </c>
      <c r="C218" s="18" t="str">
        <f aca="false">червень!C218</f>
        <v>60210</v>
      </c>
      <c r="D218" s="19" t="n">
        <f aca="false">червень!P218</f>
        <v>4417.23</v>
      </c>
      <c r="E218" s="19" t="n">
        <f aca="false">червень!Q218</f>
        <v>0</v>
      </c>
      <c r="F218" s="20" t="n">
        <f aca="false">червень!F218</f>
        <v>0</v>
      </c>
      <c r="G218" s="21" t="n">
        <f aca="false">червень!G218</f>
        <v>67.47</v>
      </c>
      <c r="H218" s="21" t="n">
        <f aca="false">червень!H218</f>
        <v>0</v>
      </c>
      <c r="I218" s="22" t="n">
        <f aca="false">червень!I218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4693.86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червень!B219</f>
        <v>Черненко Т.А.</v>
      </c>
      <c r="C219" s="18" t="str">
        <f aca="false">червень!C219</f>
        <v>60211</v>
      </c>
      <c r="D219" s="19" t="n">
        <f aca="false">червень!P219</f>
        <v>3914.56</v>
      </c>
      <c r="E219" s="19" t="n">
        <f aca="false">червень!Q219</f>
        <v>0</v>
      </c>
      <c r="F219" s="20" t="n">
        <f aca="false">червень!F219</f>
        <v>0</v>
      </c>
      <c r="G219" s="21" t="n">
        <f aca="false">червень!G219</f>
        <v>70.41</v>
      </c>
      <c r="H219" s="21" t="n">
        <f aca="false">червень!H219</f>
        <v>0</v>
      </c>
      <c r="I219" s="22" t="n">
        <f aca="false">червень!I219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4203.24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червень!B220</f>
        <v>Сиротенко Я.О.</v>
      </c>
      <c r="C220" s="18" t="str">
        <f aca="false">червень!C220</f>
        <v>60212</v>
      </c>
      <c r="D220" s="19" t="n">
        <f aca="false">червень!P220</f>
        <v>2381.75</v>
      </c>
      <c r="E220" s="19" t="n">
        <f aca="false">червень!Q220</f>
        <v>0</v>
      </c>
      <c r="F220" s="20" t="n">
        <f aca="false">червень!F220</f>
        <v>0</v>
      </c>
      <c r="G220" s="21" t="n">
        <f aca="false">червень!G220</f>
        <v>49.73</v>
      </c>
      <c r="H220" s="21" t="n">
        <f aca="false">червень!H220</f>
        <v>0</v>
      </c>
      <c r="I220" s="22" t="n">
        <f aca="false">червень!I220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2585.64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червень!B221</f>
        <v>Корнюшенко О.О.</v>
      </c>
      <c r="C221" s="18" t="str">
        <f aca="false">червень!C221</f>
        <v>60213</v>
      </c>
      <c r="D221" s="28" t="n">
        <f aca="false">червень!P221</f>
        <v>5898.8</v>
      </c>
      <c r="E221" s="29" t="n">
        <f aca="false">червень!Q221</f>
        <v>0</v>
      </c>
      <c r="F221" s="20" t="n">
        <f aca="false">червень!F221</f>
        <v>0</v>
      </c>
      <c r="G221" s="21" t="n">
        <f aca="false">червень!G221</f>
        <v>62</v>
      </c>
      <c r="H221" s="21" t="n">
        <f aca="false">червень!H221</f>
        <v>0</v>
      </c>
      <c r="I221" s="22" t="n">
        <f aca="false">червень!I221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6153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453352.83</v>
      </c>
      <c r="E222" s="33" t="n">
        <f aca="false">SUM(E7:E221)</f>
        <v>8260.12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39336.73</v>
      </c>
      <c r="P222" s="39" t="n">
        <f aca="false">SUM(P7:P221)</f>
        <v>461837.9</v>
      </c>
      <c r="Q222" s="33" t="n">
        <f aca="false">SUM(Q7:Q221)</f>
        <v>8306.93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445092.71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453530.97</v>
      </c>
      <c r="Q223" s="41"/>
    </row>
    <row r="225" customFormat="false" ht="15" hidden="false" customHeight="false" outlineLevel="0" collapsed="false">
      <c r="U225" s="42" t="n">
        <f aca="false">[1]лип!$F$95</f>
        <v>39336.73</v>
      </c>
    </row>
    <row r="227" customFormat="false" ht="15" hidden="false" customHeight="false" outlineLevel="0" collapsed="false">
      <c r="O227" s="26"/>
      <c r="T227" s="42"/>
    </row>
    <row r="229" customFormat="false" ht="15" hidden="false" customHeight="false" outlineLevel="0" collapsed="false">
      <c r="S229" s="26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38">
      <formula>0</formula>
    </cfRule>
    <cfRule type="cellIs" priority="3" operator="equal" aboveAverage="0" equalAverage="0" bottom="0" percent="0" rank="0" text="" dxfId="39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40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41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42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43">
      <formula>0</formula>
    </cfRule>
  </conditionalFormatting>
  <printOptions headings="false" gridLines="false" gridLinesSet="true" horizontalCentered="true" verticalCentered="false"/>
  <pageMargins left="0.315277777777778" right="0.118055555555556" top="0.275694444444444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8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22"/>
    <col collapsed="false" customWidth="true" hidden="false" outlineLevel="0" max="3" min="3" style="0" width="7.71"/>
    <col collapsed="false" customWidth="true" hidden="false" outlineLevel="0" max="6" min="6" style="0" width="4.86"/>
    <col collapsed="false" customWidth="true" hidden="false" outlineLevel="0" max="7" min="7" style="0" width="6.85"/>
    <col collapsed="false" customWidth="true" hidden="false" outlineLevel="0" max="8" min="8" style="0" width="5.71"/>
    <col collapsed="false" customWidth="true" hidden="false" outlineLevel="0" max="9" min="9" style="0" width="6.57"/>
    <col collapsed="false" customWidth="true" hidden="false" outlineLevel="0" max="11" min="11" style="0" width="7.57"/>
    <col collapsed="false" customWidth="true" hidden="false" outlineLevel="0" max="12" min="12" style="0" width="7.42"/>
    <col collapsed="false" customWidth="true" hidden="false" outlineLevel="0" max="13" min="13" style="0" width="7.29"/>
    <col collapsed="false" customWidth="true" hidden="false" outlineLevel="0" max="16" min="16" style="0" width="9.71"/>
    <col collapsed="false" customWidth="true" hidden="false" outlineLevel="0" max="20" min="20" style="0" width="12.29"/>
  </cols>
  <sheetData>
    <row r="1" customFormat="false" ht="24" hidden="false" customHeight="tru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670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3.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2.75" hidden="false" customHeight="true" outlineLevel="0" collapsed="false">
      <c r="I5" s="2"/>
    </row>
    <row r="6" customFormat="false" ht="77.1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липень!B7</f>
        <v>Бережний В.М.</v>
      </c>
      <c r="C7" s="18" t="str">
        <f aca="false">липень!C7</f>
        <v>1001</v>
      </c>
      <c r="D7" s="19" t="n">
        <f aca="false">липень!P7</f>
        <v>895.520000000002</v>
      </c>
      <c r="E7" s="19" t="n">
        <f aca="false">липень!Q7</f>
        <v>0</v>
      </c>
      <c r="F7" s="20" t="n">
        <f aca="false">липень!F7</f>
        <v>0</v>
      </c>
      <c r="G7" s="21" t="n">
        <f aca="false">липень!G7</f>
        <v>64.26</v>
      </c>
      <c r="H7" s="21" t="n">
        <f aca="false">липень!H7</f>
        <v>0</v>
      </c>
      <c r="I7" s="22" t="n">
        <f aca="false">липень!I7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1158.99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липень!B8</f>
        <v>Старикова Т.О.</v>
      </c>
      <c r="C8" s="18" t="str">
        <f aca="false">липень!C8</f>
        <v>1002</v>
      </c>
      <c r="D8" s="19" t="n">
        <f aca="false">липень!P8</f>
        <v>3722.03</v>
      </c>
      <c r="E8" s="19" t="n">
        <f aca="false">липень!Q8</f>
        <v>0</v>
      </c>
      <c r="F8" s="20" t="n">
        <f aca="false">липень!F8</f>
        <v>0</v>
      </c>
      <c r="G8" s="21" t="n">
        <f aca="false">липень!G8</f>
        <v>48.71</v>
      </c>
      <c r="H8" s="21" t="n">
        <f aca="false">липень!H8</f>
        <v>0</v>
      </c>
      <c r="I8" s="22" t="n">
        <f aca="false">липень!I8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3921.74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липень!B9</f>
        <v>Мазур Т.В.</v>
      </c>
      <c r="C9" s="18" t="str">
        <f aca="false">липень!C9</f>
        <v>1003</v>
      </c>
      <c r="D9" s="19" t="n">
        <f aca="false">липень!P9</f>
        <v>154</v>
      </c>
      <c r="E9" s="19" t="n">
        <f aca="false">липень!Q9</f>
        <v>0</v>
      </c>
      <c r="F9" s="20" t="n">
        <f aca="false">липень!F9</f>
        <v>0</v>
      </c>
      <c r="G9" s="21" t="n">
        <f aca="false">липень!G9</f>
        <v>35</v>
      </c>
      <c r="H9" s="21" t="n">
        <f aca="false">липень!H9</f>
        <v>0</v>
      </c>
      <c r="I9" s="22" t="n">
        <f aca="false">липень!I9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 t="n">
        <v>144.5</v>
      </c>
      <c r="P9" s="25" t="n">
        <f aca="false">IF(D9=0,IF((N9-E9-O9)&gt;0,(N9-E9-O9),0),IF((D9+N9-O9)&gt;0,(D9+N9-O9),0))</f>
        <v>153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липень!B10</f>
        <v>Сокол О.В.</v>
      </c>
      <c r="C10" s="18" t="str">
        <f aca="false">липень!C10</f>
        <v>1004</v>
      </c>
      <c r="D10" s="19" t="n">
        <f aca="false">липень!P10</f>
        <v>0</v>
      </c>
      <c r="E10" s="19" t="n">
        <f aca="false">липень!Q10</f>
        <v>252.59</v>
      </c>
      <c r="F10" s="20" t="n">
        <f aca="false">липень!F10</f>
        <v>0</v>
      </c>
      <c r="G10" s="21" t="n">
        <f aca="false">липень!G10</f>
        <v>61.6</v>
      </c>
      <c r="H10" s="21" t="n">
        <f aca="false">липень!H10</f>
        <v>0</v>
      </c>
      <c r="I10" s="22" t="n">
        <f aca="false">липень!I10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/>
      <c r="P10" s="25" t="n">
        <f aca="false">IF(D10=0,IF((N10-E10-O10)&gt;0,(N10-E10-O10),0),IF((D10+N10-O10)&gt;0,(D10+N10-O10),0))</f>
        <v>0</v>
      </c>
      <c r="Q10" s="25" t="n">
        <f aca="false">IF(E10=0,IF((D10+N10-O10)&lt;0,ABS(D10+N10-O10),0),IF((N10-E10-O10)&lt;0,ABS(N10-E10-O10),0))</f>
        <v>0.0300000000002001</v>
      </c>
    </row>
    <row r="11" customFormat="false" ht="15" hidden="false" customHeight="false" outlineLevel="0" collapsed="false">
      <c r="A11" s="17" t="s">
        <v>31</v>
      </c>
      <c r="B11" s="18" t="str">
        <f aca="false">липень!B11</f>
        <v>Семко Л.І.</v>
      </c>
      <c r="C11" s="18" t="str">
        <f aca="false">липень!C11</f>
        <v>1005</v>
      </c>
      <c r="D11" s="19" t="n">
        <f aca="false">липень!P11</f>
        <v>0</v>
      </c>
      <c r="E11" s="19" t="n">
        <f aca="false">липень!Q11</f>
        <v>25.6399999999994</v>
      </c>
      <c r="F11" s="20" t="n">
        <f aca="false">липень!F11</f>
        <v>0</v>
      </c>
      <c r="G11" s="21" t="n">
        <f aca="false">липень!G11</f>
        <v>28.34</v>
      </c>
      <c r="H11" s="21" t="n">
        <f aca="false">липень!H11</f>
        <v>0</v>
      </c>
      <c r="I11" s="22" t="n">
        <f aca="false">липень!I11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90.5500000000006</v>
      </c>
      <c r="Q11" s="25" t="n">
        <f aca="false">IF(E11=0,IF((D11+N11-O11)&lt;0,ABS(D11+N11-O11),0),IF((N11-E11-O11)&lt;0,ABS(N11-E11-O11),0))</f>
        <v>0</v>
      </c>
      <c r="U11" s="26"/>
    </row>
    <row r="12" customFormat="false" ht="15" hidden="false" customHeight="false" outlineLevel="0" collapsed="false">
      <c r="A12" s="17" t="s">
        <v>31</v>
      </c>
      <c r="B12" s="18" t="str">
        <f aca="false">липень!B12</f>
        <v>Гаркуша Н.І.</v>
      </c>
      <c r="C12" s="18" t="str">
        <f aca="false">липень!C12</f>
        <v>1005-а</v>
      </c>
      <c r="D12" s="19" t="n">
        <f aca="false">липень!P12</f>
        <v>350.270000000001</v>
      </c>
      <c r="E12" s="19" t="n">
        <f aca="false">липень!Q12</f>
        <v>0</v>
      </c>
      <c r="F12" s="20" t="n">
        <f aca="false">липень!F12</f>
        <v>0</v>
      </c>
      <c r="G12" s="21" t="n">
        <f aca="false">липень!G12</f>
        <v>36.66</v>
      </c>
      <c r="H12" s="21" t="n">
        <f aca="false">липень!H12</f>
        <v>0</v>
      </c>
      <c r="I12" s="22" t="n">
        <f aca="false">липень!I12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500.580000000001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липень!B13</f>
        <v>Андріяшев В.М</v>
      </c>
      <c r="C13" s="18" t="str">
        <f aca="false">липень!C13</f>
        <v>1006</v>
      </c>
      <c r="D13" s="19" t="n">
        <f aca="false">липень!P13</f>
        <v>28.3400000000004</v>
      </c>
      <c r="E13" s="19" t="n">
        <f aca="false">липень!Q13</f>
        <v>0</v>
      </c>
      <c r="F13" s="20" t="n">
        <f aca="false">липень!F13</f>
        <v>0</v>
      </c>
      <c r="G13" s="21" t="n">
        <f aca="false">липень!G13</f>
        <v>49.8</v>
      </c>
      <c r="H13" s="21" t="n">
        <f aca="false">липень!H13</f>
        <v>0</v>
      </c>
      <c r="I13" s="22" t="n">
        <f aca="false">липень!I13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 t="n">
        <v>205</v>
      </c>
      <c r="P13" s="25" t="n">
        <f aca="false">IF(D13=0,IF((N13-E13-O13)&gt;0,(N13-E13-O13),0),IF((D13+N13-O13)&gt;0,(D13+N13-O13),0))</f>
        <v>27.5200000000004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липень!B14</f>
        <v>Старчикова О.М.</v>
      </c>
      <c r="C14" s="18" t="str">
        <f aca="false">липень!C14</f>
        <v>1007</v>
      </c>
      <c r="D14" s="19" t="n">
        <f aca="false">липень!P14</f>
        <v>139.33</v>
      </c>
      <c r="E14" s="19" t="n">
        <f aca="false">липень!Q14</f>
        <v>0</v>
      </c>
      <c r="F14" s="20" t="n">
        <f aca="false">липень!F14</f>
        <v>0</v>
      </c>
      <c r="G14" s="21" t="n">
        <f aca="false">липень!G14</f>
        <v>34.65</v>
      </c>
      <c r="H14" s="21" t="n">
        <f aca="false">липень!H14</f>
        <v>0</v>
      </c>
      <c r="I14" s="22" t="n">
        <f aca="false">липень!I14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 t="n">
        <v>143</v>
      </c>
      <c r="P14" s="25" t="n">
        <f aca="false">IF(D14=0,IF((N14-E14-O14)&gt;0,(N14-E14-O14),0),IF((D14+N14-O14)&gt;0,(D14+N14-O14),0))</f>
        <v>138.4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липень!B15</f>
        <v>Безер Т.М</v>
      </c>
      <c r="C15" s="18" t="str">
        <f aca="false">липень!C15</f>
        <v>1008</v>
      </c>
      <c r="D15" s="19" t="n">
        <f aca="false">липень!P15</f>
        <v>0</v>
      </c>
      <c r="E15" s="19" t="n">
        <f aca="false">липень!Q15</f>
        <v>30.3600000000001</v>
      </c>
      <c r="F15" s="20" t="n">
        <f aca="false">липень!F15</f>
        <v>0</v>
      </c>
      <c r="G15" s="21" t="n">
        <f aca="false">липень!G15</f>
        <v>62.14</v>
      </c>
      <c r="H15" s="21" t="n">
        <f aca="false">липень!H15</f>
        <v>0</v>
      </c>
      <c r="I15" s="22" t="n">
        <f aca="false">липень!I15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224.41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липень!B16</f>
        <v>Решетило М.М</v>
      </c>
      <c r="C16" s="18" t="str">
        <f aca="false">липень!C16</f>
        <v>1009</v>
      </c>
      <c r="D16" s="19" t="n">
        <f aca="false">липень!P16</f>
        <v>576.08</v>
      </c>
      <c r="E16" s="19" t="n">
        <f aca="false">липень!Q16</f>
        <v>0</v>
      </c>
      <c r="F16" s="20" t="n">
        <f aca="false">липень!F16</f>
        <v>0</v>
      </c>
      <c r="G16" s="21" t="n">
        <f aca="false">липень!G16</f>
        <v>65.16</v>
      </c>
      <c r="H16" s="21" t="n">
        <f aca="false">липень!H16</f>
        <v>0</v>
      </c>
      <c r="I16" s="22" t="n">
        <f aca="false">липень!I16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 t="n">
        <v>575</v>
      </c>
      <c r="P16" s="25" t="n">
        <f aca="false">IF(D16=0,IF((N16-E16-O16)&gt;0,(N16-E16-O16),0),IF((D16+N16-O16)&gt;0,(D16+N16-O16),0))</f>
        <v>268.24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липень!B17</f>
        <v>Фесенко О.В.</v>
      </c>
      <c r="C17" s="18" t="str">
        <f aca="false">липень!C17</f>
        <v>1010</v>
      </c>
      <c r="D17" s="19" t="n">
        <f aca="false">липень!P17</f>
        <v>3019.8</v>
      </c>
      <c r="E17" s="19" t="n">
        <f aca="false">липень!Q17</f>
        <v>0</v>
      </c>
      <c r="F17" s="20" t="n">
        <f aca="false">липень!F17</f>
        <v>0</v>
      </c>
      <c r="G17" s="21" t="n">
        <f aca="false">липень!G17</f>
        <v>50.1</v>
      </c>
      <c r="H17" s="21" t="n">
        <f aca="false">липень!H17</f>
        <v>0</v>
      </c>
      <c r="I17" s="22" t="n">
        <f aca="false">липень!I17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3225.21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липень!B18</f>
        <v>Петренко О.М.</v>
      </c>
      <c r="C18" s="18" t="str">
        <f aca="false">липень!C18</f>
        <v>1011</v>
      </c>
      <c r="D18" s="19" t="n">
        <f aca="false">липень!P18</f>
        <v>862.92</v>
      </c>
      <c r="E18" s="19" t="n">
        <f aca="false">липень!Q18</f>
        <v>0</v>
      </c>
      <c r="F18" s="20" t="n">
        <f aca="false">липень!F18</f>
        <v>0</v>
      </c>
      <c r="G18" s="21" t="n">
        <f aca="false">липень!G18</f>
        <v>35.2</v>
      </c>
      <c r="H18" s="21" t="n">
        <f aca="false">липень!H18</f>
        <v>0</v>
      </c>
      <c r="I18" s="22" t="n">
        <f aca="false">липень!I18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1007.24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липень!B19</f>
        <v>Зеленюк А.Д</v>
      </c>
      <c r="C19" s="18" t="str">
        <f aca="false">липень!C19</f>
        <v>1012</v>
      </c>
      <c r="D19" s="19" t="n">
        <f aca="false">липень!P19</f>
        <v>4715.01</v>
      </c>
      <c r="E19" s="19" t="n">
        <f aca="false">липень!Q19</f>
        <v>0</v>
      </c>
      <c r="F19" s="20" t="n">
        <f aca="false">липень!F19</f>
        <v>0</v>
      </c>
      <c r="G19" s="21" t="n">
        <f aca="false">липень!G19</f>
        <v>62.78</v>
      </c>
      <c r="H19" s="21" t="n">
        <f aca="false">липень!H19</f>
        <v>0</v>
      </c>
      <c r="I19" s="22" t="n">
        <f aca="false">липень!I19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4972.41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липень!B20</f>
        <v>Вовк І.В</v>
      </c>
      <c r="C20" s="18" t="str">
        <f aca="false">липень!C20</f>
        <v>1013</v>
      </c>
      <c r="D20" s="19" t="n">
        <f aca="false">липень!P20</f>
        <v>2947.05</v>
      </c>
      <c r="E20" s="19" t="n">
        <f aca="false">липень!Q20</f>
        <v>0</v>
      </c>
      <c r="F20" s="20" t="n">
        <f aca="false">липень!F20</f>
        <v>0</v>
      </c>
      <c r="G20" s="21" t="n">
        <f aca="false">липень!G20</f>
        <v>28.23</v>
      </c>
      <c r="H20" s="21" t="n">
        <f aca="false">липень!H20</f>
        <v>0</v>
      </c>
      <c r="I20" s="22" t="n">
        <f aca="false">липень!I20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3062.79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липень!B21</f>
        <v>Романовський В.М</v>
      </c>
      <c r="C21" s="18" t="str">
        <f aca="false">липень!C21</f>
        <v>1013-а</v>
      </c>
      <c r="D21" s="19" t="n">
        <f aca="false">липень!P21</f>
        <v>4343.88</v>
      </c>
      <c r="E21" s="19" t="n">
        <f aca="false">липень!Q21</f>
        <v>0</v>
      </c>
      <c r="F21" s="20" t="n">
        <f aca="false">липень!F21</f>
        <v>0</v>
      </c>
      <c r="G21" s="21" t="n">
        <f aca="false">липень!G21</f>
        <v>37.84</v>
      </c>
      <c r="H21" s="21" t="n">
        <f aca="false">липень!H21</f>
        <v>0</v>
      </c>
      <c r="I21" s="22" t="n">
        <f aca="false">липень!I21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4499.02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липень!B22</f>
        <v>Ряба Л.І</v>
      </c>
      <c r="C22" s="18" t="str">
        <f aca="false">липень!C22</f>
        <v>1014</v>
      </c>
      <c r="D22" s="19" t="n">
        <f aca="false">липень!P22</f>
        <v>424.440000000001</v>
      </c>
      <c r="E22" s="19" t="n">
        <f aca="false">липень!Q22</f>
        <v>0</v>
      </c>
      <c r="F22" s="20" t="n">
        <f aca="false">липень!F22</f>
        <v>0</v>
      </c>
      <c r="G22" s="21" t="n">
        <f aca="false">липень!G22</f>
        <v>49.24</v>
      </c>
      <c r="H22" s="21" t="n">
        <f aca="false">липень!H22</f>
        <v>0</v>
      </c>
      <c r="I22" s="22" t="n">
        <f aca="false">липень!I22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626.320000000001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липень!B23</f>
        <v>Кас'янова О.А.</v>
      </c>
      <c r="C23" s="18" t="str">
        <f aca="false">липень!C23</f>
        <v>1015</v>
      </c>
      <c r="D23" s="19" t="n">
        <f aca="false">липень!P23</f>
        <v>1916.41</v>
      </c>
      <c r="E23" s="19" t="n">
        <f aca="false">липень!Q23</f>
        <v>0</v>
      </c>
      <c r="F23" s="20" t="n">
        <f aca="false">липень!F23</f>
        <v>0</v>
      </c>
      <c r="G23" s="21" t="n">
        <f aca="false">липень!G23</f>
        <v>35.1</v>
      </c>
      <c r="H23" s="21" t="n">
        <f aca="false">липень!H23</f>
        <v>0</v>
      </c>
      <c r="I23" s="22" t="n">
        <f aca="false">липень!I23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2060.32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липень!B24</f>
        <v>Корякіна М.В.</v>
      </c>
      <c r="C24" s="18" t="str">
        <f aca="false">липень!C24</f>
        <v>1016</v>
      </c>
      <c r="D24" s="19" t="n">
        <f aca="false">липень!P24</f>
        <v>507.58</v>
      </c>
      <c r="E24" s="19" t="n">
        <f aca="false">липень!Q24</f>
        <v>0</v>
      </c>
      <c r="F24" s="20" t="n">
        <f aca="false">липень!F24</f>
        <v>0</v>
      </c>
      <c r="G24" s="21" t="n">
        <f aca="false">липень!G24</f>
        <v>61.9</v>
      </c>
      <c r="H24" s="21" t="n">
        <f aca="false">липень!H24</f>
        <v>0</v>
      </c>
      <c r="I24" s="22" t="n">
        <f aca="false">липень!I24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761.37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липень!B25</f>
        <v>Сокерчак А.В.</v>
      </c>
      <c r="C25" s="18" t="str">
        <f aca="false">липень!C25</f>
        <v>1017</v>
      </c>
      <c r="D25" s="19" t="n">
        <f aca="false">липень!P25</f>
        <v>1087.32</v>
      </c>
      <c r="E25" s="19" t="n">
        <f aca="false">липень!Q25</f>
        <v>0</v>
      </c>
      <c r="F25" s="20" t="n">
        <f aca="false">липень!F25</f>
        <v>0</v>
      </c>
      <c r="G25" s="21" t="n">
        <f aca="false">липень!G25</f>
        <v>66.3</v>
      </c>
      <c r="H25" s="21" t="n">
        <f aca="false">липень!H25</f>
        <v>0</v>
      </c>
      <c r="I25" s="22" t="n">
        <f aca="false">липень!I25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1359.15</v>
      </c>
      <c r="Q25" s="25" t="n">
        <f aca="false">IF(E25=0,IF((D25+N25-O25)&lt;0,ABS(D25+N25-O25),0),IF((N25-E25-O25)&lt;0,ABS(N25-E25-O25),0))</f>
        <v>0</v>
      </c>
    </row>
    <row r="26" customFormat="false" ht="15" hidden="false" customHeight="false" outlineLevel="0" collapsed="false">
      <c r="A26" s="17" t="s">
        <v>74</v>
      </c>
      <c r="B26" s="18" t="str">
        <f aca="false">липень!B26</f>
        <v>Кравченко В.А</v>
      </c>
      <c r="C26" s="18" t="str">
        <f aca="false">липень!C26</f>
        <v>1018</v>
      </c>
      <c r="D26" s="19" t="n">
        <f aca="false">липень!P26</f>
        <v>0</v>
      </c>
      <c r="E26" s="19" t="n">
        <f aca="false">липень!Q26</f>
        <v>350.72</v>
      </c>
      <c r="F26" s="20" t="n">
        <f aca="false">липень!F26</f>
        <v>0</v>
      </c>
      <c r="G26" s="21" t="n">
        <f aca="false">липень!G26</f>
        <v>51.48</v>
      </c>
      <c r="H26" s="21" t="n">
        <f aca="false">липень!H26</f>
        <v>0</v>
      </c>
      <c r="I26" s="22" t="n">
        <f aca="false">липень!I26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0</v>
      </c>
      <c r="Q26" s="25" t="n">
        <f aca="false">IF(E26=0,IF((D26+N26-O26)&lt;0,ABS(D26+N26-O26),0),IF((N26-E26-O26)&lt;0,ABS(N26-E26-O26),0))</f>
        <v>139.65</v>
      </c>
    </row>
    <row r="27" customFormat="false" ht="15" hidden="false" customHeight="false" outlineLevel="0" collapsed="false">
      <c r="A27" s="17" t="s">
        <v>77</v>
      </c>
      <c r="B27" s="18" t="str">
        <f aca="false">липень!B27</f>
        <v>Чичикало А.С</v>
      </c>
      <c r="C27" s="18" t="str">
        <f aca="false">липень!C27</f>
        <v>1019</v>
      </c>
      <c r="D27" s="19" t="n">
        <f aca="false">липень!P27</f>
        <v>255.75</v>
      </c>
      <c r="E27" s="19" t="n">
        <f aca="false">липень!Q27</f>
        <v>0</v>
      </c>
      <c r="F27" s="20" t="n">
        <f aca="false">липень!F27</f>
        <v>0</v>
      </c>
      <c r="G27" s="21" t="n">
        <f aca="false">липень!G27</f>
        <v>35.1</v>
      </c>
      <c r="H27" s="21" t="n">
        <f aca="false">липень!H27</f>
        <v>0</v>
      </c>
      <c r="I27" s="22" t="n">
        <f aca="false">липень!I27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399.66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липень!B28</f>
        <v>Сільващук А.А</v>
      </c>
      <c r="C28" s="18" t="str">
        <f aca="false">липень!C28</f>
        <v>1020</v>
      </c>
      <c r="D28" s="19" t="n">
        <f aca="false">липень!P28</f>
        <v>0</v>
      </c>
      <c r="E28" s="19" t="n">
        <f aca="false">липень!Q28</f>
        <v>257.070000000001</v>
      </c>
      <c r="F28" s="20" t="n">
        <f aca="false">липень!F28</f>
        <v>0</v>
      </c>
      <c r="G28" s="21" t="n">
        <f aca="false">липень!G28</f>
        <v>62.7</v>
      </c>
      <c r="H28" s="21" t="n">
        <f aca="false">липень!H28</f>
        <v>0</v>
      </c>
      <c r="I28" s="22" t="n">
        <f aca="false">липень!I28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0</v>
      </c>
      <c r="Q28" s="25" t="n">
        <f aca="false">IF(E28=0,IF((D28+N28-O28)&lt;0,ABS(D28+N28-O28),0),IF((N28-E28-O28)&lt;0,ABS(N28-E28-O28),0))</f>
        <v>1.08002495835535E-012</v>
      </c>
    </row>
    <row r="29" customFormat="false" ht="15" hidden="false" customHeight="false" outlineLevel="0" collapsed="false">
      <c r="A29" s="17" t="s">
        <v>83</v>
      </c>
      <c r="B29" s="18" t="str">
        <f aca="false">липень!B29</f>
        <v>Стеценко Г.М</v>
      </c>
      <c r="C29" s="18" t="str">
        <f aca="false">липень!C29</f>
        <v>1021</v>
      </c>
      <c r="D29" s="19" t="n">
        <f aca="false">липень!P29</f>
        <v>1178.4</v>
      </c>
      <c r="E29" s="19" t="n">
        <f aca="false">липень!Q29</f>
        <v>0</v>
      </c>
      <c r="F29" s="20" t="n">
        <f aca="false">липень!F29</f>
        <v>0</v>
      </c>
      <c r="G29" s="21" t="n">
        <f aca="false">липень!G29</f>
        <v>65.32</v>
      </c>
      <c r="H29" s="21" t="n">
        <f aca="false">липень!H29</f>
        <v>0</v>
      </c>
      <c r="I29" s="22" t="n">
        <f aca="false">липень!I29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/>
      <c r="P29" s="25" t="n">
        <f aca="false">IF(D29=0,IF((N29-E29-O29)&gt;0,(N29-E29-O29),0),IF((D29+N29-O29)&gt;0,(D29+N29-O29),0))</f>
        <v>1446.21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липень!B30</f>
        <v>Кирдячкіна П.А</v>
      </c>
      <c r="C30" s="18" t="str">
        <f aca="false">липень!C30</f>
        <v>1022</v>
      </c>
      <c r="D30" s="19" t="n">
        <f aca="false">липень!P30</f>
        <v>926.55</v>
      </c>
      <c r="E30" s="19" t="n">
        <f aca="false">липень!Q30</f>
        <v>0</v>
      </c>
      <c r="F30" s="20" t="n">
        <f aca="false">липень!F30</f>
        <v>0</v>
      </c>
      <c r="G30" s="21" t="n">
        <f aca="false">липень!G30</f>
        <v>49.7</v>
      </c>
      <c r="H30" s="21" t="n">
        <f aca="false">липень!H30</f>
        <v>0</v>
      </c>
      <c r="I30" s="22" t="n">
        <f aca="false">липень!I30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1130.32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липень!B31</f>
        <v>Фоміченко Л.А</v>
      </c>
      <c r="C31" s="18" t="str">
        <f aca="false">липень!C31</f>
        <v>1023</v>
      </c>
      <c r="D31" s="19" t="n">
        <f aca="false">липень!P31</f>
        <v>1007.37</v>
      </c>
      <c r="E31" s="19" t="n">
        <f aca="false">липень!Q31</f>
        <v>0</v>
      </c>
      <c r="F31" s="20" t="n">
        <f aca="false">липень!F31</f>
        <v>0</v>
      </c>
      <c r="G31" s="21" t="n">
        <f aca="false">липень!G31</f>
        <v>35.1</v>
      </c>
      <c r="H31" s="21" t="n">
        <f aca="false">липень!H31</f>
        <v>0</v>
      </c>
      <c r="I31" s="22" t="n">
        <f aca="false">липень!I31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1151.28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липень!B32</f>
        <v>Сердюк А.Г</v>
      </c>
      <c r="C32" s="18" t="str">
        <f aca="false">липень!C32</f>
        <v>1024</v>
      </c>
      <c r="D32" s="19" t="n">
        <f aca="false">липень!P32</f>
        <v>1016.9</v>
      </c>
      <c r="E32" s="19" t="n">
        <f aca="false">липень!Q32</f>
        <v>0</v>
      </c>
      <c r="F32" s="20" t="n">
        <f aca="false">липень!F32</f>
        <v>0</v>
      </c>
      <c r="G32" s="21" t="n">
        <f aca="false">липень!G32</f>
        <v>62.31</v>
      </c>
      <c r="H32" s="21" t="n">
        <f aca="false">липень!H32</f>
        <v>0</v>
      </c>
      <c r="I32" s="22" t="n">
        <f aca="false">липень!I32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/>
      <c r="P32" s="25" t="n">
        <f aca="false">IF(D32=0,IF((N32-E32-O32)&gt;0,(N32-E32-O32),0),IF((D32+N32-O32)&gt;0,(D32+N32-O32),0))</f>
        <v>1272.37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липень!B33</f>
        <v>Михальченко Г.М</v>
      </c>
      <c r="C33" s="18" t="str">
        <f aca="false">липень!C33</f>
        <v>1025</v>
      </c>
      <c r="D33" s="19" t="n">
        <f aca="false">липень!P33</f>
        <v>4654.1</v>
      </c>
      <c r="E33" s="19" t="n">
        <f aca="false">липень!Q33</f>
        <v>0</v>
      </c>
      <c r="F33" s="20" t="n">
        <f aca="false">липень!F33</f>
        <v>0</v>
      </c>
      <c r="G33" s="21" t="n">
        <f aca="false">липень!G33</f>
        <v>65.04</v>
      </c>
      <c r="H33" s="21" t="n">
        <f aca="false">липень!H33</f>
        <v>0</v>
      </c>
      <c r="I33" s="22" t="n">
        <f aca="false">липень!I33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4920.76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липень!B34</f>
        <v>Замуховська Я.С</v>
      </c>
      <c r="C34" s="18" t="str">
        <f aca="false">липень!C34</f>
        <v>1026</v>
      </c>
      <c r="D34" s="19" t="n">
        <f aca="false">липень!P34</f>
        <v>2466.23</v>
      </c>
      <c r="E34" s="19" t="n">
        <f aca="false">липень!Q34</f>
        <v>0</v>
      </c>
      <c r="F34" s="20" t="n">
        <f aca="false">липень!F34</f>
        <v>0</v>
      </c>
      <c r="G34" s="21" t="n">
        <f aca="false">липень!G34</f>
        <v>49.8</v>
      </c>
      <c r="H34" s="21" t="n">
        <f aca="false">липень!H34</f>
        <v>0</v>
      </c>
      <c r="I34" s="22" t="n">
        <f aca="false">липень!I34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2670.41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липень!B35</f>
        <v>Мержиєвська Г.К</v>
      </c>
      <c r="C35" s="18" t="str">
        <f aca="false">липень!C35</f>
        <v>1027</v>
      </c>
      <c r="D35" s="19" t="n">
        <f aca="false">липень!P35</f>
        <v>0</v>
      </c>
      <c r="E35" s="19" t="n">
        <f aca="false">липень!Q35</f>
        <v>471.7</v>
      </c>
      <c r="F35" s="20" t="n">
        <f aca="false">липень!F35</f>
        <v>0</v>
      </c>
      <c r="G35" s="21" t="n">
        <f aca="false">липень!G35</f>
        <v>35.17</v>
      </c>
      <c r="H35" s="21" t="n">
        <f aca="false">липень!H35</f>
        <v>0</v>
      </c>
      <c r="I35" s="22" t="n">
        <f aca="false">липень!I35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/>
      <c r="P35" s="25" t="n">
        <f aca="false">IF(D35=0,IF((N35-E35-O35)&gt;0,(N35-E35-O35),0),IF((D35+N35-O35)&gt;0,(D35+N35-O35),0))</f>
        <v>0</v>
      </c>
      <c r="Q35" s="25" t="n">
        <f aca="false">IF(E35=0,IF((D35+N35-O35)&lt;0,ABS(D35+N35-O35),0),IF((N35-E35-O35)&lt;0,ABS(N35-E35-O35),0))</f>
        <v>327.5</v>
      </c>
      <c r="T35" s="26"/>
    </row>
    <row r="36" customFormat="false" ht="15" hidden="false" customHeight="false" outlineLevel="0" collapsed="false">
      <c r="A36" s="17" t="s">
        <v>104</v>
      </c>
      <c r="B36" s="18" t="str">
        <f aca="false">липень!B36</f>
        <v>Кулакова Л.В.</v>
      </c>
      <c r="C36" s="18" t="str">
        <f aca="false">липень!C36</f>
        <v>1028</v>
      </c>
      <c r="D36" s="19" t="n">
        <f aca="false">липень!P36</f>
        <v>1766.22</v>
      </c>
      <c r="E36" s="19" t="n">
        <f aca="false">липень!Q36</f>
        <v>0</v>
      </c>
      <c r="F36" s="20" t="n">
        <f aca="false">липень!F36</f>
        <v>0</v>
      </c>
      <c r="G36" s="21" t="n">
        <f aca="false">липень!G36</f>
        <v>62.47</v>
      </c>
      <c r="H36" s="21" t="n">
        <f aca="false">липень!H36</f>
        <v>0</v>
      </c>
      <c r="I36" s="22" t="n">
        <f aca="false">липень!I36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2022.35</v>
      </c>
      <c r="Q36" s="25" t="n">
        <f aca="false">IF(E36=0,IF((D36+N36-O36)&lt;0,ABS(D36+N36-O36),0),IF((N36-E36-O36)&lt;0,ABS(N36-E36-O36),0))</f>
        <v>0</v>
      </c>
      <c r="T36" s="26"/>
    </row>
    <row r="37" customFormat="false" ht="15" hidden="false" customHeight="false" outlineLevel="0" collapsed="false">
      <c r="A37" s="17" t="s">
        <v>107</v>
      </c>
      <c r="B37" s="18" t="str">
        <f aca="false">липень!B37</f>
        <v>Бочаров В.Л.</v>
      </c>
      <c r="C37" s="18" t="str">
        <f aca="false">липень!C37</f>
        <v>1029</v>
      </c>
      <c r="D37" s="19" t="n">
        <f aca="false">липень!P37</f>
        <v>3365.7</v>
      </c>
      <c r="E37" s="19" t="n">
        <f aca="false">липень!Q37</f>
        <v>0</v>
      </c>
      <c r="F37" s="20" t="n">
        <f aca="false">липень!F37</f>
        <v>0</v>
      </c>
      <c r="G37" s="21" t="n">
        <f aca="false">липень!G37</f>
        <v>65.75</v>
      </c>
      <c r="H37" s="21" t="n">
        <f aca="false">липень!H37</f>
        <v>0</v>
      </c>
      <c r="I37" s="22" t="n">
        <f aca="false">липень!I37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3635.28</v>
      </c>
      <c r="Q37" s="25" t="n">
        <f aca="false">IF(E37=0,IF((D37+N37-O37)&lt;0,ABS(D37+N37-O37),0),IF((N37-E37-O37)&lt;0,ABS(N37-E37-O37),0))</f>
        <v>0</v>
      </c>
      <c r="T37" s="26"/>
    </row>
    <row r="38" customFormat="false" ht="15" hidden="false" customHeight="false" outlineLevel="0" collapsed="false">
      <c r="A38" s="17" t="s">
        <v>110</v>
      </c>
      <c r="B38" s="18" t="str">
        <f aca="false">липень!B38</f>
        <v>Лучков В.Л.</v>
      </c>
      <c r="C38" s="18" t="str">
        <f aca="false">липень!C38</f>
        <v>1030</v>
      </c>
      <c r="D38" s="19" t="n">
        <f aca="false">липень!P38</f>
        <v>3659.22</v>
      </c>
      <c r="E38" s="19" t="n">
        <f aca="false">липень!Q38</f>
        <v>0</v>
      </c>
      <c r="F38" s="20" t="n">
        <f aca="false">липень!F38</f>
        <v>0</v>
      </c>
      <c r="G38" s="21" t="n">
        <f aca="false">липень!G38</f>
        <v>49.7</v>
      </c>
      <c r="H38" s="21" t="n">
        <f aca="false">липень!H38</f>
        <v>0</v>
      </c>
      <c r="I38" s="22" t="n">
        <f aca="false">липень!I38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3862.99</v>
      </c>
      <c r="Q38" s="25" t="n">
        <f aca="false">IF(E38=0,IF((D38+N38-O38)&lt;0,ABS(D38+N38-O38),0),IF((N38-E38-O38)&lt;0,ABS(N38-E38-O38),0))</f>
        <v>0</v>
      </c>
      <c r="T38" s="26"/>
    </row>
    <row r="39" customFormat="false" ht="15" hidden="false" customHeight="false" outlineLevel="0" collapsed="false">
      <c r="A39" s="17" t="s">
        <v>113</v>
      </c>
      <c r="B39" s="18" t="str">
        <f aca="false">липень!B39</f>
        <v>Кашкар Т.М.</v>
      </c>
      <c r="C39" s="18" t="str">
        <f aca="false">липень!C39</f>
        <v>1031</v>
      </c>
      <c r="D39" s="19" t="n">
        <f aca="false">липень!P39</f>
        <v>0</v>
      </c>
      <c r="E39" s="19" t="n">
        <f aca="false">липень!Q39</f>
        <v>143.91</v>
      </c>
      <c r="F39" s="20" t="n">
        <f aca="false">липень!F39</f>
        <v>0</v>
      </c>
      <c r="G39" s="21" t="n">
        <f aca="false">липень!G39</f>
        <v>35.1</v>
      </c>
      <c r="H39" s="21" t="n">
        <f aca="false">липень!H39</f>
        <v>0</v>
      </c>
      <c r="I39" s="22" t="n">
        <f aca="false">липень!I39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0</v>
      </c>
      <c r="Q39" s="25" t="n">
        <f aca="false">IF(E39=0,IF((D39+N39-O39)&lt;0,ABS(D39+N39-O39),0),IF((N39-E39-O39)&lt;0,ABS(N39-E39-O39),0))</f>
        <v>0</v>
      </c>
      <c r="T39" s="26"/>
      <c r="U39" s="26"/>
    </row>
    <row r="40" customFormat="false" ht="15" hidden="false" customHeight="false" outlineLevel="0" collapsed="false">
      <c r="A40" s="17" t="s">
        <v>116</v>
      </c>
      <c r="B40" s="18" t="str">
        <f aca="false">липень!B40</f>
        <v>Стецюк Н.П.</v>
      </c>
      <c r="C40" s="18" t="str">
        <f aca="false">липень!C40</f>
        <v>1032</v>
      </c>
      <c r="D40" s="19" t="n">
        <f aca="false">липень!P40</f>
        <v>3536.2</v>
      </c>
      <c r="E40" s="19" t="n">
        <f aca="false">липень!Q40</f>
        <v>0</v>
      </c>
      <c r="F40" s="20" t="n">
        <f aca="false">липень!F40</f>
        <v>0</v>
      </c>
      <c r="G40" s="21" t="n">
        <f aca="false">липень!G40</f>
        <v>61.9</v>
      </c>
      <c r="H40" s="21" t="n">
        <f aca="false">липень!H40</f>
        <v>0</v>
      </c>
      <c r="I40" s="22" t="n">
        <f aca="false">липень!I40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3789.99</v>
      </c>
      <c r="Q40" s="25" t="n">
        <f aca="false">IF(E40=0,IF((D40+N40-O40)&lt;0,ABS(D40+N40-O40),0),IF((N40-E40-O40)&lt;0,ABS(N40-E40-O40),0))</f>
        <v>0</v>
      </c>
      <c r="T40" s="26"/>
    </row>
    <row r="41" customFormat="false" ht="15" hidden="false" customHeight="false" outlineLevel="0" collapsed="false">
      <c r="A41" s="17" t="s">
        <v>119</v>
      </c>
      <c r="B41" s="18" t="str">
        <f aca="false">липень!B41</f>
        <v>Маханько В.О.</v>
      </c>
      <c r="C41" s="18" t="str">
        <f aca="false">липень!C41</f>
        <v>1033</v>
      </c>
      <c r="D41" s="19" t="n">
        <f aca="false">липень!P41</f>
        <v>1769.98</v>
      </c>
      <c r="E41" s="19" t="n">
        <f aca="false">липень!Q41</f>
        <v>0</v>
      </c>
      <c r="F41" s="20" t="n">
        <f aca="false">липень!F41</f>
        <v>0</v>
      </c>
      <c r="G41" s="21" t="n">
        <f aca="false">липень!G41</f>
        <v>65.53</v>
      </c>
      <c r="H41" s="21" t="n">
        <f aca="false">липень!H41</f>
        <v>0</v>
      </c>
      <c r="I41" s="22" t="n">
        <f aca="false">липень!I41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2038.65</v>
      </c>
      <c r="Q41" s="25" t="n">
        <f aca="false">IF(E41=0,IF((D41+N41-O41)&lt;0,ABS(D41+N41-O41),0),IF((N41-E41-O41)&lt;0,ABS(N41-E41-O41),0))</f>
        <v>0</v>
      </c>
      <c r="T41" s="26"/>
    </row>
    <row r="42" customFormat="false" ht="15" hidden="false" customHeight="false" outlineLevel="0" collapsed="false">
      <c r="A42" s="17" t="s">
        <v>122</v>
      </c>
      <c r="B42" s="18" t="str">
        <f aca="false">липень!B42</f>
        <v>Реуцька Р.С.</v>
      </c>
      <c r="C42" s="18" t="str">
        <f aca="false">липень!C42</f>
        <v>1034</v>
      </c>
      <c r="D42" s="19" t="n">
        <f aca="false">липень!P42</f>
        <v>2352.13</v>
      </c>
      <c r="E42" s="19" t="n">
        <f aca="false">липень!Q42</f>
        <v>0</v>
      </c>
      <c r="F42" s="20" t="n">
        <f aca="false">липень!F42</f>
        <v>0</v>
      </c>
      <c r="G42" s="21" t="n">
        <f aca="false">липень!G42</f>
        <v>49.7</v>
      </c>
      <c r="H42" s="21" t="n">
        <f aca="false">липень!H42</f>
        <v>0</v>
      </c>
      <c r="I42" s="22" t="n">
        <f aca="false">липень!I42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2555.9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липень!B43</f>
        <v>Колесникова Р.Г.</v>
      </c>
      <c r="C43" s="18" t="str">
        <f aca="false">липень!C43</f>
        <v>1035</v>
      </c>
      <c r="D43" s="19" t="n">
        <f aca="false">липень!P43</f>
        <v>903.67</v>
      </c>
      <c r="E43" s="19" t="n">
        <f aca="false">липень!Q43</f>
        <v>0</v>
      </c>
      <c r="F43" s="20" t="n">
        <f aca="false">липень!F43</f>
        <v>0</v>
      </c>
      <c r="G43" s="21" t="n">
        <f aca="false">липень!G43</f>
        <v>35.1</v>
      </c>
      <c r="H43" s="21" t="n">
        <f aca="false">липень!H43</f>
        <v>0</v>
      </c>
      <c r="I43" s="22" t="n">
        <f aca="false">липень!I43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1047.58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липень!B44</f>
        <v>Кучеренко М.М.</v>
      </c>
      <c r="C44" s="18" t="str">
        <f aca="false">липень!C44</f>
        <v>1036</v>
      </c>
      <c r="D44" s="19" t="n">
        <f aca="false">липень!P44</f>
        <v>3863.8</v>
      </c>
      <c r="E44" s="19" t="n">
        <f aca="false">липень!Q44</f>
        <v>0</v>
      </c>
      <c r="F44" s="20" t="n">
        <f aca="false">липень!F44</f>
        <v>0</v>
      </c>
      <c r="G44" s="21" t="n">
        <f aca="false">липень!G44</f>
        <v>61.88</v>
      </c>
      <c r="H44" s="21" t="n">
        <f aca="false">липень!H44</f>
        <v>0</v>
      </c>
      <c r="I44" s="22" t="n">
        <f aca="false">липень!I44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4117.51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липень!B45</f>
        <v>Гурова О.М.</v>
      </c>
      <c r="C45" s="18" t="str">
        <f aca="false">липень!C45</f>
        <v>2037</v>
      </c>
      <c r="D45" s="19" t="n">
        <f aca="false">липень!P45</f>
        <v>0</v>
      </c>
      <c r="E45" s="19" t="n">
        <f aca="false">липень!Q45</f>
        <v>571.45</v>
      </c>
      <c r="F45" s="20" t="n">
        <f aca="false">липень!F45</f>
        <v>0</v>
      </c>
      <c r="G45" s="21" t="n">
        <f aca="false">липень!G45</f>
        <v>62.2</v>
      </c>
      <c r="H45" s="21" t="n">
        <f aca="false">липень!H45</f>
        <v>0</v>
      </c>
      <c r="I45" s="22" t="n">
        <f aca="false">липень!I45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0</v>
      </c>
      <c r="Q45" s="25" t="n">
        <f aca="false">IF(E45=0,IF((D45+N45-O45)&lt;0,ABS(D45+N45-O45),0),IF((N45-E45-O45)&lt;0,ABS(N45-E45-O45),0))</f>
        <v>316.43</v>
      </c>
    </row>
    <row r="46" customFormat="false" ht="15" hidden="false" customHeight="false" outlineLevel="0" collapsed="false">
      <c r="A46" s="17" t="s">
        <v>134</v>
      </c>
      <c r="B46" s="18" t="str">
        <f aca="false">липень!B46</f>
        <v>Федорова В.І.</v>
      </c>
      <c r="C46" s="18" t="str">
        <f aca="false">липень!C46</f>
        <v>2038</v>
      </c>
      <c r="D46" s="19" t="n">
        <f aca="false">липень!P46</f>
        <v>128.63</v>
      </c>
      <c r="E46" s="19" t="n">
        <f aca="false">липень!Q46</f>
        <v>0</v>
      </c>
      <c r="F46" s="20" t="n">
        <f aca="false">липень!F46</f>
        <v>0</v>
      </c>
      <c r="G46" s="21" t="n">
        <f aca="false">липень!G46</f>
        <v>34.9</v>
      </c>
      <c r="H46" s="21" t="n">
        <f aca="false">липень!H46</f>
        <v>0</v>
      </c>
      <c r="I46" s="22" t="n">
        <f aca="false">липень!I46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271.72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липень!B47</f>
        <v>Лаптєв В.І.</v>
      </c>
      <c r="C47" s="18" t="str">
        <f aca="false">липень!C47</f>
        <v>2039</v>
      </c>
      <c r="D47" s="19" t="n">
        <f aca="false">липень!P47</f>
        <v>200.000000000001</v>
      </c>
      <c r="E47" s="19" t="n">
        <f aca="false">липень!Q47</f>
        <v>0</v>
      </c>
      <c r="F47" s="20" t="n">
        <f aca="false">липень!F47</f>
        <v>0</v>
      </c>
      <c r="G47" s="21" t="n">
        <f aca="false">липень!G47</f>
        <v>48.8</v>
      </c>
      <c r="H47" s="21" t="n">
        <f aca="false">липень!H47</f>
        <v>0</v>
      </c>
      <c r="I47" s="22" t="n">
        <f aca="false">липень!I47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 t="n">
        <v>200.1</v>
      </c>
      <c r="P47" s="25" t="n">
        <f aca="false">IF(D47=0,IF((N47-E47-O47)&gt;0,(N47-E47-O47),0),IF((D47+N47-O47)&gt;0,(D47+N47-O47),0))</f>
        <v>199.980000000001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липень!B48</f>
        <v>Тимощук О.Є.</v>
      </c>
      <c r="C48" s="18" t="str">
        <f aca="false">липень!C48</f>
        <v>2040</v>
      </c>
      <c r="D48" s="19" t="n">
        <f aca="false">липень!P48</f>
        <v>468.780000000001</v>
      </c>
      <c r="E48" s="19" t="n">
        <f aca="false">липень!Q48</f>
        <v>0</v>
      </c>
      <c r="F48" s="20" t="n">
        <f aca="false">липень!F48</f>
        <v>0</v>
      </c>
      <c r="G48" s="21" t="n">
        <f aca="false">липень!G48</f>
        <v>57.3</v>
      </c>
      <c r="H48" s="21" t="n">
        <f aca="false">липень!H48</f>
        <v>0</v>
      </c>
      <c r="I48" s="22" t="n">
        <f aca="false">липень!I48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/>
      <c r="P48" s="25" t="n">
        <f aca="false">IF(D48=0,IF((N48-E48-O48)&gt;0,(N48-E48-O48),0),IF((D48+N48-O48)&gt;0,(D48+N48-O48),0))</f>
        <v>703.710000000001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липень!B49</f>
        <v>Котяш О.В.</v>
      </c>
      <c r="C49" s="18" t="str">
        <f aca="false">липень!C49</f>
        <v>2041</v>
      </c>
      <c r="D49" s="19" t="n">
        <f aca="false">липень!P49</f>
        <v>3631.28</v>
      </c>
      <c r="E49" s="19" t="n">
        <f aca="false">липень!Q49</f>
        <v>0</v>
      </c>
      <c r="F49" s="20" t="n">
        <f aca="false">липень!F49</f>
        <v>0</v>
      </c>
      <c r="G49" s="21" t="n">
        <f aca="false">липень!G49</f>
        <v>63.3</v>
      </c>
      <c r="H49" s="21" t="n">
        <f aca="false">липень!H49</f>
        <v>0</v>
      </c>
      <c r="I49" s="22" t="n">
        <f aca="false">липень!I49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3890.81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липень!B50</f>
        <v>Токовило-Паращенко Л.П.</v>
      </c>
      <c r="C50" s="18" t="str">
        <f aca="false">липень!C50</f>
        <v>2042</v>
      </c>
      <c r="D50" s="19" t="n">
        <f aca="false">липень!P50</f>
        <v>1195.4</v>
      </c>
      <c r="E50" s="19" t="n">
        <f aca="false">липень!Q50</f>
        <v>0</v>
      </c>
      <c r="F50" s="20" t="n">
        <f aca="false">липень!F50</f>
        <v>0</v>
      </c>
      <c r="G50" s="21" t="n">
        <f aca="false">липень!G50</f>
        <v>35.68</v>
      </c>
      <c r="H50" s="21" t="n">
        <f aca="false">липень!H50</f>
        <v>0</v>
      </c>
      <c r="I50" s="22" t="n">
        <f aca="false">липень!I50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1341.69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липень!B51</f>
        <v>Бєлая К.В.</v>
      </c>
      <c r="C51" s="18" t="str">
        <f aca="false">липень!C51</f>
        <v>2043</v>
      </c>
      <c r="D51" s="19" t="n">
        <f aca="false">липень!P51</f>
        <v>204.180000000001</v>
      </c>
      <c r="E51" s="19" t="n">
        <f aca="false">липень!Q51</f>
        <v>0</v>
      </c>
      <c r="F51" s="20" t="n">
        <f aca="false">липень!F51</f>
        <v>0</v>
      </c>
      <c r="G51" s="21" t="n">
        <f aca="false">липень!G51</f>
        <v>49.8</v>
      </c>
      <c r="H51" s="21" t="n">
        <f aca="false">липень!H51</f>
        <v>0</v>
      </c>
      <c r="I51" s="22" t="n">
        <f aca="false">липень!I51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408.360000000001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липень!B52</f>
        <v>Стадник О.Ф.</v>
      </c>
      <c r="C52" s="18" t="str">
        <f aca="false">липень!C52</f>
        <v>2044</v>
      </c>
      <c r="D52" s="19" t="n">
        <f aca="false">липень!P52</f>
        <v>3293.76</v>
      </c>
      <c r="E52" s="19" t="n">
        <f aca="false">липень!Q52</f>
        <v>0</v>
      </c>
      <c r="F52" s="20" t="n">
        <f aca="false">липень!F52</f>
        <v>0</v>
      </c>
      <c r="G52" s="21" t="n">
        <f aca="false">липень!G52</f>
        <v>65.9</v>
      </c>
      <c r="H52" s="21" t="n">
        <f aca="false">липень!H52</f>
        <v>0</v>
      </c>
      <c r="I52" s="22" t="n">
        <f aca="false">липень!I52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3563.95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липень!B53</f>
        <v>Ляшенко В.М.</v>
      </c>
      <c r="C53" s="18" t="str">
        <f aca="false">липень!C53</f>
        <v>2045</v>
      </c>
      <c r="D53" s="19" t="n">
        <f aca="false">липень!P53</f>
        <v>254.199999999999</v>
      </c>
      <c r="E53" s="19" t="n">
        <f aca="false">липень!Q53</f>
        <v>0</v>
      </c>
      <c r="F53" s="20" t="n">
        <f aca="false">липень!F53</f>
        <v>0</v>
      </c>
      <c r="G53" s="21" t="n">
        <f aca="false">липень!G53</f>
        <v>62</v>
      </c>
      <c r="H53" s="21" t="n">
        <f aca="false">липень!H53</f>
        <v>0</v>
      </c>
      <c r="I53" s="22" t="n">
        <f aca="false">липень!I53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508.399999999999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липень!B54</f>
        <v>Смоленська Т.О.</v>
      </c>
      <c r="C54" s="18" t="str">
        <f aca="false">липень!C54</f>
        <v>2046</v>
      </c>
      <c r="D54" s="19" t="n">
        <f aca="false">липень!P54</f>
        <v>2007.37</v>
      </c>
      <c r="E54" s="19" t="n">
        <f aca="false">липень!Q54</f>
        <v>0</v>
      </c>
      <c r="F54" s="20" t="n">
        <f aca="false">липень!F54</f>
        <v>0</v>
      </c>
      <c r="G54" s="21" t="n">
        <f aca="false">липень!G54</f>
        <v>35.1</v>
      </c>
      <c r="H54" s="21" t="n">
        <f aca="false">липень!H54</f>
        <v>0</v>
      </c>
      <c r="I54" s="22" t="n">
        <f aca="false">липень!I54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2151.28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липень!B55</f>
        <v>Дудка І.В.</v>
      </c>
      <c r="C55" s="18" t="str">
        <f aca="false">липень!C55</f>
        <v>2047</v>
      </c>
      <c r="D55" s="19" t="n">
        <f aca="false">липень!P55</f>
        <v>610.080000000001</v>
      </c>
      <c r="E55" s="19" t="n">
        <f aca="false">липень!Q55</f>
        <v>0</v>
      </c>
      <c r="F55" s="20" t="n">
        <f aca="false">липень!F55</f>
        <v>0</v>
      </c>
      <c r="G55" s="21" t="n">
        <f aca="false">липень!G55</f>
        <v>49.6</v>
      </c>
      <c r="H55" s="21" t="n">
        <f aca="false">липень!H55</f>
        <v>0</v>
      </c>
      <c r="I55" s="22" t="n">
        <f aca="false">липень!I55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813.440000000001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липень!B56</f>
        <v>Буланова Л.І.</v>
      </c>
      <c r="C56" s="18" t="str">
        <f aca="false">липень!C56</f>
        <v>2048</v>
      </c>
      <c r="D56" s="19" t="n">
        <f aca="false">липень!P56</f>
        <v>272.4</v>
      </c>
      <c r="E56" s="19" t="n">
        <f aca="false">липень!Q56</f>
        <v>0</v>
      </c>
      <c r="F56" s="20" t="n">
        <f aca="false">липень!F56</f>
        <v>0</v>
      </c>
      <c r="G56" s="21" t="n">
        <f aca="false">липень!G56</f>
        <v>66.44</v>
      </c>
      <c r="H56" s="21" t="n">
        <f aca="false">липень!H56</f>
        <v>0</v>
      </c>
      <c r="I56" s="22" t="n">
        <f aca="false">липень!I56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544.8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липень!B57</f>
        <v>Шалімова О.О.</v>
      </c>
      <c r="C57" s="18" t="str">
        <f aca="false">липень!C57</f>
        <v>2049</v>
      </c>
      <c r="D57" s="19" t="n">
        <f aca="false">липень!P57</f>
        <v>3542.54</v>
      </c>
      <c r="E57" s="19" t="n">
        <f aca="false">липень!Q57</f>
        <v>0</v>
      </c>
      <c r="F57" s="20" t="n">
        <f aca="false">липень!F57</f>
        <v>0</v>
      </c>
      <c r="G57" s="21" t="n">
        <f aca="false">липень!G57</f>
        <v>62.1</v>
      </c>
      <c r="H57" s="21" t="n">
        <f aca="false">липень!H57</f>
        <v>0</v>
      </c>
      <c r="I57" s="22" t="n">
        <f aca="false">липень!I57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3797.15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липень!B58</f>
        <v>Андросик О.О.</v>
      </c>
      <c r="C58" s="18" t="str">
        <f aca="false">липень!C58</f>
        <v>2050</v>
      </c>
      <c r="D58" s="19" t="n">
        <f aca="false">липень!P58</f>
        <v>143.09</v>
      </c>
      <c r="E58" s="19" t="n">
        <f aca="false">липень!Q58</f>
        <v>0</v>
      </c>
      <c r="F58" s="20" t="n">
        <f aca="false">липень!F58</f>
        <v>0</v>
      </c>
      <c r="G58" s="21" t="n">
        <f aca="false">липень!G58</f>
        <v>34.9</v>
      </c>
      <c r="H58" s="21" t="n">
        <f aca="false">липень!H58</f>
        <v>0</v>
      </c>
      <c r="I58" s="22" t="n">
        <f aca="false">липень!I58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286.18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липень!B59</f>
        <v>Токар Є.А.</v>
      </c>
      <c r="C59" s="18" t="str">
        <f aca="false">липень!C59</f>
        <v>2051</v>
      </c>
      <c r="D59" s="19" t="n">
        <f aca="false">липень!P59</f>
        <v>2970.75</v>
      </c>
      <c r="E59" s="19" t="n">
        <f aca="false">липень!Q59</f>
        <v>0</v>
      </c>
      <c r="F59" s="20" t="n">
        <f aca="false">липень!F59</f>
        <v>0</v>
      </c>
      <c r="G59" s="21" t="n">
        <f aca="false">липень!G59</f>
        <v>49.22</v>
      </c>
      <c r="H59" s="21" t="n">
        <f aca="false">липень!H59</f>
        <v>0</v>
      </c>
      <c r="I59" s="22" t="n">
        <f aca="false">липень!I59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3172.55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липень!B60</f>
        <v>Констанчук І.В.</v>
      </c>
      <c r="C60" s="18" t="str">
        <f aca="false">липень!C60</f>
        <v>2052</v>
      </c>
      <c r="D60" s="19" t="n">
        <f aca="false">липень!P60</f>
        <v>3724.26</v>
      </c>
      <c r="E60" s="19" t="n">
        <f aca="false">липень!Q60</f>
        <v>0</v>
      </c>
      <c r="F60" s="20" t="n">
        <f aca="false">липень!F60</f>
        <v>0</v>
      </c>
      <c r="G60" s="21" t="n">
        <f aca="false">липень!G60</f>
        <v>65.5</v>
      </c>
      <c r="H60" s="21" t="n">
        <f aca="false">липень!H60</f>
        <v>0</v>
      </c>
      <c r="I60" s="22" t="n">
        <f aca="false">липень!I60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3992.81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липень!B61</f>
        <v>Гончаров В.В.</v>
      </c>
      <c r="C61" s="18" t="str">
        <f aca="false">липень!C61</f>
        <v>2053</v>
      </c>
      <c r="D61" s="19" t="n">
        <f aca="false">липень!P61</f>
        <v>0</v>
      </c>
      <c r="E61" s="19" t="n">
        <f aca="false">липень!Q61</f>
        <v>1284.1</v>
      </c>
      <c r="F61" s="20" t="n">
        <f aca="false">липень!F61</f>
        <v>0</v>
      </c>
      <c r="G61" s="21" t="n">
        <f aca="false">липень!G61</f>
        <v>62.64</v>
      </c>
      <c r="H61" s="21" t="n">
        <f aca="false">липень!H61</f>
        <v>0</v>
      </c>
      <c r="I61" s="22" t="n">
        <f aca="false">липень!I61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1027.28</v>
      </c>
    </row>
    <row r="62" customFormat="false" ht="15" hidden="false" customHeight="false" outlineLevel="0" collapsed="false">
      <c r="A62" s="17" t="s">
        <v>182</v>
      </c>
      <c r="B62" s="18" t="str">
        <f aca="false">липень!B62</f>
        <v>Ляхомський В.О.</v>
      </c>
      <c r="C62" s="18" t="str">
        <f aca="false">липень!C62</f>
        <v>2054</v>
      </c>
      <c r="D62" s="19" t="n">
        <f aca="false">липень!P62</f>
        <v>863.02</v>
      </c>
      <c r="E62" s="19" t="n">
        <f aca="false">липень!Q62</f>
        <v>0</v>
      </c>
      <c r="F62" s="20" t="n">
        <f aca="false">липень!F62</f>
        <v>0</v>
      </c>
      <c r="G62" s="21" t="n">
        <f aca="false">липень!G62</f>
        <v>34.9</v>
      </c>
      <c r="H62" s="21" t="n">
        <f aca="false">липень!H62</f>
        <v>0</v>
      </c>
      <c r="I62" s="22" t="n">
        <f aca="false">липень!I62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1006.11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липень!B63</f>
        <v>Крамаренко В.П.</v>
      </c>
      <c r="C63" s="18" t="str">
        <f aca="false">липень!C63</f>
        <v>2055</v>
      </c>
      <c r="D63" s="19" t="n">
        <f aca="false">липень!P63</f>
        <v>2864.92</v>
      </c>
      <c r="E63" s="19" t="n">
        <f aca="false">липень!Q63</f>
        <v>0</v>
      </c>
      <c r="F63" s="20" t="n">
        <f aca="false">липень!F63</f>
        <v>0</v>
      </c>
      <c r="G63" s="21" t="n">
        <f aca="false">липень!G63</f>
        <v>49.79</v>
      </c>
      <c r="H63" s="21" t="n">
        <f aca="false">липень!H63</f>
        <v>0</v>
      </c>
      <c r="I63" s="22" t="n">
        <f aca="false">липень!I63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3069.06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липень!B64</f>
        <v>Родзик С.Г.</v>
      </c>
      <c r="C64" s="18" t="str">
        <f aca="false">липень!C64</f>
        <v>2056</v>
      </c>
      <c r="D64" s="19" t="n">
        <f aca="false">липень!P64</f>
        <v>1022.89</v>
      </c>
      <c r="E64" s="19" t="n">
        <f aca="false">липень!Q64</f>
        <v>0</v>
      </c>
      <c r="F64" s="20" t="n">
        <f aca="false">липень!F64</f>
        <v>0</v>
      </c>
      <c r="G64" s="21" t="n">
        <f aca="false">липень!G64</f>
        <v>65.2</v>
      </c>
      <c r="H64" s="21" t="n">
        <f aca="false">липень!H64</f>
        <v>0</v>
      </c>
      <c r="I64" s="22" t="n">
        <f aca="false">липень!I64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1290.21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липень!B65</f>
        <v>Никоненко Н.С.</v>
      </c>
      <c r="C65" s="18" t="str">
        <f aca="false">липень!C65</f>
        <v>2057</v>
      </c>
      <c r="D65" s="19" t="n">
        <f aca="false">липень!P65</f>
        <v>2685.43</v>
      </c>
      <c r="E65" s="19" t="n">
        <f aca="false">липень!Q65</f>
        <v>0</v>
      </c>
      <c r="F65" s="20" t="n">
        <f aca="false">липень!F65</f>
        <v>0</v>
      </c>
      <c r="G65" s="21" t="n">
        <f aca="false">липень!G65</f>
        <v>61.88</v>
      </c>
      <c r="H65" s="21" t="n">
        <f aca="false">липень!H65</f>
        <v>0</v>
      </c>
      <c r="I65" s="22" t="n">
        <f aca="false">липень!I65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2939.14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липень!B66</f>
        <v>Чепок О.В.</v>
      </c>
      <c r="C66" s="18" t="str">
        <f aca="false">липень!C66</f>
        <v>2058</v>
      </c>
      <c r="D66" s="19" t="n">
        <f aca="false">липень!P66</f>
        <v>3622.41</v>
      </c>
      <c r="E66" s="19" t="n">
        <f aca="false">липень!Q66</f>
        <v>0</v>
      </c>
      <c r="F66" s="20" t="n">
        <f aca="false">липень!F66</f>
        <v>0</v>
      </c>
      <c r="G66" s="21" t="n">
        <f aca="false">липень!G66</f>
        <v>35</v>
      </c>
      <c r="H66" s="21" t="n">
        <f aca="false">липень!H66</f>
        <v>0</v>
      </c>
      <c r="I66" s="22" t="n">
        <f aca="false">липень!I66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3765.91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липень!B67</f>
        <v>Горошенко Л.С.</v>
      </c>
      <c r="C67" s="18" t="str">
        <f aca="false">липень!C67</f>
        <v>2059</v>
      </c>
      <c r="D67" s="19" t="n">
        <f aca="false">липень!P67</f>
        <v>0</v>
      </c>
      <c r="E67" s="19" t="n">
        <f aca="false">липень!Q67</f>
        <v>1663.72</v>
      </c>
      <c r="F67" s="20" t="n">
        <f aca="false">липень!F67</f>
        <v>0</v>
      </c>
      <c r="G67" s="21" t="n">
        <f aca="false">липень!G67</f>
        <v>49.3</v>
      </c>
      <c r="H67" s="21" t="n">
        <f aca="false">липень!H67</f>
        <v>0</v>
      </c>
      <c r="I67" s="22" t="n">
        <f aca="false">липень!I67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 t="n">
        <v>300</v>
      </c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1761.59</v>
      </c>
    </row>
    <row r="68" customFormat="false" ht="15" hidden="false" customHeight="false" outlineLevel="0" collapsed="false">
      <c r="A68" s="17" t="s">
        <v>200</v>
      </c>
      <c r="B68" s="18" t="str">
        <f aca="false">липень!B68</f>
        <v>Неграчева Л.Г.</v>
      </c>
      <c r="C68" s="18" t="str">
        <f aca="false">липень!C68</f>
        <v>2060</v>
      </c>
      <c r="D68" s="19" t="n">
        <f aca="false">липень!P68</f>
        <v>102.199999999999</v>
      </c>
      <c r="E68" s="19" t="n">
        <f aca="false">липень!Q68</f>
        <v>0</v>
      </c>
      <c r="F68" s="20" t="n">
        <f aca="false">липень!F68</f>
        <v>0</v>
      </c>
      <c r="G68" s="21" t="n">
        <f aca="false">липень!G68</f>
        <v>66.6</v>
      </c>
      <c r="H68" s="21" t="n">
        <f aca="false">липень!H68</f>
        <v>0</v>
      </c>
      <c r="I68" s="22" t="n">
        <f aca="false">липень!I68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 t="n">
        <v>300</v>
      </c>
      <c r="P68" s="25" t="n">
        <f aca="false">IF(D68=0,IF((N68-E68-O68)&gt;0,(N68-E68-O68),0),IF((D68+N68-O68)&gt;0,(D68+N68-O68),0))</f>
        <v>75.2599999999986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липень!B69</f>
        <v>Брежнєв О.В.</v>
      </c>
      <c r="C69" s="18" t="str">
        <f aca="false">липень!C69</f>
        <v>2061</v>
      </c>
      <c r="D69" s="19" t="n">
        <f aca="false">липень!P69</f>
        <v>3046.65</v>
      </c>
      <c r="E69" s="19" t="n">
        <f aca="false">липень!Q69</f>
        <v>0</v>
      </c>
      <c r="F69" s="20" t="n">
        <f aca="false">липень!F69</f>
        <v>0</v>
      </c>
      <c r="G69" s="21" t="n">
        <f aca="false">липень!G69</f>
        <v>61.88</v>
      </c>
      <c r="H69" s="21" t="n">
        <f aca="false">липень!H69</f>
        <v>0</v>
      </c>
      <c r="I69" s="22" t="n">
        <f aca="false">липень!I69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3300.36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липень!B70</f>
        <v>Горбатюк К.О.</v>
      </c>
      <c r="C70" s="18" t="str">
        <f aca="false">липень!C70</f>
        <v>2062</v>
      </c>
      <c r="D70" s="19" t="n">
        <f aca="false">липень!P70</f>
        <v>1850.46</v>
      </c>
      <c r="E70" s="19" t="n">
        <f aca="false">липень!Q70</f>
        <v>0</v>
      </c>
      <c r="F70" s="20" t="n">
        <f aca="false">липень!F70</f>
        <v>0</v>
      </c>
      <c r="G70" s="21" t="n">
        <f aca="false">липень!G70</f>
        <v>34.96</v>
      </c>
      <c r="H70" s="21" t="n">
        <f aca="false">липень!H70</f>
        <v>0</v>
      </c>
      <c r="I70" s="22" t="n">
        <f aca="false">липень!I70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1993.8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липень!B71</f>
        <v>Божик М.О.</v>
      </c>
      <c r="C71" s="18" t="str">
        <f aca="false">липень!C71</f>
        <v>2063</v>
      </c>
      <c r="D71" s="19" t="n">
        <f aca="false">липень!P71</f>
        <v>423.84</v>
      </c>
      <c r="E71" s="19" t="n">
        <f aca="false">липень!Q71</f>
        <v>0</v>
      </c>
      <c r="F71" s="20" t="n">
        <f aca="false">липень!F71</f>
        <v>0</v>
      </c>
      <c r="G71" s="21" t="n">
        <f aca="false">липень!G71</f>
        <v>50.03</v>
      </c>
      <c r="H71" s="21" t="n">
        <f aca="false">липень!H71</f>
        <v>0</v>
      </c>
      <c r="I71" s="22" t="n">
        <f aca="false">липень!I71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628.96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липень!B72</f>
        <v>Зайченко С.Л</v>
      </c>
      <c r="C72" s="18" t="str">
        <f aca="false">липень!C72</f>
        <v>2064</v>
      </c>
      <c r="D72" s="19" t="n">
        <f aca="false">липень!P72</f>
        <v>4778.49</v>
      </c>
      <c r="E72" s="19" t="n">
        <f aca="false">липень!Q72</f>
        <v>0</v>
      </c>
      <c r="F72" s="20" t="n">
        <f aca="false">липень!F72</f>
        <v>0</v>
      </c>
      <c r="G72" s="21" t="n">
        <f aca="false">липень!G72</f>
        <v>65.15</v>
      </c>
      <c r="H72" s="21" t="n">
        <f aca="false">липень!H72</f>
        <v>0</v>
      </c>
      <c r="I72" s="22" t="n">
        <f aca="false">липень!I72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5045.61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липень!B73</f>
        <v>Бессараб Н.Г.</v>
      </c>
      <c r="C73" s="18" t="str">
        <f aca="false">липень!C73</f>
        <v>2065</v>
      </c>
      <c r="D73" s="19" t="n">
        <f aca="false">липень!P73</f>
        <v>0</v>
      </c>
      <c r="E73" s="19" t="n">
        <f aca="false">липень!Q73</f>
        <v>291.45</v>
      </c>
      <c r="F73" s="20" t="n">
        <f aca="false">липень!F73</f>
        <v>0</v>
      </c>
      <c r="G73" s="21" t="n">
        <f aca="false">липень!G73</f>
        <v>63.41</v>
      </c>
      <c r="H73" s="21" t="n">
        <f aca="false">липень!H73</f>
        <v>0</v>
      </c>
      <c r="I73" s="22" t="n">
        <f aca="false">липень!I73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 t="n">
        <v>300</v>
      </c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331.47</v>
      </c>
    </row>
    <row r="74" customFormat="false" ht="15" hidden="false" customHeight="false" outlineLevel="0" collapsed="false">
      <c r="A74" s="17" t="s">
        <v>218</v>
      </c>
      <c r="B74" s="18" t="str">
        <f aca="false">липень!B74</f>
        <v>Прохорова С.І.</v>
      </c>
      <c r="C74" s="18" t="str">
        <f aca="false">липень!C74</f>
        <v>2066</v>
      </c>
      <c r="D74" s="19" t="n">
        <f aca="false">липень!P74</f>
        <v>2383.95</v>
      </c>
      <c r="E74" s="19" t="n">
        <f aca="false">липень!Q74</f>
        <v>0</v>
      </c>
      <c r="F74" s="20" t="n">
        <f aca="false">липень!F74</f>
        <v>0</v>
      </c>
      <c r="G74" s="21" t="n">
        <f aca="false">липень!G74</f>
        <v>35.19</v>
      </c>
      <c r="H74" s="21" t="n">
        <f aca="false">липень!H74</f>
        <v>0</v>
      </c>
      <c r="I74" s="22" t="n">
        <f aca="false">липень!I74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2528.23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липень!B75</f>
        <v>Браташ А.Ф.</v>
      </c>
      <c r="C75" s="18" t="str">
        <f aca="false">липень!C75</f>
        <v>2067</v>
      </c>
      <c r="D75" s="19" t="n">
        <f aca="false">липень!P75</f>
        <v>3949.12</v>
      </c>
      <c r="E75" s="19" t="n">
        <f aca="false">липень!Q75</f>
        <v>0</v>
      </c>
      <c r="F75" s="20" t="n">
        <f aca="false">липень!F75</f>
        <v>0</v>
      </c>
      <c r="G75" s="21" t="n">
        <f aca="false">липень!G75</f>
        <v>49.89</v>
      </c>
      <c r="H75" s="21" t="n">
        <f aca="false">липень!H75</f>
        <v>0</v>
      </c>
      <c r="I75" s="22" t="n">
        <f aca="false">липень!I75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4153.67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липень!B76</f>
        <v>Кудас Д.О.</v>
      </c>
      <c r="C76" s="18" t="str">
        <f aca="false">липень!C76</f>
        <v>2068</v>
      </c>
      <c r="D76" s="19" t="n">
        <f aca="false">липень!P76</f>
        <v>332.34</v>
      </c>
      <c r="E76" s="19" t="n">
        <f aca="false">липень!Q76</f>
        <v>0</v>
      </c>
      <c r="F76" s="20" t="n">
        <f aca="false">липень!F76</f>
        <v>0</v>
      </c>
      <c r="G76" s="21" t="n">
        <f aca="false">липень!G76</f>
        <v>65.03</v>
      </c>
      <c r="H76" s="21" t="n">
        <f aca="false">липень!H76</f>
        <v>0</v>
      </c>
      <c r="I76" s="22" t="n">
        <f aca="false">липень!I76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598.96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липень!B77</f>
        <v>Шушлєбін Б.В.</v>
      </c>
      <c r="C77" s="18" t="str">
        <f aca="false">липень!C77</f>
        <v>2069</v>
      </c>
      <c r="D77" s="19" t="n">
        <f aca="false">липень!P77</f>
        <v>489.16</v>
      </c>
      <c r="E77" s="19" t="n">
        <f aca="false">липень!Q77</f>
        <v>0</v>
      </c>
      <c r="F77" s="20" t="n">
        <f aca="false">липень!F77</f>
        <v>0</v>
      </c>
      <c r="G77" s="21" t="n">
        <f aca="false">липень!G77</f>
        <v>62.11</v>
      </c>
      <c r="H77" s="21" t="n">
        <f aca="false">липень!H77</f>
        <v>0</v>
      </c>
      <c r="I77" s="22" t="n">
        <f aca="false">липень!I77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743.81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липень!B78</f>
        <v>Бородіна І.О.</v>
      </c>
      <c r="C78" s="18" t="str">
        <f aca="false">липень!C78</f>
        <v>2070</v>
      </c>
      <c r="D78" s="19" t="n">
        <f aca="false">липень!P78</f>
        <v>2616.38</v>
      </c>
      <c r="E78" s="19" t="n">
        <f aca="false">липень!Q78</f>
        <v>0</v>
      </c>
      <c r="F78" s="20" t="n">
        <f aca="false">липень!F78</f>
        <v>0</v>
      </c>
      <c r="G78" s="21" t="n">
        <f aca="false">липень!G78</f>
        <v>34.9</v>
      </c>
      <c r="H78" s="21" t="n">
        <f aca="false">липень!H78</f>
        <v>0</v>
      </c>
      <c r="I78" s="22" t="n">
        <f aca="false">липень!I78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2759.47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липень!B79</f>
        <v>Котурга Л.Й.</v>
      </c>
      <c r="C79" s="18" t="str">
        <f aca="false">липень!C79</f>
        <v>2071</v>
      </c>
      <c r="D79" s="19" t="n">
        <f aca="false">липень!P79</f>
        <v>1852.22</v>
      </c>
      <c r="E79" s="19" t="n">
        <f aca="false">липень!Q79</f>
        <v>0</v>
      </c>
      <c r="F79" s="20" t="n">
        <f aca="false">липень!F79</f>
        <v>0</v>
      </c>
      <c r="G79" s="21" t="n">
        <f aca="false">липень!G79</f>
        <v>49.2</v>
      </c>
      <c r="H79" s="21" t="n">
        <f aca="false">липень!H79</f>
        <v>0</v>
      </c>
      <c r="I79" s="22" t="n">
        <f aca="false">липень!I79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2053.94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липень!B80</f>
        <v>Горова О.І.</v>
      </c>
      <c r="C80" s="18" t="str">
        <f aca="false">липень!C80</f>
        <v>2072</v>
      </c>
      <c r="D80" s="19" t="n">
        <f aca="false">липень!P80</f>
        <v>3554.29</v>
      </c>
      <c r="E80" s="19" t="n">
        <f aca="false">липень!Q80</f>
        <v>0</v>
      </c>
      <c r="F80" s="20" t="n">
        <f aca="false">липень!F80</f>
        <v>0</v>
      </c>
      <c r="G80" s="21" t="n">
        <f aca="false">липень!G80</f>
        <v>65.43</v>
      </c>
      <c r="H80" s="21" t="n">
        <f aca="false">липень!H80</f>
        <v>0</v>
      </c>
      <c r="I80" s="22" t="n">
        <f aca="false">липень!I80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3822.55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липень!B81</f>
        <v>Рибакевич М.П.</v>
      </c>
      <c r="C81" s="18" t="str">
        <f aca="false">липень!C81</f>
        <v>3073</v>
      </c>
      <c r="D81" s="19" t="n">
        <f aca="false">липень!P81</f>
        <v>4503.25</v>
      </c>
      <c r="E81" s="19" t="n">
        <f aca="false">липень!Q81</f>
        <v>0</v>
      </c>
      <c r="F81" s="20" t="n">
        <f aca="false">липень!F81</f>
        <v>0</v>
      </c>
      <c r="G81" s="21" t="n">
        <f aca="false">липень!G81</f>
        <v>64.5</v>
      </c>
      <c r="H81" s="21" t="n">
        <f aca="false">липень!H81</f>
        <v>0</v>
      </c>
      <c r="I81" s="22" t="n">
        <f aca="false">липень!I81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 t="n">
        <v>530</v>
      </c>
      <c r="P81" s="25" t="n">
        <f aca="false">IF(D81=0,IF((N81-E81-O81)&gt;0,(N81-E81-O81),0),IF((D81+N81-O81)&gt;0,(D81+N81-O81),0))</f>
        <v>4237.7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липень!B82</f>
        <v>Башкалов В.В.</v>
      </c>
      <c r="C82" s="18" t="str">
        <f aca="false">липень!C82</f>
        <v>3074</v>
      </c>
      <c r="D82" s="19" t="n">
        <f aca="false">липень!P82</f>
        <v>692.96</v>
      </c>
      <c r="E82" s="19" t="n">
        <f aca="false">липень!Q82</f>
        <v>0</v>
      </c>
      <c r="F82" s="20" t="n">
        <f aca="false">липень!F82</f>
        <v>0</v>
      </c>
      <c r="G82" s="21" t="n">
        <f aca="false">липень!G82</f>
        <v>50.8</v>
      </c>
      <c r="H82" s="21" t="n">
        <f aca="false">липень!H82</f>
        <v>0</v>
      </c>
      <c r="I82" s="22" t="n">
        <f aca="false">липень!I82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 t="n">
        <v>500</v>
      </c>
      <c r="P82" s="25" t="n">
        <f aca="false">IF(D82=0,IF((N82-E82-O82)&gt;0,(N82-E82-O82),0),IF((D82+N82-O82)&gt;0,(D82+N82-O82),0))</f>
        <v>401.24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липень!B83</f>
        <v>Тіхенко Г.Д.</v>
      </c>
      <c r="C83" s="18" t="str">
        <f aca="false">липень!C83</f>
        <v>3075</v>
      </c>
      <c r="D83" s="19" t="n">
        <f aca="false">липень!P83</f>
        <v>1867.9</v>
      </c>
      <c r="E83" s="19" t="n">
        <f aca="false">липень!Q83</f>
        <v>0</v>
      </c>
      <c r="F83" s="20" t="n">
        <f aca="false">липень!F83</f>
        <v>0</v>
      </c>
      <c r="G83" s="21" t="n">
        <f aca="false">липень!G83</f>
        <v>34.9</v>
      </c>
      <c r="H83" s="21" t="n">
        <f aca="false">липень!H83</f>
        <v>0</v>
      </c>
      <c r="I83" s="22" t="n">
        <f aca="false">липень!I83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2010.99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липень!B84</f>
        <v>Головченко В.Г.</v>
      </c>
      <c r="C84" s="18" t="str">
        <f aca="false">липень!C84</f>
        <v>3076</v>
      </c>
      <c r="D84" s="19" t="n">
        <f aca="false">липень!P84</f>
        <v>0</v>
      </c>
      <c r="E84" s="19" t="n">
        <f aca="false">липень!Q84</f>
        <v>51.7200000000005</v>
      </c>
      <c r="F84" s="20" t="n">
        <f aca="false">липень!F84</f>
        <v>0</v>
      </c>
      <c r="G84" s="21" t="n">
        <f aca="false">липень!G84</f>
        <v>61</v>
      </c>
      <c r="H84" s="21" t="n">
        <f aca="false">липень!H84</f>
        <v>0</v>
      </c>
      <c r="I84" s="22" t="n">
        <f aca="false">липень!I84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198.38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липень!B85</f>
        <v>Семанішина Є.С.</v>
      </c>
      <c r="C85" s="18" t="str">
        <f aca="false">липень!C85</f>
        <v>3077</v>
      </c>
      <c r="D85" s="19" t="n">
        <f aca="false">липень!P85</f>
        <v>3430.6</v>
      </c>
      <c r="E85" s="19" t="n">
        <f aca="false">липень!Q85</f>
        <v>0</v>
      </c>
      <c r="F85" s="20" t="n">
        <f aca="false">липень!F85</f>
        <v>0</v>
      </c>
      <c r="G85" s="21" t="n">
        <f aca="false">липень!G85</f>
        <v>64.5</v>
      </c>
      <c r="H85" s="21" t="n">
        <f aca="false">липень!H85</f>
        <v>0</v>
      </c>
      <c r="I85" s="22" t="n">
        <f aca="false">липень!I85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3695.05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липень!B86</f>
        <v>Зінченко Ю.В.</v>
      </c>
      <c r="C86" s="18" t="str">
        <f aca="false">липень!C86</f>
        <v>3078</v>
      </c>
      <c r="D86" s="19" t="n">
        <f aca="false">липень!P86</f>
        <v>388.52</v>
      </c>
      <c r="E86" s="19" t="n">
        <f aca="false">липень!Q86</f>
        <v>0</v>
      </c>
      <c r="F86" s="20" t="n">
        <f aca="false">липень!F86</f>
        <v>0</v>
      </c>
      <c r="G86" s="21" t="n">
        <f aca="false">липень!G86</f>
        <v>49.3</v>
      </c>
      <c r="H86" s="21" t="n">
        <f aca="false">липень!H86</f>
        <v>0</v>
      </c>
      <c r="I86" s="22" t="n">
        <f aca="false">липень!I86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 t="n">
        <v>210</v>
      </c>
      <c r="P86" s="25" t="n">
        <f aca="false">IF(D86=0,IF((N86-E86-O86)&gt;0,(N86-E86-O86),0),IF((D86+N86-O86)&gt;0,(D86+N86-O86),0))</f>
        <v>380.65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липень!B87</f>
        <v>Рилова Г.П.</v>
      </c>
      <c r="C87" s="18" t="str">
        <f aca="false">липень!C87</f>
        <v>3079</v>
      </c>
      <c r="D87" s="19" t="n">
        <f aca="false">липень!P87</f>
        <v>136.9</v>
      </c>
      <c r="E87" s="19" t="n">
        <f aca="false">липень!Q87</f>
        <v>0</v>
      </c>
      <c r="F87" s="20" t="n">
        <f aca="false">липень!F87</f>
        <v>0</v>
      </c>
      <c r="G87" s="21" t="n">
        <f aca="false">липень!G87</f>
        <v>35</v>
      </c>
      <c r="H87" s="21" t="n">
        <f aca="false">липень!H87</f>
        <v>0</v>
      </c>
      <c r="I87" s="22" t="n">
        <f aca="false">липень!I87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 t="n">
        <v>300</v>
      </c>
      <c r="P87" s="25" t="n">
        <f aca="false">IF(D87=0,IF((N87-E87-O87)&gt;0,(N87-E87-O87),0),IF((D87+N87-O87)&gt;0,(D87+N87-O87),0))</f>
        <v>0</v>
      </c>
      <c r="Q87" s="25" t="n">
        <f aca="false">IF(E87=0,IF((D87+N87-O87)&lt;0,ABS(D87+N87-O87),0),IF((N87-E87-O87)&lt;0,ABS(N87-E87-O87),0))</f>
        <v>19.6000000000003</v>
      </c>
    </row>
    <row r="88" customFormat="false" ht="15" hidden="false" customHeight="false" outlineLevel="0" collapsed="false">
      <c r="A88" s="17" t="s">
        <v>260</v>
      </c>
      <c r="B88" s="18" t="str">
        <f aca="false">липень!B88</f>
        <v>Ленський І.О.</v>
      </c>
      <c r="C88" s="18" t="str">
        <f aca="false">липень!C88</f>
        <v>3080</v>
      </c>
      <c r="D88" s="19" t="n">
        <f aca="false">липень!P88</f>
        <v>470.11</v>
      </c>
      <c r="E88" s="19" t="n">
        <f aca="false">липень!Q88</f>
        <v>0</v>
      </c>
      <c r="F88" s="20" t="n">
        <f aca="false">липень!F88</f>
        <v>0</v>
      </c>
      <c r="G88" s="21" t="n">
        <f aca="false">липень!G88</f>
        <v>61.8</v>
      </c>
      <c r="H88" s="21" t="n">
        <f aca="false">липень!H88</f>
        <v>0</v>
      </c>
      <c r="I88" s="22" t="n">
        <f aca="false">липень!I88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/>
      <c r="P88" s="25" t="n">
        <f aca="false">IF(D88=0,IF((N88-E88-O88)&gt;0,(N88-E88-O88),0),IF((D88+N88-O88)&gt;0,(D88+N88-O88),0))</f>
        <v>723.49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липень!B89</f>
        <v>Слюсар О.О.</v>
      </c>
      <c r="C89" s="18" t="str">
        <f aca="false">липень!C89</f>
        <v>3081</v>
      </c>
      <c r="D89" s="19" t="n">
        <f aca="false">липень!P89</f>
        <v>4722.29</v>
      </c>
      <c r="E89" s="19" t="n">
        <f aca="false">липень!Q89</f>
        <v>0</v>
      </c>
      <c r="F89" s="20" t="n">
        <f aca="false">липень!F89</f>
        <v>0</v>
      </c>
      <c r="G89" s="21" t="n">
        <f aca="false">липень!G89</f>
        <v>65.81</v>
      </c>
      <c r="H89" s="21" t="n">
        <f aca="false">липень!H89</f>
        <v>0</v>
      </c>
      <c r="I89" s="22" t="n">
        <f aca="false">липень!I89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4992.11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липень!B90</f>
        <v>Кісельов Г.О.</v>
      </c>
      <c r="C90" s="18" t="str">
        <f aca="false">липень!C90</f>
        <v>3082</v>
      </c>
      <c r="D90" s="19" t="n">
        <f aca="false">липень!P90</f>
        <v>235.46</v>
      </c>
      <c r="E90" s="19" t="n">
        <f aca="false">липень!Q90</f>
        <v>0</v>
      </c>
      <c r="F90" s="20" t="n">
        <f aca="false">липень!F90</f>
        <v>0</v>
      </c>
      <c r="G90" s="21" t="n">
        <f aca="false">липень!G90</f>
        <v>49.7</v>
      </c>
      <c r="H90" s="21" t="n">
        <f aca="false">липень!H90</f>
        <v>0</v>
      </c>
      <c r="I90" s="22" t="n">
        <f aca="false">липень!I90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439.23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липень!B91</f>
        <v>Губанова Н.С.</v>
      </c>
      <c r="C91" s="18" t="str">
        <f aca="false">липень!C91</f>
        <v>3083</v>
      </c>
      <c r="D91" s="19" t="n">
        <f aca="false">липень!P91</f>
        <v>1697.4</v>
      </c>
      <c r="E91" s="19" t="n">
        <f aca="false">липень!Q91</f>
        <v>0</v>
      </c>
      <c r="F91" s="20" t="n">
        <f aca="false">липень!F91</f>
        <v>0</v>
      </c>
      <c r="G91" s="21" t="n">
        <f aca="false">липень!G91</f>
        <v>34.5</v>
      </c>
      <c r="H91" s="21" t="n">
        <f aca="false">липень!H91</f>
        <v>0</v>
      </c>
      <c r="I91" s="22" t="n">
        <f aca="false">липень!I91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1838.85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липень!B92</f>
        <v>Попова А.В.</v>
      </c>
      <c r="C92" s="18" t="str">
        <f aca="false">липень!C92</f>
        <v>3084</v>
      </c>
      <c r="D92" s="19" t="n">
        <f aca="false">липень!P92</f>
        <v>1790.07</v>
      </c>
      <c r="E92" s="19" t="n">
        <f aca="false">липень!Q92</f>
        <v>0</v>
      </c>
      <c r="F92" s="20" t="n">
        <f aca="false">липень!F92</f>
        <v>0</v>
      </c>
      <c r="G92" s="21" t="n">
        <f aca="false">липень!G92</f>
        <v>62.4</v>
      </c>
      <c r="H92" s="21" t="n">
        <f aca="false">липень!H92</f>
        <v>0</v>
      </c>
      <c r="I92" s="22" t="n">
        <f aca="false">липень!I92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2045.91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липень!B93</f>
        <v>Стародубець О.К.</v>
      </c>
      <c r="C93" s="18" t="str">
        <f aca="false">липень!C93</f>
        <v>3085</v>
      </c>
      <c r="D93" s="19" t="n">
        <f aca="false">липень!P93</f>
        <v>4855.08</v>
      </c>
      <c r="E93" s="19" t="n">
        <f aca="false">липень!Q93</f>
        <v>0</v>
      </c>
      <c r="F93" s="20" t="n">
        <f aca="false">липень!F93</f>
        <v>0</v>
      </c>
      <c r="G93" s="21" t="n">
        <f aca="false">липень!G93</f>
        <v>66.46</v>
      </c>
      <c r="H93" s="21" t="n">
        <f aca="false">липень!H93</f>
        <v>0</v>
      </c>
      <c r="I93" s="22" t="n">
        <f aca="false">липень!I93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5127.57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липень!B94</f>
        <v>Сакун Т.А.</v>
      </c>
      <c r="C94" s="18" t="str">
        <f aca="false">липень!C94</f>
        <v>3086</v>
      </c>
      <c r="D94" s="19" t="n">
        <f aca="false">липень!P94</f>
        <v>3873.81</v>
      </c>
      <c r="E94" s="19" t="n">
        <f aca="false">липень!Q94</f>
        <v>0</v>
      </c>
      <c r="F94" s="20" t="n">
        <f aca="false">липень!F94</f>
        <v>0</v>
      </c>
      <c r="G94" s="21" t="n">
        <f aca="false">липень!G94</f>
        <v>49.73</v>
      </c>
      <c r="H94" s="21" t="n">
        <f aca="false">липень!H94</f>
        <v>0</v>
      </c>
      <c r="I94" s="22" t="n">
        <f aca="false">липень!I94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4077.7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липень!B95</f>
        <v>Фатєєв Ю.О.</v>
      </c>
      <c r="C95" s="18" t="str">
        <f aca="false">липень!C95</f>
        <v>3087</v>
      </c>
      <c r="D95" s="19" t="n">
        <f aca="false">липень!P95</f>
        <v>4794.08</v>
      </c>
      <c r="E95" s="19" t="n">
        <f aca="false">липень!Q95</f>
        <v>0</v>
      </c>
      <c r="F95" s="20" t="n">
        <f aca="false">липень!F95</f>
        <v>0</v>
      </c>
      <c r="G95" s="21" t="n">
        <f aca="false">липень!G95</f>
        <v>34.9</v>
      </c>
      <c r="H95" s="21" t="n">
        <f aca="false">липень!H95</f>
        <v>0</v>
      </c>
      <c r="I95" s="22" t="n">
        <f aca="false">липень!I95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4937.17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липень!B96</f>
        <v>Лукашов Є.В.</v>
      </c>
      <c r="C96" s="18" t="str">
        <f aca="false">липень!C96</f>
        <v>3088</v>
      </c>
      <c r="D96" s="19" t="n">
        <f aca="false">липень!P96</f>
        <v>9217.48000000003</v>
      </c>
      <c r="E96" s="19" t="n">
        <f aca="false">липень!Q96</f>
        <v>0</v>
      </c>
      <c r="F96" s="20" t="n">
        <f aca="false">липень!F96</f>
        <v>0</v>
      </c>
      <c r="G96" s="21" t="n">
        <f aca="false">липень!G96</f>
        <v>61.9</v>
      </c>
      <c r="H96" s="21" t="n">
        <f aca="false">липень!H96</f>
        <v>0</v>
      </c>
      <c r="I96" s="22" t="n">
        <f aca="false">липень!I96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9471.27000000003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липень!B97</f>
        <v>Довбета В.М.</v>
      </c>
      <c r="C97" s="18" t="str">
        <f aca="false">липень!C97</f>
        <v>3089</v>
      </c>
      <c r="D97" s="19" t="n">
        <f aca="false">липень!P97</f>
        <v>0</v>
      </c>
      <c r="E97" s="19" t="n">
        <f aca="false">липень!Q97</f>
        <v>41.2199999999995</v>
      </c>
      <c r="F97" s="20" t="n">
        <f aca="false">липень!F97</f>
        <v>0</v>
      </c>
      <c r="G97" s="21" t="n">
        <f aca="false">липень!G97</f>
        <v>65.3</v>
      </c>
      <c r="H97" s="21" t="n">
        <f aca="false">липень!H97</f>
        <v>0</v>
      </c>
      <c r="I97" s="22" t="n">
        <f aca="false">липень!I97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 t="n">
        <v>270</v>
      </c>
      <c r="P97" s="25" t="n">
        <f aca="false">IF(D97=0,IF((N97-E97-O97)&gt;0,(N97-E97-O97),0),IF((D97+N97-O97)&gt;0,(D97+N97-O97),0))</f>
        <v>0</v>
      </c>
      <c r="Q97" s="25" t="n">
        <f aca="false">IF(E97=0,IF((D97+N97-O97)&lt;0,ABS(D97+N97-O97),0),IF((N97-E97-O97)&lt;0,ABS(N97-E97-O97),0))</f>
        <v>43.4899999999994</v>
      </c>
    </row>
    <row r="98" customFormat="false" ht="15" hidden="false" customHeight="false" outlineLevel="0" collapsed="false">
      <c r="A98" s="17" t="s">
        <v>290</v>
      </c>
      <c r="B98" s="18" t="str">
        <f aca="false">липень!B98</f>
        <v>Черняк К.В.</v>
      </c>
      <c r="C98" s="18" t="str">
        <f aca="false">липень!C98</f>
        <v>3090</v>
      </c>
      <c r="D98" s="19" t="n">
        <f aca="false">липень!P98</f>
        <v>0</v>
      </c>
      <c r="E98" s="19" t="n">
        <f aca="false">липень!Q98</f>
        <v>205.54</v>
      </c>
      <c r="F98" s="20" t="n">
        <f aca="false">липень!F98</f>
        <v>0</v>
      </c>
      <c r="G98" s="21" t="n">
        <f aca="false">липень!G98</f>
        <v>49.48</v>
      </c>
      <c r="H98" s="21" t="n">
        <f aca="false">липень!H98</f>
        <v>0</v>
      </c>
      <c r="I98" s="22" t="n">
        <f aca="false">липень!I98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0</v>
      </c>
      <c r="Q98" s="25" t="n">
        <f aca="false">IF(E98=0,IF((D98+N98-O98)&lt;0,ABS(D98+N98-O98),0),IF((N98-E98-O98)&lt;0,ABS(N98-E98-O98),0))</f>
        <v>2.6700000000003</v>
      </c>
    </row>
    <row r="99" customFormat="false" ht="15" hidden="false" customHeight="false" outlineLevel="0" collapsed="false">
      <c r="A99" s="17" t="s">
        <v>293</v>
      </c>
      <c r="B99" s="18" t="str">
        <f aca="false">липень!B99</f>
        <v>Удінцева Г.А.</v>
      </c>
      <c r="C99" s="18" t="str">
        <f aca="false">липень!C99</f>
        <v>3091</v>
      </c>
      <c r="D99" s="19" t="n">
        <f aca="false">липень!P99</f>
        <v>285.85</v>
      </c>
      <c r="E99" s="19" t="n">
        <f aca="false">липень!Q99</f>
        <v>0</v>
      </c>
      <c r="F99" s="20" t="n">
        <f aca="false">липень!F99</f>
        <v>0</v>
      </c>
      <c r="G99" s="21" t="n">
        <f aca="false">липень!G99</f>
        <v>35.1</v>
      </c>
      <c r="H99" s="21" t="n">
        <f aca="false">липень!H99</f>
        <v>0</v>
      </c>
      <c r="I99" s="22" t="n">
        <f aca="false">липень!I99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429.76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липень!B100</f>
        <v>Липка Г.Ю.</v>
      </c>
      <c r="C100" s="18" t="str">
        <f aca="false">липень!C100</f>
        <v>3092</v>
      </c>
      <c r="D100" s="19" t="n">
        <f aca="false">липень!P100</f>
        <v>5441.52</v>
      </c>
      <c r="E100" s="19" t="n">
        <f aca="false">липень!Q100</f>
        <v>0</v>
      </c>
      <c r="F100" s="20" t="n">
        <f aca="false">липень!F100</f>
        <v>0</v>
      </c>
      <c r="G100" s="21" t="n">
        <f aca="false">липень!G100</f>
        <v>63.2</v>
      </c>
      <c r="H100" s="21" t="n">
        <f aca="false">липень!H100</f>
        <v>0</v>
      </c>
      <c r="I100" s="22" t="n">
        <f aca="false">липень!I100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5700.64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липень!B101</f>
        <v>Утьосов Д.М.</v>
      </c>
      <c r="C101" s="18" t="str">
        <f aca="false">липень!C101</f>
        <v>3093</v>
      </c>
      <c r="D101" s="19" t="n">
        <f aca="false">липень!P101</f>
        <v>0</v>
      </c>
      <c r="E101" s="19" t="n">
        <f aca="false">липень!Q101</f>
        <v>464.449999999998</v>
      </c>
      <c r="F101" s="20" t="n">
        <f aca="false">липень!F101</f>
        <v>0</v>
      </c>
      <c r="G101" s="21" t="n">
        <f aca="false">липень!G101</f>
        <v>66.1</v>
      </c>
      <c r="H101" s="21" t="n">
        <f aca="false">липень!H101</f>
        <v>0</v>
      </c>
      <c r="I101" s="22" t="n">
        <f aca="false">липень!I101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0</v>
      </c>
      <c r="Q101" s="25" t="n">
        <f aca="false">IF(E101=0,IF((D101+N101-O101)&lt;0,ABS(D101+N101-O101),0),IF((N101-E101-O101)&lt;0,ABS(N101-E101-O101),0))</f>
        <v>193.439999999998</v>
      </c>
    </row>
    <row r="102" customFormat="false" ht="15" hidden="false" customHeight="false" outlineLevel="0" collapsed="false">
      <c r="A102" s="17" t="s">
        <v>302</v>
      </c>
      <c r="B102" s="18" t="str">
        <f aca="false">липень!B102</f>
        <v>Стеценко Д.М.</v>
      </c>
      <c r="C102" s="18" t="str">
        <f aca="false">липень!C102</f>
        <v>3094</v>
      </c>
      <c r="D102" s="19" t="n">
        <f aca="false">липень!P102</f>
        <v>1429.33</v>
      </c>
      <c r="E102" s="19" t="n">
        <f aca="false">липень!Q102</f>
        <v>0</v>
      </c>
      <c r="F102" s="20" t="n">
        <f aca="false">липень!F102</f>
        <v>0</v>
      </c>
      <c r="G102" s="21" t="n">
        <f aca="false">липень!G102</f>
        <v>49.8</v>
      </c>
      <c r="H102" s="21" t="n">
        <f aca="false">липень!H102</f>
        <v>0</v>
      </c>
      <c r="I102" s="22" t="n">
        <f aca="false">липень!I102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1633.51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липень!B103</f>
        <v>Задніпряна О.М.</v>
      </c>
      <c r="C103" s="18" t="str">
        <f aca="false">липень!C103</f>
        <v>3095</v>
      </c>
      <c r="D103" s="19" t="n">
        <f aca="false">липень!P103</f>
        <v>2129.5</v>
      </c>
      <c r="E103" s="19" t="n">
        <f aca="false">липень!Q103</f>
        <v>0</v>
      </c>
      <c r="F103" s="20" t="n">
        <f aca="false">липень!F103</f>
        <v>0</v>
      </c>
      <c r="G103" s="21" t="n">
        <f aca="false">липень!G103</f>
        <v>34.6</v>
      </c>
      <c r="H103" s="21" t="n">
        <f aca="false">липень!H103</f>
        <v>0</v>
      </c>
      <c r="I103" s="22" t="n">
        <f aca="false">липень!I103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2271.36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липень!B104</f>
        <v>Геращенко М.Д.</v>
      </c>
      <c r="C104" s="18" t="str">
        <f aca="false">липень!C104</f>
        <v>3096</v>
      </c>
      <c r="D104" s="19" t="n">
        <f aca="false">липень!P104</f>
        <v>1595.92</v>
      </c>
      <c r="E104" s="19" t="n">
        <f aca="false">липень!Q104</f>
        <v>0</v>
      </c>
      <c r="F104" s="20" t="n">
        <f aca="false">липень!F104</f>
        <v>0</v>
      </c>
      <c r="G104" s="21" t="n">
        <f aca="false">липень!G104</f>
        <v>62.6</v>
      </c>
      <c r="H104" s="21" t="n">
        <f aca="false">липень!H104</f>
        <v>0</v>
      </c>
      <c r="I104" s="22" t="n">
        <f aca="false">липень!I104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1852.58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липень!B105</f>
        <v>Горб В.М.</v>
      </c>
      <c r="C105" s="18" t="str">
        <f aca="false">липень!C105</f>
        <v>3097</v>
      </c>
      <c r="D105" s="19" t="n">
        <f aca="false">липень!P105</f>
        <v>3492.23</v>
      </c>
      <c r="E105" s="19" t="n">
        <f aca="false">липень!Q105</f>
        <v>0</v>
      </c>
      <c r="F105" s="20" t="n">
        <f aca="false">липень!F105</f>
        <v>0</v>
      </c>
      <c r="G105" s="21" t="n">
        <f aca="false">липень!G105</f>
        <v>65.57</v>
      </c>
      <c r="H105" s="21" t="n">
        <f aca="false">липень!H105</f>
        <v>0</v>
      </c>
      <c r="I105" s="22" t="n">
        <f aca="false">липень!I105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3761.07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липень!B106</f>
        <v>Нойок Г.К.</v>
      </c>
      <c r="C106" s="18" t="str">
        <f aca="false">липень!C106</f>
        <v>3098</v>
      </c>
      <c r="D106" s="19" t="n">
        <f aca="false">липень!P106</f>
        <v>1442.93</v>
      </c>
      <c r="E106" s="19" t="n">
        <f aca="false">липень!Q106</f>
        <v>0</v>
      </c>
      <c r="F106" s="20" t="n">
        <f aca="false">липень!F106</f>
        <v>0</v>
      </c>
      <c r="G106" s="21" t="n">
        <f aca="false">липень!G106</f>
        <v>49.8</v>
      </c>
      <c r="H106" s="21" t="n">
        <f aca="false">липень!H106</f>
        <v>0</v>
      </c>
      <c r="I106" s="22" t="n">
        <f aca="false">липень!I106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1647.11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липень!B107</f>
        <v>Сафонова О.В.</v>
      </c>
      <c r="C107" s="18" t="str">
        <f aca="false">липень!C107</f>
        <v>3099</v>
      </c>
      <c r="D107" s="19" t="n">
        <f aca="false">липень!P107</f>
        <v>1814.35</v>
      </c>
      <c r="E107" s="19" t="n">
        <f aca="false">липень!Q107</f>
        <v>0</v>
      </c>
      <c r="F107" s="20" t="n">
        <f aca="false">липень!F107</f>
        <v>0</v>
      </c>
      <c r="G107" s="21" t="n">
        <f aca="false">липень!G107</f>
        <v>34.9</v>
      </c>
      <c r="H107" s="21" t="n">
        <f aca="false">липень!H107</f>
        <v>0</v>
      </c>
      <c r="I107" s="22" t="n">
        <f aca="false">липень!I107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1957.44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липень!B108</f>
        <v>Вінарська Н.П.</v>
      </c>
      <c r="C108" s="18" t="str">
        <f aca="false">липень!C108</f>
        <v>30100</v>
      </c>
      <c r="D108" s="19" t="n">
        <f aca="false">липень!P108</f>
        <v>4632.44</v>
      </c>
      <c r="E108" s="19" t="n">
        <f aca="false">липень!Q108</f>
        <v>0</v>
      </c>
      <c r="F108" s="20" t="n">
        <f aca="false">липень!F108</f>
        <v>0</v>
      </c>
      <c r="G108" s="21" t="n">
        <f aca="false">липень!G108</f>
        <v>62.78</v>
      </c>
      <c r="H108" s="21" t="n">
        <f aca="false">липень!H108</f>
        <v>0</v>
      </c>
      <c r="I108" s="22" t="n">
        <f aca="false">липень!I108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4889.84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липень!B109</f>
        <v>Чернова Н.І.</v>
      </c>
      <c r="C109" s="18" t="str">
        <f aca="false">липень!C109</f>
        <v>30101</v>
      </c>
      <c r="D109" s="19" t="n">
        <f aca="false">липень!P109</f>
        <v>4811.29</v>
      </c>
      <c r="E109" s="19" t="n">
        <f aca="false">липень!Q109</f>
        <v>0</v>
      </c>
      <c r="F109" s="20" t="n">
        <f aca="false">липень!F109</f>
        <v>0</v>
      </c>
      <c r="G109" s="21" t="n">
        <f aca="false">липень!G109</f>
        <v>66.29</v>
      </c>
      <c r="H109" s="21" t="n">
        <f aca="false">липень!H109</f>
        <v>0</v>
      </c>
      <c r="I109" s="22" t="n">
        <f aca="false">липень!I109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5083.08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липень!B110</f>
        <v>Кошева Н.П</v>
      </c>
      <c r="C110" s="18" t="str">
        <f aca="false">липень!C110</f>
        <v>30102</v>
      </c>
      <c r="D110" s="19" t="n">
        <f aca="false">липень!P110</f>
        <v>3304</v>
      </c>
      <c r="E110" s="19" t="n">
        <f aca="false">липень!Q110</f>
        <v>0</v>
      </c>
      <c r="F110" s="20" t="n">
        <f aca="false">липень!F110</f>
        <v>0</v>
      </c>
      <c r="G110" s="21" t="n">
        <f aca="false">липень!G110</f>
        <v>50</v>
      </c>
      <c r="H110" s="21" t="n">
        <f aca="false">липень!H110</f>
        <v>0</v>
      </c>
      <c r="I110" s="22" t="n">
        <f aca="false">липень!I110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3509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липень!B111</f>
        <v>Уривський Д.Б.</v>
      </c>
      <c r="C111" s="18" t="str">
        <f aca="false">липень!C111</f>
        <v>30103</v>
      </c>
      <c r="D111" s="19" t="n">
        <f aca="false">липень!P111</f>
        <v>2659.59</v>
      </c>
      <c r="E111" s="19" t="n">
        <f aca="false">липень!Q111</f>
        <v>0</v>
      </c>
      <c r="F111" s="20" t="n">
        <f aca="false">липень!F111</f>
        <v>0</v>
      </c>
      <c r="G111" s="21" t="n">
        <f aca="false">липень!G111</f>
        <v>35</v>
      </c>
      <c r="H111" s="21" t="n">
        <f aca="false">липень!H111</f>
        <v>0</v>
      </c>
      <c r="I111" s="22" t="n">
        <f aca="false">липень!I111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2803.09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липень!B112</f>
        <v>АДПСУ (Чорноморець В.М.)</v>
      </c>
      <c r="C112" s="18" t="str">
        <f aca="false">липень!C112</f>
        <v>30104</v>
      </c>
      <c r="D112" s="19" t="n">
        <f aca="false">липень!P112</f>
        <v>3030.89</v>
      </c>
      <c r="E112" s="19" t="n">
        <f aca="false">липень!Q112</f>
        <v>0</v>
      </c>
      <c r="F112" s="20" t="n">
        <f aca="false">липень!F112</f>
        <v>0</v>
      </c>
      <c r="G112" s="21" t="n">
        <f aca="false">липень!G112</f>
        <v>61.1</v>
      </c>
      <c r="H112" s="21" t="n">
        <f aca="false">липень!H112</f>
        <v>0</v>
      </c>
      <c r="I112" s="22" t="n">
        <f aca="false">липень!I112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3281.4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липень!B113</f>
        <v>Дмитренко Г.В.</v>
      </c>
      <c r="C113" s="18" t="str">
        <f aca="false">липень!C113</f>
        <v>30105</v>
      </c>
      <c r="D113" s="19" t="n">
        <f aca="false">липень!P113</f>
        <v>3770.32</v>
      </c>
      <c r="E113" s="19" t="n">
        <f aca="false">липень!Q113</f>
        <v>0</v>
      </c>
      <c r="F113" s="20" t="n">
        <f aca="false">липень!F113</f>
        <v>0</v>
      </c>
      <c r="G113" s="21" t="n">
        <f aca="false">липень!G113</f>
        <v>64.89</v>
      </c>
      <c r="H113" s="21" t="n">
        <f aca="false">липень!H113</f>
        <v>0</v>
      </c>
      <c r="I113" s="22" t="n">
        <f aca="false">липень!I113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4036.37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липень!B114</f>
        <v>Номерова Т.В.</v>
      </c>
      <c r="C114" s="18" t="str">
        <f aca="false">липень!C114</f>
        <v>30106</v>
      </c>
      <c r="D114" s="19" t="n">
        <f aca="false">липень!P114</f>
        <v>584.68</v>
      </c>
      <c r="E114" s="19" t="n">
        <f aca="false">липень!Q114</f>
        <v>0</v>
      </c>
      <c r="F114" s="20" t="n">
        <f aca="false">липень!F114</f>
        <v>0</v>
      </c>
      <c r="G114" s="21" t="n">
        <f aca="false">липень!G114</f>
        <v>49.96</v>
      </c>
      <c r="H114" s="21" t="n">
        <f aca="false">липень!H114</f>
        <v>0</v>
      </c>
      <c r="I114" s="22" t="n">
        <f aca="false">липень!I114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789.52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липень!B115</f>
        <v>Самойлова О.В.</v>
      </c>
      <c r="C115" s="18" t="str">
        <f aca="false">липень!C115</f>
        <v>30107</v>
      </c>
      <c r="D115" s="19" t="n">
        <f aca="false">липень!P115</f>
        <v>141.45</v>
      </c>
      <c r="E115" s="19" t="n">
        <f aca="false">липень!Q115</f>
        <v>0</v>
      </c>
      <c r="F115" s="20" t="n">
        <f aca="false">липень!F115</f>
        <v>0</v>
      </c>
      <c r="G115" s="21" t="n">
        <f aca="false">липень!G115</f>
        <v>34.5</v>
      </c>
      <c r="H115" s="21" t="n">
        <f aca="false">липень!H115</f>
        <v>0</v>
      </c>
      <c r="I115" s="22" t="n">
        <f aca="false">липень!I115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/>
      <c r="P115" s="25" t="n">
        <f aca="false">IF(D115=0,IF((N115-E115-O115)&gt;0,(N115-E115-O115),0),IF((D115+N115-O115)&gt;0,(D115+N115-O115),0))</f>
        <v>282.9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липень!B116</f>
        <v>Випенко О.І.</v>
      </c>
      <c r="C116" s="18" t="str">
        <f aca="false">липень!C116</f>
        <v>30108</v>
      </c>
      <c r="D116" s="19" t="n">
        <f aca="false">липень!P116</f>
        <v>7962.23</v>
      </c>
      <c r="E116" s="19" t="n">
        <f aca="false">липень!Q116</f>
        <v>0</v>
      </c>
      <c r="F116" s="20" t="n">
        <f aca="false">липень!F116</f>
        <v>0</v>
      </c>
      <c r="G116" s="21" t="n">
        <f aca="false">липень!G116</f>
        <v>62.9</v>
      </c>
      <c r="H116" s="21" t="n">
        <f aca="false">липень!H116</f>
        <v>0</v>
      </c>
      <c r="I116" s="22" t="n">
        <f aca="false">липень!I116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8220.12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липень!B117</f>
        <v>Саприкін Ю.О.</v>
      </c>
      <c r="C117" s="18" t="str">
        <f aca="false">липень!C117</f>
        <v>40109</v>
      </c>
      <c r="D117" s="19" t="n">
        <f aca="false">липень!P117</f>
        <v>398.52</v>
      </c>
      <c r="E117" s="19" t="n">
        <f aca="false">липень!Q117</f>
        <v>0</v>
      </c>
      <c r="F117" s="20" t="n">
        <f aca="false">липень!F117</f>
        <v>0</v>
      </c>
      <c r="G117" s="21" t="n">
        <f aca="false">липень!G117</f>
        <v>97.2</v>
      </c>
      <c r="H117" s="21" t="n">
        <f aca="false">липень!H117</f>
        <v>0</v>
      </c>
      <c r="I117" s="22" t="n">
        <f aca="false">липень!I117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797.04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липень!B118</f>
        <v>Мовчан В.М.</v>
      </c>
      <c r="C118" s="18" t="str">
        <f aca="false">липень!C118</f>
        <v>40110</v>
      </c>
      <c r="D118" s="19" t="n">
        <f aca="false">липень!P118</f>
        <v>398.73</v>
      </c>
      <c r="E118" s="19" t="n">
        <f aca="false">липень!Q118</f>
        <v>0</v>
      </c>
      <c r="F118" s="20" t="n">
        <f aca="false">липень!F118</f>
        <v>0</v>
      </c>
      <c r="G118" s="21" t="n">
        <f aca="false">липень!G118</f>
        <v>48.75</v>
      </c>
      <c r="H118" s="21" t="n">
        <f aca="false">липень!H118</f>
        <v>0</v>
      </c>
      <c r="I118" s="22" t="n">
        <f aca="false">липень!I118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 t="n">
        <v>199.88</v>
      </c>
      <c r="P118" s="25" t="n">
        <f aca="false">IF(D118=0,IF((N118-E118-O118)&gt;0,(N118-E118-O118),0),IF((D118+N118-O118)&gt;0,(D118+N118-O118),0))</f>
        <v>398.73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липень!B119</f>
        <v>Величко Н.М.</v>
      </c>
      <c r="C119" s="18" t="str">
        <f aca="false">липень!C119</f>
        <v>40111</v>
      </c>
      <c r="D119" s="19" t="n">
        <f aca="false">липень!P119</f>
        <v>920.479999999999</v>
      </c>
      <c r="E119" s="19" t="n">
        <f aca="false">липень!Q119</f>
        <v>0</v>
      </c>
      <c r="F119" s="20" t="n">
        <f aca="false">липень!F119</f>
        <v>0</v>
      </c>
      <c r="G119" s="21" t="n">
        <f aca="false">липень!G119</f>
        <v>63.8</v>
      </c>
      <c r="H119" s="21" t="n">
        <f aca="false">липень!H119</f>
        <v>0</v>
      </c>
      <c r="I119" s="22" t="n">
        <f aca="false">липень!I119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1182.06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липень!B120</f>
        <v>Бухлов С.В.</v>
      </c>
      <c r="C120" s="18" t="str">
        <f aca="false">липень!C120</f>
        <v>40112</v>
      </c>
      <c r="D120" s="19" t="n">
        <f aca="false">липень!P120</f>
        <v>9791.11</v>
      </c>
      <c r="E120" s="19" t="n">
        <f aca="false">липень!Q120</f>
        <v>0</v>
      </c>
      <c r="F120" s="20" t="n">
        <f aca="false">липень!F120</f>
        <v>0</v>
      </c>
      <c r="G120" s="21" t="n">
        <f aca="false">липень!G120</f>
        <v>62.6</v>
      </c>
      <c r="H120" s="21" t="n">
        <f aca="false">липень!H120</f>
        <v>0</v>
      </c>
      <c r="I120" s="22" t="n">
        <f aca="false">липень!I120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10047.77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липень!B121</f>
        <v>Перепеліцина Т.Ю.</v>
      </c>
      <c r="C121" s="18" t="str">
        <f aca="false">липень!C121</f>
        <v>40113</v>
      </c>
      <c r="D121" s="19" t="n">
        <f aca="false">липень!P121</f>
        <v>0</v>
      </c>
      <c r="E121" s="19" t="n">
        <f aca="false">липень!Q121</f>
        <v>72.6399999999999</v>
      </c>
      <c r="F121" s="20" t="n">
        <f aca="false">липень!F121</f>
        <v>0</v>
      </c>
      <c r="G121" s="21" t="n">
        <f aca="false">липень!G121</f>
        <v>34.7</v>
      </c>
      <c r="H121" s="21" t="n">
        <f aca="false">липень!H121</f>
        <v>0</v>
      </c>
      <c r="I121" s="22" t="n">
        <f aca="false">липень!I121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69.6300000000001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липень!B122</f>
        <v>Свєтлова Т.Ю.</v>
      </c>
      <c r="C122" s="18" t="str">
        <f aca="false">липень!C122</f>
        <v>40114</v>
      </c>
      <c r="D122" s="19" t="n">
        <f aca="false">липень!P122</f>
        <v>1428.55</v>
      </c>
      <c r="E122" s="19" t="n">
        <f aca="false">липень!Q122</f>
        <v>0</v>
      </c>
      <c r="F122" s="20" t="n">
        <f aca="false">липень!F122</f>
        <v>0</v>
      </c>
      <c r="G122" s="21" t="n">
        <f aca="false">липень!G122</f>
        <v>49.72</v>
      </c>
      <c r="H122" s="21" t="n">
        <f aca="false">липень!H122</f>
        <v>0</v>
      </c>
      <c r="I122" s="22" t="n">
        <f aca="false">липень!I122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1632.4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липень!B123</f>
        <v>Маркова О.М.</v>
      </c>
      <c r="C123" s="18" t="str">
        <f aca="false">липень!C123</f>
        <v>40115</v>
      </c>
      <c r="D123" s="19" t="n">
        <f aca="false">липень!P123</f>
        <v>4824.38</v>
      </c>
      <c r="E123" s="19" t="n">
        <f aca="false">липень!Q123</f>
        <v>0</v>
      </c>
      <c r="F123" s="20" t="n">
        <f aca="false">липень!F123</f>
        <v>0</v>
      </c>
      <c r="G123" s="21" t="n">
        <f aca="false">липень!G123</f>
        <v>65.1</v>
      </c>
      <c r="H123" s="21" t="n">
        <f aca="false">липень!H123</f>
        <v>0</v>
      </c>
      <c r="I123" s="22" t="n">
        <f aca="false">липень!I123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5091.29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липень!B124</f>
        <v>Ракитська А.М.</v>
      </c>
      <c r="C124" s="18" t="str">
        <f aca="false">липень!C124</f>
        <v>40116</v>
      </c>
      <c r="D124" s="19" t="n">
        <f aca="false">липень!P124</f>
        <v>3239.42</v>
      </c>
      <c r="E124" s="19" t="n">
        <f aca="false">липень!Q124</f>
        <v>0</v>
      </c>
      <c r="F124" s="20" t="n">
        <f aca="false">липень!F124</f>
        <v>0</v>
      </c>
      <c r="G124" s="21" t="n">
        <f aca="false">липень!G124</f>
        <v>62.18</v>
      </c>
      <c r="H124" s="21" t="n">
        <f aca="false">липень!H124</f>
        <v>0</v>
      </c>
      <c r="I124" s="22" t="n">
        <f aca="false">липень!I124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3494.36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липень!B125</f>
        <v>Гусак К.С.</v>
      </c>
      <c r="C125" s="18" t="str">
        <f aca="false">липень!C125</f>
        <v>40117</v>
      </c>
      <c r="D125" s="19" t="n">
        <f aca="false">липень!P125</f>
        <v>2507.61</v>
      </c>
      <c r="E125" s="19" t="n">
        <f aca="false">липень!Q125</f>
        <v>0</v>
      </c>
      <c r="F125" s="20" t="n">
        <f aca="false">липень!F125</f>
        <v>0</v>
      </c>
      <c r="G125" s="21" t="n">
        <f aca="false">липень!G125</f>
        <v>35.1</v>
      </c>
      <c r="H125" s="21" t="n">
        <f aca="false">липень!H125</f>
        <v>0</v>
      </c>
      <c r="I125" s="22" t="n">
        <f aca="false">липень!I125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2651.52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липень!B126</f>
        <v>Пісоченко М.Г.</v>
      </c>
      <c r="C126" s="18" t="str">
        <f aca="false">липень!C126</f>
        <v>40118</v>
      </c>
      <c r="D126" s="19" t="n">
        <f aca="false">липень!P126</f>
        <v>204.18</v>
      </c>
      <c r="E126" s="19" t="n">
        <f aca="false">липень!Q126</f>
        <v>0</v>
      </c>
      <c r="F126" s="20" t="n">
        <f aca="false">липень!F126</f>
        <v>0</v>
      </c>
      <c r="G126" s="21" t="n">
        <f aca="false">липень!G126</f>
        <v>49.8</v>
      </c>
      <c r="H126" s="21" t="n">
        <f aca="false">липень!H126</f>
        <v>0</v>
      </c>
      <c r="I126" s="22" t="n">
        <f aca="false">липень!I126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 t="n">
        <v>204.18</v>
      </c>
      <c r="P126" s="25" t="n">
        <f aca="false">IF(D126=0,IF((N126-E126-O126)&gt;0,(N126-E126-O126),0),IF((D126+N126-O126)&gt;0,(D126+N126-O126),0))</f>
        <v>204.18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липень!B127</f>
        <v>Столяр О.М.</v>
      </c>
      <c r="C127" s="18" t="str">
        <f aca="false">липень!C127</f>
        <v>40119</v>
      </c>
      <c r="D127" s="19" t="n">
        <f aca="false">липень!P127</f>
        <v>8373.56999999999</v>
      </c>
      <c r="E127" s="19" t="n">
        <f aca="false">липень!Q127</f>
        <v>0</v>
      </c>
      <c r="F127" s="20" t="n">
        <f aca="false">липень!F127</f>
        <v>0</v>
      </c>
      <c r="G127" s="21" t="n">
        <f aca="false">липень!G127</f>
        <v>65.3</v>
      </c>
      <c r="H127" s="21" t="n">
        <f aca="false">липень!H127</f>
        <v>0</v>
      </c>
      <c r="I127" s="22" t="n">
        <f aca="false">липень!I127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8641.29999999999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липень!B128</f>
        <v>Рєзніков В.П.</v>
      </c>
      <c r="C128" s="18" t="str">
        <f aca="false">липень!C128</f>
        <v>40120</v>
      </c>
      <c r="D128" s="19" t="n">
        <f aca="false">липень!P128</f>
        <v>242.690000000001</v>
      </c>
      <c r="E128" s="19" t="n">
        <f aca="false">липень!Q128</f>
        <v>0</v>
      </c>
      <c r="F128" s="20" t="n">
        <f aca="false">липень!F128</f>
        <v>0</v>
      </c>
      <c r="G128" s="21" t="n">
        <f aca="false">липень!G128</f>
        <v>62.44</v>
      </c>
      <c r="H128" s="21" t="n">
        <f aca="false">липень!H128</f>
        <v>0</v>
      </c>
      <c r="I128" s="22" t="n">
        <f aca="false">липень!I128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498.690000000001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липень!B129</f>
        <v>Золотоверха Я.І.</v>
      </c>
      <c r="C129" s="18" t="str">
        <f aca="false">липень!C129</f>
        <v>40121</v>
      </c>
      <c r="D129" s="19" t="n">
        <f aca="false">липень!P129</f>
        <v>8.5265128291212E-014</v>
      </c>
      <c r="E129" s="19" t="n">
        <f aca="false">липень!Q129</f>
        <v>0</v>
      </c>
      <c r="F129" s="20" t="n">
        <f aca="false">липень!F129</f>
        <v>0</v>
      </c>
      <c r="G129" s="21" t="n">
        <f aca="false">липень!G129</f>
        <v>35.6</v>
      </c>
      <c r="H129" s="21" t="n">
        <f aca="false">липень!H129</f>
        <v>0</v>
      </c>
      <c r="I129" s="22" t="n">
        <f aca="false">липень!I129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 t="n">
        <v>145.96</v>
      </c>
      <c r="P129" s="25" t="n">
        <f aca="false">IF(D129=0,IF((N129-E129-O129)&gt;0,(N129-E129-O129),0),IF((D129+N129-O129)&gt;0,(D129+N129-O129),0))</f>
        <v>0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липень!B130</f>
        <v>Бурлаков А.В.</v>
      </c>
      <c r="C130" s="18" t="str">
        <f aca="false">липень!C130</f>
        <v>40122</v>
      </c>
      <c r="D130" s="19" t="n">
        <f aca="false">липень!P130</f>
        <v>64.1800000000002</v>
      </c>
      <c r="E130" s="19" t="n">
        <f aca="false">липень!Q130</f>
        <v>0</v>
      </c>
      <c r="F130" s="20" t="n">
        <f aca="false">липень!F130</f>
        <v>0</v>
      </c>
      <c r="G130" s="21" t="n">
        <f aca="false">липень!G130</f>
        <v>49.7</v>
      </c>
      <c r="H130" s="21" t="n">
        <f aca="false">липень!H130</f>
        <v>0</v>
      </c>
      <c r="I130" s="22" t="n">
        <f aca="false">липень!I130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/>
      <c r="P130" s="25" t="n">
        <f aca="false">IF(D130=0,IF((N130-E130-O130)&gt;0,(N130-E130-O130),0),IF((D130+N130-O130)&gt;0,(D130+N130-O130),0))</f>
        <v>267.95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липень!B131</f>
        <v>Сикула О.Ю.</v>
      </c>
      <c r="C131" s="18" t="str">
        <f aca="false">липень!C131</f>
        <v>40123</v>
      </c>
      <c r="D131" s="19" t="n">
        <f aca="false">липень!P131</f>
        <v>4128.02</v>
      </c>
      <c r="E131" s="19" t="n">
        <f aca="false">липень!Q131</f>
        <v>0</v>
      </c>
      <c r="F131" s="20" t="n">
        <f aca="false">липень!F131</f>
        <v>0</v>
      </c>
      <c r="G131" s="21" t="n">
        <f aca="false">липень!G131</f>
        <v>65.15</v>
      </c>
      <c r="H131" s="21" t="n">
        <f aca="false">липень!H131</f>
        <v>0</v>
      </c>
      <c r="I131" s="22" t="n">
        <f aca="false">липень!I131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4395.14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липень!B132</f>
        <v>Арістов О.О.</v>
      </c>
      <c r="C132" s="18" t="str">
        <f aca="false">липень!C132</f>
        <v>40124</v>
      </c>
      <c r="D132" s="19" t="n">
        <f aca="false">липень!P132</f>
        <v>1410.75</v>
      </c>
      <c r="E132" s="19" t="n">
        <f aca="false">липень!Q132</f>
        <v>0</v>
      </c>
      <c r="F132" s="20" t="n">
        <f aca="false">липень!F132</f>
        <v>0</v>
      </c>
      <c r="G132" s="21" t="n">
        <f aca="false">липень!G132</f>
        <v>63</v>
      </c>
      <c r="H132" s="21" t="n">
        <f aca="false">липень!H132</f>
        <v>0</v>
      </c>
      <c r="I132" s="22" t="n">
        <f aca="false">липень!I132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1669.05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липень!B133</f>
        <v>Бондаренко Т.О.</v>
      </c>
      <c r="C133" s="18" t="str">
        <f aca="false">липень!C133</f>
        <v>40125</v>
      </c>
      <c r="D133" s="19" t="n">
        <f aca="false">липень!P133</f>
        <v>2090.21</v>
      </c>
      <c r="E133" s="19" t="n">
        <f aca="false">липень!Q133</f>
        <v>0</v>
      </c>
      <c r="F133" s="20" t="n">
        <f aca="false">липень!F133</f>
        <v>0</v>
      </c>
      <c r="G133" s="21" t="n">
        <f aca="false">липень!G133</f>
        <v>34.7</v>
      </c>
      <c r="H133" s="21" t="n">
        <f aca="false">липень!H133</f>
        <v>0</v>
      </c>
      <c r="I133" s="22" t="n">
        <f aca="false">липень!I133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2232.48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липень!B134</f>
        <v>Гайчев П.В.</v>
      </c>
      <c r="C134" s="18" t="str">
        <f aca="false">липень!C134</f>
        <v>40126</v>
      </c>
      <c r="D134" s="19" t="n">
        <f aca="false">липень!P134</f>
        <v>1811.36</v>
      </c>
      <c r="E134" s="19" t="n">
        <f aca="false">липень!Q134</f>
        <v>0</v>
      </c>
      <c r="F134" s="20" t="n">
        <f aca="false">липень!F134</f>
        <v>0</v>
      </c>
      <c r="G134" s="21" t="n">
        <f aca="false">липень!G134</f>
        <v>49.2</v>
      </c>
      <c r="H134" s="21" t="n">
        <f aca="false">липень!H134</f>
        <v>0</v>
      </c>
      <c r="I134" s="22" t="n">
        <f aca="false">липень!I134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 t="n">
        <v>2000</v>
      </c>
      <c r="P134" s="25" t="n">
        <f aca="false">IF(D134=0,IF((N134-E134-O134)&gt;0,(N134-E134-O134),0),IF((D134+N134-O134)&gt;0,(D134+N134-O134),0))</f>
        <v>13.0800000000008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липень!B135</f>
        <v>Радченко О.С.</v>
      </c>
      <c r="C135" s="18" t="str">
        <f aca="false">липень!C135</f>
        <v>40127</v>
      </c>
      <c r="D135" s="19" t="n">
        <f aca="false">липень!P135</f>
        <v>1064.02</v>
      </c>
      <c r="E135" s="19" t="n">
        <f aca="false">липень!Q135</f>
        <v>0</v>
      </c>
      <c r="F135" s="20" t="n">
        <f aca="false">липень!F135</f>
        <v>0</v>
      </c>
      <c r="G135" s="21" t="n">
        <f aca="false">липень!G135</f>
        <v>65.15</v>
      </c>
      <c r="H135" s="21" t="n">
        <f aca="false">липень!H135</f>
        <v>0</v>
      </c>
      <c r="I135" s="22" t="n">
        <f aca="false">липень!I135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 t="n">
        <v>802</v>
      </c>
      <c r="P135" s="25" t="n">
        <f aca="false">IF(D135=0,IF((N135-E135-O135)&gt;0,(N135-E135-O135),0),IF((D135+N135-O135)&gt;0,(D135+N135-O135),0))</f>
        <v>529.139999999999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липень!B136</f>
        <v>Шилін С.М.</v>
      </c>
      <c r="C136" s="18" t="str">
        <f aca="false">липень!C136</f>
        <v>40128</v>
      </c>
      <c r="D136" s="19" t="n">
        <f aca="false">липень!P136</f>
        <v>3064.59</v>
      </c>
      <c r="E136" s="19" t="n">
        <f aca="false">липень!Q136</f>
        <v>0</v>
      </c>
      <c r="F136" s="20" t="n">
        <f aca="false">липень!F136</f>
        <v>0</v>
      </c>
      <c r="G136" s="21" t="n">
        <f aca="false">липень!G136</f>
        <v>62.3</v>
      </c>
      <c r="H136" s="21" t="n">
        <f aca="false">липень!H136</f>
        <v>0</v>
      </c>
      <c r="I136" s="22" t="n">
        <f aca="false">липень!I136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3320.02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липень!B137</f>
        <v>Петрулевич В.М.</v>
      </c>
      <c r="C137" s="18" t="str">
        <f aca="false">липень!C137</f>
        <v>40129</v>
      </c>
      <c r="D137" s="19" t="n">
        <f aca="false">липень!P137</f>
        <v>2126.37</v>
      </c>
      <c r="E137" s="19" t="n">
        <f aca="false">липень!Q137</f>
        <v>0</v>
      </c>
      <c r="F137" s="20" t="n">
        <f aca="false">липень!F137</f>
        <v>0</v>
      </c>
      <c r="G137" s="21" t="n">
        <f aca="false">липень!G137</f>
        <v>35.3</v>
      </c>
      <c r="H137" s="21" t="n">
        <f aca="false">липень!H137</f>
        <v>0</v>
      </c>
      <c r="I137" s="22" t="n">
        <f aca="false">липень!I137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2271.1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липень!B138</f>
        <v>Кривошеєва Л.М.</v>
      </c>
      <c r="C138" s="18" t="str">
        <f aca="false">липень!C138</f>
        <v>40130</v>
      </c>
      <c r="D138" s="19" t="n">
        <f aca="false">липень!P138</f>
        <v>2401.12</v>
      </c>
      <c r="E138" s="19" t="n">
        <f aca="false">липень!Q138</f>
        <v>0</v>
      </c>
      <c r="F138" s="20" t="n">
        <f aca="false">липень!F138</f>
        <v>0</v>
      </c>
      <c r="G138" s="21" t="n">
        <f aca="false">липень!G138</f>
        <v>49.78</v>
      </c>
      <c r="H138" s="21" t="n">
        <f aca="false">липень!H138</f>
        <v>0</v>
      </c>
      <c r="I138" s="22" t="n">
        <f aca="false">липень!I138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2605.22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липень!B139</f>
        <v>Харченко І.С.</v>
      </c>
      <c r="C139" s="18" t="str">
        <f aca="false">липень!C139</f>
        <v>40131</v>
      </c>
      <c r="D139" s="19" t="n">
        <f aca="false">липень!P139</f>
        <v>800.879999999998</v>
      </c>
      <c r="E139" s="19" t="n">
        <f aca="false">липень!Q139</f>
        <v>0</v>
      </c>
      <c r="F139" s="20" t="n">
        <f aca="false">липень!F139</f>
        <v>0</v>
      </c>
      <c r="G139" s="21" t="n">
        <f aca="false">липень!G139</f>
        <v>65.93</v>
      </c>
      <c r="H139" s="21" t="n">
        <f aca="false">липень!H139</f>
        <v>0</v>
      </c>
      <c r="I139" s="22" t="n">
        <f aca="false">липень!I139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 t="n">
        <v>300</v>
      </c>
      <c r="P139" s="25" t="n">
        <f aca="false">IF(D139=0,IF((N139-E139-O139)&gt;0,(N139-E139-O139),0),IF((D139+N139-O139)&gt;0,(D139+N139-O139),0))</f>
        <v>771.189999999998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липень!B140</f>
        <v>Куриленко І.О.</v>
      </c>
      <c r="C140" s="18" t="str">
        <f aca="false">липень!C140</f>
        <v>40132</v>
      </c>
      <c r="D140" s="19" t="n">
        <f aca="false">липень!P140</f>
        <v>4856.21</v>
      </c>
      <c r="E140" s="19" t="n">
        <f aca="false">липень!Q140</f>
        <v>0</v>
      </c>
      <c r="F140" s="20" t="n">
        <f aca="false">липень!F140</f>
        <v>0</v>
      </c>
      <c r="G140" s="21" t="n">
        <f aca="false">липень!G140</f>
        <v>62.36</v>
      </c>
      <c r="H140" s="21" t="n">
        <f aca="false">липень!H140</f>
        <v>0</v>
      </c>
      <c r="I140" s="22" t="n">
        <f aca="false">липень!I140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5111.89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липень!B141</f>
        <v>Єлсукова В.М.</v>
      </c>
      <c r="C141" s="18" t="str">
        <f aca="false">липень!C141</f>
        <v>40133</v>
      </c>
      <c r="D141" s="19" t="n">
        <f aca="false">липень!P141</f>
        <v>2734.29</v>
      </c>
      <c r="E141" s="19" t="n">
        <f aca="false">липень!Q141</f>
        <v>0</v>
      </c>
      <c r="F141" s="20" t="n">
        <f aca="false">липень!F141</f>
        <v>0</v>
      </c>
      <c r="G141" s="21" t="n">
        <f aca="false">липень!G141</f>
        <v>35.1</v>
      </c>
      <c r="H141" s="21" t="n">
        <f aca="false">липень!H141</f>
        <v>0</v>
      </c>
      <c r="I141" s="22" t="n">
        <f aca="false">липень!I141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2878.2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липень!B142</f>
        <v>Пімонова М.В.</v>
      </c>
      <c r="C142" s="18" t="str">
        <f aca="false">липень!C142</f>
        <v>40134</v>
      </c>
      <c r="D142" s="19" t="n">
        <f aca="false">липень!P142</f>
        <v>5392.44</v>
      </c>
      <c r="E142" s="19" t="n">
        <f aca="false">липень!Q142</f>
        <v>0</v>
      </c>
      <c r="F142" s="20" t="n">
        <f aca="false">липень!F142</f>
        <v>0</v>
      </c>
      <c r="G142" s="21" t="n">
        <f aca="false">липень!G142</f>
        <v>49.47</v>
      </c>
      <c r="H142" s="21" t="n">
        <f aca="false">липень!H142</f>
        <v>0</v>
      </c>
      <c r="I142" s="22" t="n">
        <f aca="false">липень!I142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5595.27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липень!B143</f>
        <v>Осипенко В.В.</v>
      </c>
      <c r="C143" s="18" t="str">
        <f aca="false">липень!C143</f>
        <v>40135</v>
      </c>
      <c r="D143" s="19" t="n">
        <f aca="false">липень!P143</f>
        <v>2959.06</v>
      </c>
      <c r="E143" s="19" t="n">
        <f aca="false">липень!Q143</f>
        <v>0</v>
      </c>
      <c r="F143" s="20" t="n">
        <f aca="false">липень!F143</f>
        <v>0</v>
      </c>
      <c r="G143" s="21" t="n">
        <f aca="false">липень!G143</f>
        <v>65.65</v>
      </c>
      <c r="H143" s="21" t="n">
        <f aca="false">липень!H143</f>
        <v>0</v>
      </c>
      <c r="I143" s="22" t="n">
        <f aca="false">липень!I143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3228.23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липень!B144</f>
        <v>Друзь О.О.</v>
      </c>
      <c r="C144" s="18" t="str">
        <f aca="false">липень!C144</f>
        <v>40136</v>
      </c>
      <c r="D144" s="19" t="n">
        <f aca="false">липень!P144</f>
        <v>3563.86</v>
      </c>
      <c r="E144" s="19" t="n">
        <f aca="false">липень!Q144</f>
        <v>0</v>
      </c>
      <c r="F144" s="20" t="n">
        <f aca="false">липень!F144</f>
        <v>0</v>
      </c>
      <c r="G144" s="21" t="n">
        <f aca="false">липень!G144</f>
        <v>62.1</v>
      </c>
      <c r="H144" s="21" t="n">
        <f aca="false">липень!H144</f>
        <v>0</v>
      </c>
      <c r="I144" s="22" t="n">
        <f aca="false">липень!I144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3818.47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липень!B145</f>
        <v>Вовченко Р.І.</v>
      </c>
      <c r="C145" s="18" t="str">
        <f aca="false">липень!C145</f>
        <v>40137</v>
      </c>
      <c r="D145" s="19" t="n">
        <f aca="false">липень!P145</f>
        <v>353.439999999999</v>
      </c>
      <c r="E145" s="19" t="n">
        <f aca="false">липень!Q145</f>
        <v>0</v>
      </c>
      <c r="F145" s="20" t="n">
        <f aca="false">липень!F145</f>
        <v>0</v>
      </c>
      <c r="G145" s="21" t="n">
        <f aca="false">липень!G145</f>
        <v>35.2</v>
      </c>
      <c r="H145" s="21" t="n">
        <f aca="false">липень!H145</f>
        <v>0</v>
      </c>
      <c r="I145" s="22" t="n">
        <f aca="false">липень!I145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497.759999999999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липень!B146</f>
        <v>Плакун Д.В.</v>
      </c>
      <c r="C146" s="18" t="str">
        <f aca="false">липень!C146</f>
        <v>40138</v>
      </c>
      <c r="D146" s="19" t="n">
        <f aca="false">липень!P146</f>
        <v>1431.81</v>
      </c>
      <c r="E146" s="19" t="n">
        <f aca="false">липень!Q146</f>
        <v>0</v>
      </c>
      <c r="F146" s="20" t="n">
        <f aca="false">липень!F146</f>
        <v>0</v>
      </c>
      <c r="G146" s="21" t="n">
        <f aca="false">липень!G146</f>
        <v>49.9</v>
      </c>
      <c r="H146" s="21" t="n">
        <f aca="false">липень!H146</f>
        <v>0</v>
      </c>
      <c r="I146" s="22" t="n">
        <f aca="false">липень!I146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1636.4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липень!B147</f>
        <v>Гаврилова Ю.О.</v>
      </c>
      <c r="C147" s="18" t="str">
        <f aca="false">липень!C147</f>
        <v>40139</v>
      </c>
      <c r="D147" s="19" t="n">
        <f aca="false">липень!P147</f>
        <v>612.12</v>
      </c>
      <c r="E147" s="19" t="n">
        <f aca="false">липень!Q147</f>
        <v>0</v>
      </c>
      <c r="F147" s="20" t="n">
        <f aca="false">липень!F147</f>
        <v>0</v>
      </c>
      <c r="G147" s="21" t="n">
        <f aca="false">липень!G147</f>
        <v>65.8</v>
      </c>
      <c r="H147" s="21" t="n">
        <f aca="false">липень!H147</f>
        <v>0</v>
      </c>
      <c r="I147" s="22" t="n">
        <f aca="false">липень!I147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881.9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липень!B148</f>
        <v>Корзун Г.М.</v>
      </c>
      <c r="C148" s="18" t="str">
        <f aca="false">липень!C148</f>
        <v>40140</v>
      </c>
      <c r="D148" s="19" t="n">
        <f aca="false">липень!P148</f>
        <v>872.359999999998</v>
      </c>
      <c r="E148" s="19" t="n">
        <f aca="false">липень!Q148</f>
        <v>0</v>
      </c>
      <c r="F148" s="20" t="n">
        <f aca="false">липень!F148</f>
        <v>0</v>
      </c>
      <c r="G148" s="21" t="n">
        <f aca="false">липень!G148</f>
        <v>63.2</v>
      </c>
      <c r="H148" s="21" t="n">
        <f aca="false">липень!H148</f>
        <v>0</v>
      </c>
      <c r="I148" s="22" t="n">
        <f aca="false">липень!I148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1131.48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липень!B149</f>
        <v>Бондаренко Л.Л.</v>
      </c>
      <c r="C149" s="18" t="str">
        <f aca="false">липень!C149</f>
        <v>40141</v>
      </c>
      <c r="D149" s="19" t="n">
        <f aca="false">липень!P149</f>
        <v>286.38</v>
      </c>
      <c r="E149" s="19" t="n">
        <f aca="false">липень!Q149</f>
        <v>0</v>
      </c>
      <c r="F149" s="20" t="n">
        <f aca="false">липень!F149</f>
        <v>0</v>
      </c>
      <c r="G149" s="21" t="n">
        <f aca="false">липень!G149</f>
        <v>34.9</v>
      </c>
      <c r="H149" s="21" t="n">
        <f aca="false">липень!H149</f>
        <v>0</v>
      </c>
      <c r="I149" s="22" t="n">
        <f aca="false">липень!I149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 t="n">
        <v>430</v>
      </c>
      <c r="P149" s="25" t="n">
        <f aca="false">IF(D149=0,IF((N149-E149-O149)&gt;0,(N149-E149-O149),0),IF((D149+N149-O149)&gt;0,(D149+N149-O149),0))</f>
        <v>0</v>
      </c>
      <c r="Q149" s="25" t="n">
        <f aca="false">IF(E149=0,IF((D149+N149-O149)&lt;0,ABS(D149+N149-O149),0),IF((N149-E149-O149)&lt;0,ABS(N149-E149-O149),0))</f>
        <v>0.529999999999745</v>
      </c>
    </row>
    <row r="150" customFormat="false" ht="15" hidden="false" customHeight="false" outlineLevel="0" collapsed="false">
      <c r="A150" s="17" t="s">
        <v>446</v>
      </c>
      <c r="B150" s="18" t="str">
        <f aca="false">липень!B150</f>
        <v>Капелюш Н.А.</v>
      </c>
      <c r="C150" s="18" t="str">
        <f aca="false">липень!C150</f>
        <v>40142</v>
      </c>
      <c r="D150" s="19" t="n">
        <f aca="false">липень!P150</f>
        <v>3512.88</v>
      </c>
      <c r="E150" s="19" t="n">
        <f aca="false">липень!Q150</f>
        <v>0</v>
      </c>
      <c r="F150" s="20" t="n">
        <f aca="false">липень!F150</f>
        <v>0</v>
      </c>
      <c r="G150" s="21" t="n">
        <f aca="false">липень!G150</f>
        <v>50.4</v>
      </c>
      <c r="H150" s="21" t="n">
        <f aca="false">липень!H150</f>
        <v>0</v>
      </c>
      <c r="I150" s="22" t="n">
        <f aca="false">липень!I150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3719.52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липень!B151</f>
        <v>Кістрінь Л.П.</v>
      </c>
      <c r="C151" s="18" t="str">
        <f aca="false">липень!C151</f>
        <v>40143</v>
      </c>
      <c r="D151" s="19" t="n">
        <f aca="false">липень!P151</f>
        <v>5866.49</v>
      </c>
      <c r="E151" s="19" t="n">
        <f aca="false">липень!Q151</f>
        <v>0</v>
      </c>
      <c r="F151" s="20" t="n">
        <f aca="false">липень!F151</f>
        <v>0</v>
      </c>
      <c r="G151" s="21" t="n">
        <f aca="false">липень!G151</f>
        <v>65.2</v>
      </c>
      <c r="H151" s="21" t="n">
        <f aca="false">липень!H151</f>
        <v>0</v>
      </c>
      <c r="I151" s="22" t="n">
        <f aca="false">липень!I151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6133.81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липень!B152</f>
        <v>Козьміна І.В.</v>
      </c>
      <c r="C152" s="18" t="str">
        <f aca="false">липень!C152</f>
        <v>50144</v>
      </c>
      <c r="D152" s="19" t="n">
        <f aca="false">липень!P152</f>
        <v>529.48</v>
      </c>
      <c r="E152" s="19" t="n">
        <f aca="false">липень!Q152</f>
        <v>0</v>
      </c>
      <c r="F152" s="20" t="n">
        <f aca="false">липень!F152</f>
        <v>0</v>
      </c>
      <c r="G152" s="21" t="n">
        <f aca="false">липень!G152</f>
        <v>64.57</v>
      </c>
      <c r="H152" s="21" t="n">
        <f aca="false">липень!H152</f>
        <v>0</v>
      </c>
      <c r="I152" s="22" t="n">
        <f aca="false">липень!I152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794.22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липень!B153</f>
        <v>Чала С.С.</v>
      </c>
      <c r="C153" s="18" t="str">
        <f aca="false">липень!C153</f>
        <v>50145</v>
      </c>
      <c r="D153" s="19" t="n">
        <f aca="false">липень!P153</f>
        <v>5249.78</v>
      </c>
      <c r="E153" s="19" t="n">
        <f aca="false">липень!Q153</f>
        <v>0</v>
      </c>
      <c r="F153" s="20" t="n">
        <f aca="false">липень!F153</f>
        <v>0</v>
      </c>
      <c r="G153" s="21" t="n">
        <f aca="false">липень!G153</f>
        <v>48.7</v>
      </c>
      <c r="H153" s="21" t="n">
        <f aca="false">липень!H153</f>
        <v>0</v>
      </c>
      <c r="I153" s="22" t="n">
        <f aca="false">липень!I153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5449.45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липень!B154</f>
        <v>Свєтайлова І.М.</v>
      </c>
      <c r="C154" s="18" t="str">
        <f aca="false">липень!C154</f>
        <v>50146</v>
      </c>
      <c r="D154" s="19" t="n">
        <f aca="false">липень!P154</f>
        <v>2590.38</v>
      </c>
      <c r="E154" s="19" t="n">
        <f aca="false">липень!Q154</f>
        <v>0</v>
      </c>
      <c r="F154" s="20" t="n">
        <f aca="false">липень!F154</f>
        <v>0</v>
      </c>
      <c r="G154" s="21" t="n">
        <f aca="false">липень!G154</f>
        <v>35.1</v>
      </c>
      <c r="H154" s="21" t="n">
        <f aca="false">липень!H154</f>
        <v>0</v>
      </c>
      <c r="I154" s="22" t="n">
        <f aca="false">липень!I154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2734.29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липень!B155</f>
        <v>Неделько Д.І.</v>
      </c>
      <c r="C155" s="18" t="str">
        <f aca="false">липень!C155</f>
        <v>50147</v>
      </c>
      <c r="D155" s="19" t="n">
        <f aca="false">липень!P155</f>
        <v>219.64</v>
      </c>
      <c r="E155" s="19" t="n">
        <f aca="false">липень!Q155</f>
        <v>0</v>
      </c>
      <c r="F155" s="20" t="n">
        <f aca="false">липень!F155</f>
        <v>0</v>
      </c>
      <c r="G155" s="21" t="n">
        <f aca="false">липень!G155</f>
        <v>53.57</v>
      </c>
      <c r="H155" s="21" t="n">
        <f aca="false">липень!H155</f>
        <v>0</v>
      </c>
      <c r="I155" s="22" t="n">
        <f aca="false">липень!I155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439.28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липень!B156</f>
        <v>Самойленко Л.К.</v>
      </c>
      <c r="C156" s="18" t="str">
        <f aca="false">липень!C156</f>
        <v>50148</v>
      </c>
      <c r="D156" s="19" t="n">
        <f aca="false">липень!P156</f>
        <v>0</v>
      </c>
      <c r="E156" s="19" t="n">
        <f aca="false">липень!Q156</f>
        <v>989.51</v>
      </c>
      <c r="F156" s="20" t="n">
        <f aca="false">липень!F156</f>
        <v>0</v>
      </c>
      <c r="G156" s="21" t="n">
        <f aca="false">липень!G156</f>
        <v>65.7</v>
      </c>
      <c r="H156" s="21" t="n">
        <f aca="false">липень!H156</f>
        <v>0</v>
      </c>
      <c r="I156" s="22" t="n">
        <f aca="false">липень!I156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 t="n">
        <v>306.02</v>
      </c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1026.16</v>
      </c>
    </row>
    <row r="157" customFormat="false" ht="15" hidden="false" customHeight="false" outlineLevel="0" collapsed="false">
      <c r="A157" s="17" t="s">
        <v>467</v>
      </c>
      <c r="B157" s="18" t="str">
        <f aca="false">липень!B157</f>
        <v>Павлов Ю.В.</v>
      </c>
      <c r="C157" s="18" t="str">
        <f aca="false">липень!C157</f>
        <v>50149</v>
      </c>
      <c r="D157" s="19" t="n">
        <f aca="false">липень!P157</f>
        <v>2978.48</v>
      </c>
      <c r="E157" s="19" t="n">
        <f aca="false">липень!Q157</f>
        <v>0</v>
      </c>
      <c r="F157" s="20" t="n">
        <f aca="false">липень!F157</f>
        <v>0</v>
      </c>
      <c r="G157" s="21" t="n">
        <f aca="false">липень!G157</f>
        <v>49.78</v>
      </c>
      <c r="H157" s="21" t="n">
        <f aca="false">липень!H157</f>
        <v>0</v>
      </c>
      <c r="I157" s="22" t="n">
        <f aca="false">липень!I157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3182.58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липень!B158</f>
        <v>Коваленко Т.М.</v>
      </c>
      <c r="C158" s="18" t="str">
        <f aca="false">липень!C158</f>
        <v>50150</v>
      </c>
      <c r="D158" s="19" t="n">
        <f aca="false">липень!P158</f>
        <v>2726.5</v>
      </c>
      <c r="E158" s="19" t="n">
        <f aca="false">липень!Q158</f>
        <v>0</v>
      </c>
      <c r="F158" s="20" t="n">
        <f aca="false">липень!F158</f>
        <v>0</v>
      </c>
      <c r="G158" s="21" t="n">
        <f aca="false">липень!G158</f>
        <v>35</v>
      </c>
      <c r="H158" s="21" t="n">
        <f aca="false">липень!H158</f>
        <v>0</v>
      </c>
      <c r="I158" s="22" t="n">
        <f aca="false">липень!I158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 t="n">
        <v>2726.5</v>
      </c>
      <c r="P158" s="25" t="n">
        <f aca="false">IF(D158=0,IF((N158-E158-O158)&gt;0,(N158-E158-O158),0),IF((D158+N158-O158)&gt;0,(D158+N158-O158),0))</f>
        <v>143.5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липень!B159</f>
        <v>Рощенко Л.Б.</v>
      </c>
      <c r="C159" s="18" t="str">
        <f aca="false">липень!C159</f>
        <v>50151</v>
      </c>
      <c r="D159" s="19" t="n">
        <f aca="false">липень!P159</f>
        <v>2513.6</v>
      </c>
      <c r="E159" s="19" t="n">
        <f aca="false">липень!Q159</f>
        <v>0</v>
      </c>
      <c r="F159" s="20" t="n">
        <f aca="false">липень!F159</f>
        <v>0</v>
      </c>
      <c r="G159" s="21" t="n">
        <f aca="false">липень!G159</f>
        <v>62.08</v>
      </c>
      <c r="H159" s="21" t="n">
        <f aca="false">липень!H159</f>
        <v>0</v>
      </c>
      <c r="I159" s="22" t="n">
        <f aca="false">липень!I159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2768.13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липень!B160</f>
        <v>Галушко С.Т.</v>
      </c>
      <c r="C160" s="18" t="str">
        <f aca="false">липень!C160</f>
        <v>50152</v>
      </c>
      <c r="D160" s="19" t="n">
        <f aca="false">липень!P160</f>
        <v>0</v>
      </c>
      <c r="E160" s="19" t="n">
        <f aca="false">липень!Q160</f>
        <v>2.27373675443232E-013</v>
      </c>
      <c r="F160" s="20" t="n">
        <f aca="false">липень!F160</f>
        <v>0</v>
      </c>
      <c r="G160" s="21" t="n">
        <f aca="false">липень!G160</f>
        <v>65.86</v>
      </c>
      <c r="H160" s="21" t="n">
        <f aca="false">липень!H160</f>
        <v>0</v>
      </c>
      <c r="I160" s="22" t="n">
        <f aca="false">липень!I160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/>
      <c r="P160" s="25" t="n">
        <f aca="false">IF(D160=0,IF((N160-E160-O160)&gt;0,(N160-E160-O160),0),IF((D160+N160-O160)&gt;0,(D160+N160-O160),0))</f>
        <v>270.03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липень!B161</f>
        <v>Наумова Л.Я.</v>
      </c>
      <c r="C161" s="18" t="str">
        <f aca="false">липень!C161</f>
        <v>50153</v>
      </c>
      <c r="D161" s="19" t="n">
        <f aca="false">липень!P161</f>
        <v>0</v>
      </c>
      <c r="E161" s="19" t="n">
        <f aca="false">липень!Q161</f>
        <v>64.7999999999988</v>
      </c>
      <c r="F161" s="20" t="n">
        <f aca="false">липень!F161</f>
        <v>0</v>
      </c>
      <c r="G161" s="21" t="n">
        <f aca="false">липень!G161</f>
        <v>49.95</v>
      </c>
      <c r="H161" s="21" t="n">
        <f aca="false">липень!H161</f>
        <v>0</v>
      </c>
      <c r="I161" s="22" t="n">
        <f aca="false">липень!I161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140.000000000001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липень!B162</f>
        <v>Грєк В.С.</v>
      </c>
      <c r="C162" s="18" t="str">
        <f aca="false">липень!C162</f>
        <v>50154</v>
      </c>
      <c r="D162" s="19" t="n">
        <f aca="false">липень!P162</f>
        <v>828.39</v>
      </c>
      <c r="E162" s="19" t="n">
        <f aca="false">липень!Q162</f>
        <v>0</v>
      </c>
      <c r="F162" s="20" t="n">
        <f aca="false">липень!F162</f>
        <v>0</v>
      </c>
      <c r="G162" s="21" t="n">
        <f aca="false">липень!G162</f>
        <v>33.9</v>
      </c>
      <c r="H162" s="21" t="n">
        <f aca="false">липень!H162</f>
        <v>0</v>
      </c>
      <c r="I162" s="22" t="n">
        <f aca="false">липень!I162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967.38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липень!B163</f>
        <v>Пермінов О.А.</v>
      </c>
      <c r="C163" s="18" t="str">
        <f aca="false">липень!C163</f>
        <v>50155</v>
      </c>
      <c r="D163" s="19" t="n">
        <f aca="false">липень!P163</f>
        <v>996.760000000001</v>
      </c>
      <c r="E163" s="19" t="n">
        <f aca="false">липень!Q163</f>
        <v>0</v>
      </c>
      <c r="F163" s="20" t="n">
        <f aca="false">липень!F163</f>
        <v>0</v>
      </c>
      <c r="G163" s="21" t="n">
        <f aca="false">липень!G163</f>
        <v>62.43</v>
      </c>
      <c r="H163" s="21" t="n">
        <f aca="false">липень!H163</f>
        <v>0</v>
      </c>
      <c r="I163" s="22" t="n">
        <f aca="false">липень!I163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1252.72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липень!B164</f>
        <v>Рябчук Л.П.</v>
      </c>
      <c r="C164" s="18" t="str">
        <f aca="false">липень!C164</f>
        <v>50156</v>
      </c>
      <c r="D164" s="19" t="n">
        <f aca="false">липень!P164</f>
        <v>2445.12</v>
      </c>
      <c r="E164" s="19" t="n">
        <f aca="false">липень!Q164</f>
        <v>0</v>
      </c>
      <c r="F164" s="20" t="n">
        <f aca="false">липень!F164</f>
        <v>0</v>
      </c>
      <c r="G164" s="21" t="n">
        <f aca="false">липень!G164</f>
        <v>64.8</v>
      </c>
      <c r="H164" s="21" t="n">
        <f aca="false">липень!H164</f>
        <v>0</v>
      </c>
      <c r="I164" s="22" t="n">
        <f aca="false">липень!I164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2710.8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липень!B165</f>
        <v>Копасова Л.Б.</v>
      </c>
      <c r="C165" s="18" t="str">
        <f aca="false">липень!C165</f>
        <v>50157</v>
      </c>
      <c r="D165" s="19" t="n">
        <f aca="false">липень!P165</f>
        <v>1829.38</v>
      </c>
      <c r="E165" s="19" t="n">
        <f aca="false">липень!Q165</f>
        <v>0</v>
      </c>
      <c r="F165" s="20" t="n">
        <f aca="false">липень!F165</f>
        <v>0</v>
      </c>
      <c r="G165" s="21" t="n">
        <f aca="false">липень!G165</f>
        <v>49.4</v>
      </c>
      <c r="H165" s="21" t="n">
        <f aca="false">липень!H165</f>
        <v>0</v>
      </c>
      <c r="I165" s="22" t="n">
        <f aca="false">липень!I165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2031.92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липень!B166</f>
        <v>Киричинська Г.Я.</v>
      </c>
      <c r="C166" s="18" t="str">
        <f aca="false">липень!C166</f>
        <v>50158</v>
      </c>
      <c r="D166" s="19" t="n">
        <f aca="false">липень!P166</f>
        <v>1451.76</v>
      </c>
      <c r="E166" s="19" t="n">
        <f aca="false">липень!Q166</f>
        <v>0</v>
      </c>
      <c r="F166" s="20" t="n">
        <f aca="false">липень!F166</f>
        <v>0</v>
      </c>
      <c r="G166" s="21" t="n">
        <f aca="false">липень!G166</f>
        <v>35.1</v>
      </c>
      <c r="H166" s="21" t="n">
        <f aca="false">липень!H166</f>
        <v>0</v>
      </c>
      <c r="I166" s="22" t="n">
        <f aca="false">липень!I166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1595.67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липень!B167</f>
        <v>Бутрій К.В.</v>
      </c>
      <c r="C167" s="18" t="str">
        <f aca="false">липень!C167</f>
        <v>50159</v>
      </c>
      <c r="D167" s="19" t="n">
        <f aca="false">липень!P167</f>
        <v>2956.45</v>
      </c>
      <c r="E167" s="19" t="n">
        <f aca="false">липень!Q167</f>
        <v>0</v>
      </c>
      <c r="F167" s="20" t="n">
        <f aca="false">липень!F167</f>
        <v>0</v>
      </c>
      <c r="G167" s="21" t="n">
        <f aca="false">липень!G167</f>
        <v>62.4</v>
      </c>
      <c r="H167" s="21" t="n">
        <f aca="false">липень!H167</f>
        <v>0</v>
      </c>
      <c r="I167" s="22" t="n">
        <f aca="false">липень!I167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 t="n">
        <v>500</v>
      </c>
      <c r="P167" s="25" t="n">
        <f aca="false">IF(D167=0,IF((N167-E167-O167)&gt;0,(N167-E167-O167),0),IF((D167+N167-O167)&gt;0,(D167+N167-O167),0))</f>
        <v>2712.29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липень!B168</f>
        <v>Кузьома Г.І.</v>
      </c>
      <c r="C168" s="18" t="str">
        <f aca="false">липень!C168</f>
        <v>50160</v>
      </c>
      <c r="D168" s="19" t="n">
        <f aca="false">липень!P168</f>
        <v>428.13</v>
      </c>
      <c r="E168" s="19" t="n">
        <f aca="false">липень!Q168</f>
        <v>0</v>
      </c>
      <c r="F168" s="20" t="n">
        <f aca="false">липень!F168</f>
        <v>0</v>
      </c>
      <c r="G168" s="21" t="n">
        <f aca="false">липень!G168</f>
        <v>65.5</v>
      </c>
      <c r="H168" s="21" t="n">
        <f aca="false">липень!H168</f>
        <v>0</v>
      </c>
      <c r="I168" s="22" t="n">
        <f aca="false">липень!I168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696.680000000001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липень!B169</f>
        <v>Павленко В.М.</v>
      </c>
      <c r="C169" s="18" t="str">
        <f aca="false">липень!C169</f>
        <v>50161</v>
      </c>
      <c r="D169" s="19" t="n">
        <f aca="false">липень!P169</f>
        <v>3890.25</v>
      </c>
      <c r="E169" s="19" t="n">
        <f aca="false">липень!Q169</f>
        <v>0</v>
      </c>
      <c r="F169" s="20" t="n">
        <f aca="false">липень!F169</f>
        <v>0</v>
      </c>
      <c r="G169" s="21" t="n">
        <f aca="false">липень!G169</f>
        <v>49.94</v>
      </c>
      <c r="H169" s="21" t="n">
        <f aca="false">липень!H169</f>
        <v>0</v>
      </c>
      <c r="I169" s="22" t="n">
        <f aca="false">липень!I169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4095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липень!B170</f>
        <v>Качуровська С.А.</v>
      </c>
      <c r="C170" s="18" t="str">
        <f aca="false">липень!C170</f>
        <v>50162</v>
      </c>
      <c r="D170" s="19" t="n">
        <f aca="false">липень!P170</f>
        <v>119.16</v>
      </c>
      <c r="E170" s="19" t="n">
        <f aca="false">липень!Q170</f>
        <v>0</v>
      </c>
      <c r="F170" s="20" t="n">
        <f aca="false">липень!F170</f>
        <v>0</v>
      </c>
      <c r="G170" s="21" t="n">
        <f aca="false">липень!G170</f>
        <v>35</v>
      </c>
      <c r="H170" s="21" t="n">
        <f aca="false">липень!H170</f>
        <v>0</v>
      </c>
      <c r="I170" s="22" t="n">
        <f aca="false">липень!I170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 t="n">
        <v>150</v>
      </c>
      <c r="P170" s="25" t="n">
        <f aca="false">IF(D170=0,IF((N170-E170-O170)&gt;0,(N170-E170-O170),0),IF((D170+N170-O170)&gt;0,(D170+N170-O170),0))</f>
        <v>112.66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липень!B171</f>
        <v>Білецький Б.Г.</v>
      </c>
      <c r="C171" s="18" t="str">
        <f aca="false">липень!C171</f>
        <v>50163</v>
      </c>
      <c r="D171" s="19" t="n">
        <f aca="false">липень!P171</f>
        <v>255.68</v>
      </c>
      <c r="E171" s="19" t="n">
        <f aca="false">липень!Q171</f>
        <v>0</v>
      </c>
      <c r="F171" s="20" t="n">
        <f aca="false">липень!F171</f>
        <v>0</v>
      </c>
      <c r="G171" s="21" t="n">
        <f aca="false">липень!G171</f>
        <v>62.36</v>
      </c>
      <c r="H171" s="21" t="n">
        <f aca="false">липень!H171</f>
        <v>0</v>
      </c>
      <c r="I171" s="22" t="n">
        <f aca="false">липень!I171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/>
      <c r="P171" s="25" t="n">
        <f aca="false">IF(D171=0,IF((N171-E171-O171)&gt;0,(N171-E171-O171),0),IF((D171+N171-O171)&gt;0,(D171+N171-O171),0))</f>
        <v>511.36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липень!B172</f>
        <v>Кузнєцова В.В.</v>
      </c>
      <c r="C172" s="18" t="str">
        <f aca="false">липень!C172</f>
        <v>50164</v>
      </c>
      <c r="D172" s="19" t="n">
        <f aca="false">липень!P172</f>
        <v>2421.8</v>
      </c>
      <c r="E172" s="19" t="n">
        <f aca="false">липень!Q172</f>
        <v>0</v>
      </c>
      <c r="F172" s="20" t="n">
        <f aca="false">липень!F172</f>
        <v>0</v>
      </c>
      <c r="G172" s="21" t="n">
        <f aca="false">липень!G172</f>
        <v>65.63</v>
      </c>
      <c r="H172" s="21" t="n">
        <f aca="false">липень!H172</f>
        <v>0</v>
      </c>
      <c r="I172" s="22" t="n">
        <f aca="false">липень!I172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2690.88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липень!B173</f>
        <v>Сидоренко Б.Й.</v>
      </c>
      <c r="C173" s="18" t="str">
        <f aca="false">липень!C173</f>
        <v>50165</v>
      </c>
      <c r="D173" s="19" t="n">
        <f aca="false">липень!P173</f>
        <v>10256.93</v>
      </c>
      <c r="E173" s="19" t="n">
        <f aca="false">липень!Q173</f>
        <v>0</v>
      </c>
      <c r="F173" s="20" t="n">
        <f aca="false">липень!F173</f>
        <v>0</v>
      </c>
      <c r="G173" s="21" t="n">
        <f aca="false">липень!G173</f>
        <v>49.8</v>
      </c>
      <c r="H173" s="21" t="n">
        <f aca="false">липень!H173</f>
        <v>0</v>
      </c>
      <c r="I173" s="22" t="n">
        <f aca="false">липень!I173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10461.11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липень!B174</f>
        <v>Кузнєцова О.А.</v>
      </c>
      <c r="C174" s="18" t="str">
        <f aca="false">липень!C174</f>
        <v>50166</v>
      </c>
      <c r="D174" s="19" t="n">
        <f aca="false">липень!P174</f>
        <v>1148</v>
      </c>
      <c r="E174" s="19" t="n">
        <f aca="false">липень!Q174</f>
        <v>0</v>
      </c>
      <c r="F174" s="20" t="n">
        <f aca="false">липень!F174</f>
        <v>0</v>
      </c>
      <c r="G174" s="21" t="n">
        <f aca="false">липень!G174</f>
        <v>35</v>
      </c>
      <c r="H174" s="21" t="n">
        <f aca="false">липень!H174</f>
        <v>0</v>
      </c>
      <c r="I174" s="22" t="n">
        <f aca="false">липень!I174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1291.5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липень!B175</f>
        <v>Васильєва О.Г.</v>
      </c>
      <c r="C175" s="18" t="str">
        <f aca="false">липень!C175</f>
        <v>50167</v>
      </c>
      <c r="D175" s="19" t="n">
        <f aca="false">липень!P175</f>
        <v>4789.52</v>
      </c>
      <c r="E175" s="19" t="n">
        <f aca="false">липень!Q175</f>
        <v>0</v>
      </c>
      <c r="F175" s="20" t="n">
        <f aca="false">липень!F175</f>
        <v>0</v>
      </c>
      <c r="G175" s="21" t="n">
        <f aca="false">липень!G175</f>
        <v>61.7</v>
      </c>
      <c r="H175" s="21" t="n">
        <f aca="false">липень!H175</f>
        <v>0</v>
      </c>
      <c r="I175" s="22" t="n">
        <f aca="false">липень!I175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5042.49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липень!B176</f>
        <v>Кудінова Л.М.</v>
      </c>
      <c r="C176" s="18" t="str">
        <f aca="false">липень!C176</f>
        <v>50168</v>
      </c>
      <c r="D176" s="19" t="n">
        <f aca="false">липень!P176</f>
        <v>1125.31</v>
      </c>
      <c r="E176" s="19" t="n">
        <f aca="false">липень!Q176</f>
        <v>0</v>
      </c>
      <c r="F176" s="20" t="n">
        <f aca="false">липень!F176</f>
        <v>0</v>
      </c>
      <c r="G176" s="21" t="n">
        <f aca="false">липень!G176</f>
        <v>65.58</v>
      </c>
      <c r="H176" s="21" t="n">
        <f aca="false">липень!H176</f>
        <v>0</v>
      </c>
      <c r="I176" s="22" t="n">
        <f aca="false">липень!I176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1394.19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липень!B177</f>
        <v>Спільний І.В.</v>
      </c>
      <c r="C177" s="18" t="str">
        <f aca="false">липень!C177</f>
        <v>50169</v>
      </c>
      <c r="D177" s="19" t="n">
        <f aca="false">липень!P177</f>
        <v>0</v>
      </c>
      <c r="E177" s="19" t="n">
        <f aca="false">липень!Q177</f>
        <v>231.08</v>
      </c>
      <c r="F177" s="20" t="n">
        <f aca="false">липень!F177</f>
        <v>0</v>
      </c>
      <c r="G177" s="21" t="n">
        <f aca="false">липень!G177</f>
        <v>49.5</v>
      </c>
      <c r="H177" s="21" t="n">
        <f aca="false">липень!H177</f>
        <v>0</v>
      </c>
      <c r="I177" s="22" t="n">
        <f aca="false">липень!I177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0</v>
      </c>
      <c r="Q177" s="25" t="n">
        <f aca="false">IF(E177=0,IF((D177+N177-O177)&lt;0,ABS(D177+N177-O177),0),IF((N177-E177-O177)&lt;0,ABS(N177-E177-O177),0))</f>
        <v>28.1300000000003</v>
      </c>
    </row>
    <row r="178" customFormat="false" ht="15" hidden="false" customHeight="false" outlineLevel="0" collapsed="false">
      <c r="A178" s="17" t="s">
        <v>530</v>
      </c>
      <c r="B178" s="18" t="str">
        <f aca="false">липень!B178</f>
        <v>Кружаліна Т.А.</v>
      </c>
      <c r="C178" s="18" t="str">
        <f aca="false">липень!C178</f>
        <v>50170</v>
      </c>
      <c r="D178" s="19" t="n">
        <f aca="false">липень!P178</f>
        <v>75.6400000000014</v>
      </c>
      <c r="E178" s="19" t="n">
        <f aca="false">липень!Q178</f>
        <v>0</v>
      </c>
      <c r="F178" s="20" t="n">
        <f aca="false">липень!F178</f>
        <v>0</v>
      </c>
      <c r="G178" s="21" t="n">
        <f aca="false">липень!G178</f>
        <v>35.1</v>
      </c>
      <c r="H178" s="21" t="n">
        <f aca="false">липень!H178</f>
        <v>0</v>
      </c>
      <c r="I178" s="22" t="n">
        <f aca="false">липень!I178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219.550000000001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липень!B179</f>
        <v>Григоренко Н.Е.</v>
      </c>
      <c r="C179" s="18" t="str">
        <f aca="false">липень!C179</f>
        <v>50171</v>
      </c>
      <c r="D179" s="19" t="n">
        <f aca="false">липень!P179</f>
        <v>1394.41</v>
      </c>
      <c r="E179" s="19" t="n">
        <f aca="false">липень!Q179</f>
        <v>0</v>
      </c>
      <c r="F179" s="20" t="n">
        <f aca="false">липень!F179</f>
        <v>0</v>
      </c>
      <c r="G179" s="21" t="n">
        <f aca="false">липень!G179</f>
        <v>62.91</v>
      </c>
      <c r="H179" s="21" t="n">
        <f aca="false">липень!H179</f>
        <v>0</v>
      </c>
      <c r="I179" s="22" t="n">
        <f aca="false">липень!I179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 t="n">
        <f aca="false">205</f>
        <v>205</v>
      </c>
      <c r="P179" s="25" t="n">
        <f aca="false">IF(D179=0,IF((N179-E179-O179)&gt;0,(N179-E179-O179),0),IF((D179+N179-O179)&gt;0,(D179+N179-O179),0))</f>
        <v>1447.34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липень!B180</f>
        <v>Бондарчук В.В.</v>
      </c>
      <c r="C180" s="18" t="str">
        <f aca="false">липень!C180</f>
        <v>50172</v>
      </c>
      <c r="D180" s="19" t="n">
        <f aca="false">липень!P180</f>
        <v>0</v>
      </c>
      <c r="E180" s="19" t="n">
        <f aca="false">липень!Q180</f>
        <v>541.439999999999</v>
      </c>
      <c r="F180" s="20" t="n">
        <f aca="false">липень!F180</f>
        <v>0</v>
      </c>
      <c r="G180" s="21" t="n">
        <f aca="false">липень!G180</f>
        <v>66.03</v>
      </c>
      <c r="H180" s="21" t="n">
        <f aca="false">липень!H180</f>
        <v>0</v>
      </c>
      <c r="I180" s="22" t="n">
        <f aca="false">липень!I180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270.719999999999</v>
      </c>
    </row>
    <row r="181" customFormat="false" ht="15" hidden="false" customHeight="false" outlineLevel="0" collapsed="false">
      <c r="A181" s="17" t="s">
        <v>539</v>
      </c>
      <c r="B181" s="18" t="str">
        <f aca="false">липень!B181</f>
        <v>Рябініна Н.І.</v>
      </c>
      <c r="C181" s="18" t="str">
        <f aca="false">липень!C181</f>
        <v>50173</v>
      </c>
      <c r="D181" s="19" t="n">
        <f aca="false">липень!P181</f>
        <v>1182.62</v>
      </c>
      <c r="E181" s="19" t="n">
        <f aca="false">липень!Q181</f>
        <v>0</v>
      </c>
      <c r="F181" s="20" t="n">
        <f aca="false">липень!F181</f>
        <v>0</v>
      </c>
      <c r="G181" s="21" t="n">
        <f aca="false">липень!G181</f>
        <v>49.9</v>
      </c>
      <c r="H181" s="21" t="n">
        <f aca="false">липень!H181</f>
        <v>0</v>
      </c>
      <c r="I181" s="22" t="n">
        <f aca="false">липень!I181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 t="n">
        <v>500</v>
      </c>
      <c r="P181" s="25" t="n">
        <f aca="false">IF(D181=0,IF((N181-E181-O181)&gt;0,(N181-E181-O181),0),IF((D181+N181-O181)&gt;0,(D181+N181-O181),0))</f>
        <v>887.21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липень!B182</f>
        <v>Шапіро В.І.</v>
      </c>
      <c r="C182" s="18" t="str">
        <f aca="false">липень!C182</f>
        <v>50174</v>
      </c>
      <c r="D182" s="19" t="n">
        <f aca="false">липень!P182</f>
        <v>143.17</v>
      </c>
      <c r="E182" s="19" t="n">
        <f aca="false">липень!Q182</f>
        <v>0</v>
      </c>
      <c r="F182" s="20" t="n">
        <f aca="false">липень!F182</f>
        <v>0</v>
      </c>
      <c r="G182" s="21" t="n">
        <f aca="false">липень!G182</f>
        <v>34.92</v>
      </c>
      <c r="H182" s="21" t="n">
        <f aca="false">липень!H182</f>
        <v>0</v>
      </c>
      <c r="I182" s="22" t="n">
        <f aca="false">липень!I182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/>
      <c r="P182" s="25" t="n">
        <f aca="false">IF(D182=0,IF((N182-E182-O182)&gt;0,(N182-E182-O182),0),IF((D182+N182-O182)&gt;0,(D182+N182-O182),0))</f>
        <v>286.34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липень!B183</f>
        <v>Крамаренко О.О.</v>
      </c>
      <c r="C183" s="18" t="str">
        <f aca="false">липень!C183</f>
        <v>50175</v>
      </c>
      <c r="D183" s="19" t="n">
        <f aca="false">липень!P183</f>
        <v>1563.05</v>
      </c>
      <c r="E183" s="19" t="n">
        <f aca="false">липень!Q183</f>
        <v>0</v>
      </c>
      <c r="F183" s="20" t="n">
        <f aca="false">липень!F183</f>
        <v>0</v>
      </c>
      <c r="G183" s="21" t="n">
        <f aca="false">липень!G183</f>
        <v>61.91</v>
      </c>
      <c r="H183" s="21" t="n">
        <f aca="false">липень!H183</f>
        <v>0</v>
      </c>
      <c r="I183" s="22" t="n">
        <f aca="false">липень!I183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1816.88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липень!B184</f>
        <v>Свиридов В.Ф.</v>
      </c>
      <c r="C184" s="18" t="str">
        <f aca="false">липень!C184</f>
        <v>50176</v>
      </c>
      <c r="D184" s="19" t="n">
        <f aca="false">липень!P184</f>
        <v>4327.63</v>
      </c>
      <c r="E184" s="19" t="n">
        <f aca="false">липень!Q184</f>
        <v>0</v>
      </c>
      <c r="F184" s="20" t="n">
        <f aca="false">липень!F184</f>
        <v>0</v>
      </c>
      <c r="G184" s="21" t="n">
        <f aca="false">липень!G184</f>
        <v>65.15</v>
      </c>
      <c r="H184" s="21" t="n">
        <f aca="false">липень!H184</f>
        <v>0</v>
      </c>
      <c r="I184" s="22" t="n">
        <f aca="false">липень!I184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4594.75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липень!B185</f>
        <v>Домацький В.А.</v>
      </c>
      <c r="C185" s="18" t="str">
        <f aca="false">липень!C185</f>
        <v>50177</v>
      </c>
      <c r="D185" s="19" t="n">
        <f aca="false">липень!P185</f>
        <v>3074.98</v>
      </c>
      <c r="E185" s="19" t="n">
        <f aca="false">липень!Q185</f>
        <v>0</v>
      </c>
      <c r="F185" s="20" t="n">
        <f aca="false">липень!F185</f>
        <v>0</v>
      </c>
      <c r="G185" s="21" t="n">
        <f aca="false">липень!G185</f>
        <v>50</v>
      </c>
      <c r="H185" s="21" t="n">
        <f aca="false">липень!H185</f>
        <v>0</v>
      </c>
      <c r="I185" s="22" t="n">
        <f aca="false">липень!I185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3279.98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липень!B186</f>
        <v>Шаповалова І.А.</v>
      </c>
      <c r="C186" s="18" t="str">
        <f aca="false">липень!C186</f>
        <v>50178</v>
      </c>
      <c r="D186" s="19" t="n">
        <f aca="false">липень!P186</f>
        <v>2014.02</v>
      </c>
      <c r="E186" s="19" t="n">
        <f aca="false">липень!Q186</f>
        <v>0</v>
      </c>
      <c r="F186" s="20" t="n">
        <f aca="false">липень!F186</f>
        <v>0</v>
      </c>
      <c r="G186" s="21" t="n">
        <f aca="false">липень!G186</f>
        <v>35.1</v>
      </c>
      <c r="H186" s="21" t="n">
        <f aca="false">липень!H186</f>
        <v>0</v>
      </c>
      <c r="I186" s="22" t="n">
        <f aca="false">липень!I186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2157.93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липень!B187</f>
        <v>Кононенко О.В.</v>
      </c>
      <c r="C187" s="18" t="str">
        <f aca="false">липень!C187</f>
        <v>50179</v>
      </c>
      <c r="D187" s="19" t="n">
        <f aca="false">липень!P187</f>
        <v>4813.61</v>
      </c>
      <c r="E187" s="19" t="n">
        <f aca="false">липень!Q187</f>
        <v>0</v>
      </c>
      <c r="F187" s="20" t="n">
        <f aca="false">липень!F187</f>
        <v>0</v>
      </c>
      <c r="G187" s="21" t="n">
        <f aca="false">липень!G187</f>
        <v>61.8</v>
      </c>
      <c r="H187" s="21" t="n">
        <f aca="false">липень!H187</f>
        <v>0</v>
      </c>
      <c r="I187" s="22" t="n">
        <f aca="false">липень!I187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5066.99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липень!B188</f>
        <v>Овчаренко Т.І.</v>
      </c>
      <c r="C188" s="18" t="str">
        <f aca="false">липень!C188</f>
        <v>60180</v>
      </c>
      <c r="D188" s="19" t="n">
        <f aca="false">липень!P188</f>
        <v>389.08</v>
      </c>
      <c r="E188" s="19" t="n">
        <f aca="false">липень!Q188</f>
        <v>0</v>
      </c>
      <c r="F188" s="20" t="n">
        <f aca="false">липень!F188</f>
        <v>0</v>
      </c>
      <c r="G188" s="21" t="n">
        <f aca="false">липень!G188</f>
        <v>71.06</v>
      </c>
      <c r="H188" s="21" t="n">
        <f aca="false">липень!H188</f>
        <v>0</v>
      </c>
      <c r="I188" s="22" t="n">
        <f aca="false">липень!I188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 t="n">
        <v>292</v>
      </c>
      <c r="P188" s="25" t="n">
        <f aca="false">IF(D188=0,IF((N188-E188-O188)&gt;0,(N188-E188-O188),0),IF((D188+N188-O188)&gt;0,(D188+N188-O188),0))</f>
        <v>388.43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липень!B189</f>
        <v>Попукайло О.Г.</v>
      </c>
      <c r="C189" s="18" t="str">
        <f aca="false">липень!C189</f>
        <v>60181</v>
      </c>
      <c r="D189" s="19" t="n">
        <f aca="false">липень!P189</f>
        <v>1410.64</v>
      </c>
      <c r="E189" s="19" t="n">
        <f aca="false">липень!Q189</f>
        <v>0</v>
      </c>
      <c r="F189" s="20" t="n">
        <f aca="false">липень!F189</f>
        <v>0</v>
      </c>
      <c r="G189" s="21" t="n">
        <f aca="false">липень!G189</f>
        <v>49.15</v>
      </c>
      <c r="H189" s="21" t="n">
        <f aca="false">липень!H189</f>
        <v>0</v>
      </c>
      <c r="I189" s="22" t="n">
        <f aca="false">липень!I189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1612.16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липень!B190</f>
        <v>Онищенко А.В.</v>
      </c>
      <c r="C190" s="18" t="str">
        <f aca="false">липень!C190</f>
        <v>60182</v>
      </c>
      <c r="D190" s="19" t="n">
        <f aca="false">липень!P190</f>
        <v>1587.03</v>
      </c>
      <c r="E190" s="19" t="n">
        <f aca="false">липень!Q190</f>
        <v>0</v>
      </c>
      <c r="F190" s="20" t="n">
        <f aca="false">липень!F190</f>
        <v>0</v>
      </c>
      <c r="G190" s="21" t="n">
        <f aca="false">липень!G190</f>
        <v>53.72</v>
      </c>
      <c r="H190" s="21" t="n">
        <f aca="false">липень!H190</f>
        <v>0</v>
      </c>
      <c r="I190" s="22" t="n">
        <f aca="false">липень!I190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1807.28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липень!B191</f>
        <v>Соколова О.О.</v>
      </c>
      <c r="C191" s="18" t="str">
        <f aca="false">липень!C191</f>
        <v>60183</v>
      </c>
      <c r="D191" s="19" t="n">
        <f aca="false">липень!P191</f>
        <v>0</v>
      </c>
      <c r="E191" s="19" t="n">
        <f aca="false">липень!Q191</f>
        <v>301.820000000001</v>
      </c>
      <c r="F191" s="20" t="n">
        <f aca="false">липень!F191</f>
        <v>0</v>
      </c>
      <c r="G191" s="21" t="n">
        <f aca="false">липень!G191</f>
        <v>68.97</v>
      </c>
      <c r="H191" s="21" t="n">
        <f aca="false">липень!H191</f>
        <v>0</v>
      </c>
      <c r="I191" s="22" t="n">
        <f aca="false">липень!I191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 t="n">
        <v>1413.9</v>
      </c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1432.94</v>
      </c>
    </row>
    <row r="192" customFormat="false" ht="15" hidden="false" customHeight="false" outlineLevel="0" collapsed="false">
      <c r="A192" s="17" t="s">
        <v>572</v>
      </c>
      <c r="B192" s="18" t="str">
        <f aca="false">липень!B192</f>
        <v>Ільіна В.П.</v>
      </c>
      <c r="C192" s="18" t="str">
        <f aca="false">липень!C192</f>
        <v>60184</v>
      </c>
      <c r="D192" s="19" t="n">
        <f aca="false">липень!P192</f>
        <v>5519.61</v>
      </c>
      <c r="E192" s="19" t="n">
        <f aca="false">липень!Q192</f>
        <v>0</v>
      </c>
      <c r="F192" s="20" t="n">
        <f aca="false">липень!F192</f>
        <v>0</v>
      </c>
      <c r="G192" s="21" t="n">
        <f aca="false">липень!G192</f>
        <v>49.86</v>
      </c>
      <c r="H192" s="21" t="n">
        <f aca="false">липень!H192</f>
        <v>0</v>
      </c>
      <c r="I192" s="22" t="n">
        <f aca="false">липень!I192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5724.04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липень!B193</f>
        <v>Чешок Г.К.</v>
      </c>
      <c r="C193" s="18" t="str">
        <f aca="false">липень!C193</f>
        <v>60185</v>
      </c>
      <c r="D193" s="19" t="n">
        <f aca="false">липень!P193</f>
        <v>4650.08</v>
      </c>
      <c r="E193" s="19" t="n">
        <f aca="false">липень!Q193</f>
        <v>0</v>
      </c>
      <c r="F193" s="20" t="n">
        <f aca="false">липень!F193</f>
        <v>0</v>
      </c>
      <c r="G193" s="21" t="n">
        <f aca="false">липень!G193</f>
        <v>60.86</v>
      </c>
      <c r="H193" s="21" t="n">
        <f aca="false">липень!H193</f>
        <v>0</v>
      </c>
      <c r="I193" s="22" t="n">
        <f aca="false">липень!I193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4899.61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липень!B194</f>
        <v>Бердников В.А.</v>
      </c>
      <c r="C194" s="18" t="str">
        <f aca="false">липень!C194</f>
        <v>60186</v>
      </c>
      <c r="D194" s="19" t="n">
        <f aca="false">липень!P194</f>
        <v>2465.39</v>
      </c>
      <c r="E194" s="19" t="n">
        <f aca="false">липень!Q194</f>
        <v>0</v>
      </c>
      <c r="F194" s="20" t="n">
        <f aca="false">липень!F194</f>
        <v>0</v>
      </c>
      <c r="G194" s="21" t="n">
        <f aca="false">липень!G194</f>
        <v>66.75</v>
      </c>
      <c r="H194" s="21" t="n">
        <f aca="false">липень!H194</f>
        <v>0</v>
      </c>
      <c r="I194" s="22" t="n">
        <f aca="false">липень!I194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2739.07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липень!B195</f>
        <v>Щербак Н.В.</v>
      </c>
      <c r="C195" s="18" t="str">
        <f aca="false">липень!C195</f>
        <v>60187</v>
      </c>
      <c r="D195" s="19" t="n">
        <f aca="false">липень!P195</f>
        <v>4458.05</v>
      </c>
      <c r="E195" s="19" t="n">
        <f aca="false">липень!Q195</f>
        <v>0</v>
      </c>
      <c r="F195" s="20" t="n">
        <f aca="false">липень!F195</f>
        <v>0</v>
      </c>
      <c r="G195" s="21" t="n">
        <f aca="false">липень!G195</f>
        <v>72.49</v>
      </c>
      <c r="H195" s="21" t="n">
        <f aca="false">липень!H195</f>
        <v>0</v>
      </c>
      <c r="I195" s="22" t="n">
        <f aca="false">липень!I195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4755.26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липень!B196</f>
        <v>Рожков Ю.М.</v>
      </c>
      <c r="C196" s="18" t="str">
        <f aca="false">липень!C196</f>
        <v>60188</v>
      </c>
      <c r="D196" s="19" t="n">
        <f aca="false">липень!P196</f>
        <v>1400.96</v>
      </c>
      <c r="E196" s="19" t="n">
        <f aca="false">липень!Q196</f>
        <v>0</v>
      </c>
      <c r="F196" s="20" t="n">
        <f aca="false">липень!F196</f>
        <v>0</v>
      </c>
      <c r="G196" s="21" t="n">
        <f aca="false">липень!G196</f>
        <v>49.8</v>
      </c>
      <c r="H196" s="21" t="n">
        <f aca="false">липень!H196</f>
        <v>0</v>
      </c>
      <c r="I196" s="22" t="n">
        <f aca="false">липень!I196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1605.14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липень!B197</f>
        <v>Кобець В.В.</v>
      </c>
      <c r="C197" s="18" t="str">
        <f aca="false">липень!C197</f>
        <v>60189</v>
      </c>
      <c r="D197" s="19" t="n">
        <f aca="false">липень!P197</f>
        <v>2824.55</v>
      </c>
      <c r="E197" s="19" t="n">
        <f aca="false">липень!Q197</f>
        <v>0</v>
      </c>
      <c r="F197" s="20" t="n">
        <f aca="false">липень!F197</f>
        <v>0</v>
      </c>
      <c r="G197" s="21" t="n">
        <f aca="false">липень!G197</f>
        <v>62.36</v>
      </c>
      <c r="H197" s="21" t="n">
        <f aca="false">липень!H197</f>
        <v>0</v>
      </c>
      <c r="I197" s="22" t="n">
        <f aca="false">липень!I197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3080.23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липень!B198</f>
        <v>Щерба Л.О.</v>
      </c>
      <c r="C198" s="18" t="str">
        <f aca="false">липень!C198</f>
        <v>60190</v>
      </c>
      <c r="D198" s="19" t="n">
        <f aca="false">липень!P198</f>
        <v>3596.35</v>
      </c>
      <c r="E198" s="19" t="n">
        <f aca="false">липень!Q198</f>
        <v>0</v>
      </c>
      <c r="F198" s="20" t="n">
        <f aca="false">липень!F198</f>
        <v>0</v>
      </c>
      <c r="G198" s="21" t="n">
        <f aca="false">липень!G198</f>
        <v>68.5</v>
      </c>
      <c r="H198" s="21" t="n">
        <f aca="false">липень!H198</f>
        <v>0</v>
      </c>
      <c r="I198" s="22" t="n">
        <f aca="false">липень!I198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3877.2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липень!B199</f>
        <v>Сапунова І.В.</v>
      </c>
      <c r="C199" s="18" t="str">
        <f aca="false">липень!C199</f>
        <v>60191</v>
      </c>
      <c r="D199" s="19" t="n">
        <f aca="false">липень!P199</f>
        <v>2639.44</v>
      </c>
      <c r="E199" s="19" t="n">
        <f aca="false">липень!Q199</f>
        <v>0</v>
      </c>
      <c r="F199" s="20" t="n">
        <f aca="false">липень!F199</f>
        <v>0</v>
      </c>
      <c r="G199" s="21" t="n">
        <f aca="false">липень!G199</f>
        <v>70.42</v>
      </c>
      <c r="H199" s="21" t="n">
        <f aca="false">липень!H199</f>
        <v>0</v>
      </c>
      <c r="I199" s="22" t="n">
        <f aca="false">липень!I199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2928.16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липень!B200</f>
        <v>Саввідіс В.О.</v>
      </c>
      <c r="C200" s="18" t="str">
        <f aca="false">липень!C200</f>
        <v>60192</v>
      </c>
      <c r="D200" s="19" t="n">
        <f aca="false">липень!P200</f>
        <v>4169.41</v>
      </c>
      <c r="E200" s="19" t="n">
        <f aca="false">липень!Q200</f>
        <v>0</v>
      </c>
      <c r="F200" s="20" t="n">
        <f aca="false">липень!F200</f>
        <v>0</v>
      </c>
      <c r="G200" s="21" t="n">
        <f aca="false">липень!G200</f>
        <v>49.7</v>
      </c>
      <c r="H200" s="21" t="n">
        <f aca="false">липень!H200</f>
        <v>0</v>
      </c>
      <c r="I200" s="22" t="n">
        <f aca="false">липень!I200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4373.18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липень!B201</f>
        <v>Кашина Г.І.</v>
      </c>
      <c r="C201" s="18" t="str">
        <f aca="false">липень!C201</f>
        <v>60193</v>
      </c>
      <c r="D201" s="19" t="n">
        <f aca="false">липень!P201</f>
        <v>4619.88</v>
      </c>
      <c r="E201" s="19" t="n">
        <f aca="false">липень!Q201</f>
        <v>0</v>
      </c>
      <c r="F201" s="20" t="n">
        <f aca="false">липень!F201</f>
        <v>0</v>
      </c>
      <c r="G201" s="21" t="n">
        <f aca="false">липень!G201</f>
        <v>62.6</v>
      </c>
      <c r="H201" s="21" t="n">
        <f aca="false">липень!H201</f>
        <v>0</v>
      </c>
      <c r="I201" s="22" t="n">
        <f aca="false">липень!I201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4876.54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липень!B202</f>
        <v>Фадеєва Є.А.</v>
      </c>
      <c r="C202" s="18" t="str">
        <f aca="false">липень!C202</f>
        <v>60194</v>
      </c>
      <c r="D202" s="19" t="n">
        <f aca="false">липень!P202</f>
        <v>4040.96</v>
      </c>
      <c r="E202" s="19" t="n">
        <f aca="false">липень!Q202</f>
        <v>0</v>
      </c>
      <c r="F202" s="20" t="n">
        <f aca="false">липень!F202</f>
        <v>0</v>
      </c>
      <c r="G202" s="21" t="n">
        <f aca="false">липень!G202</f>
        <v>70.4</v>
      </c>
      <c r="H202" s="21" t="n">
        <f aca="false">липень!H202</f>
        <v>0</v>
      </c>
      <c r="I202" s="22" t="n">
        <f aca="false">липень!I202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4329.6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липень!B203</f>
        <v>Бойко О.А.</v>
      </c>
      <c r="C203" s="18" t="str">
        <f aca="false">липень!C203</f>
        <v>60195</v>
      </c>
      <c r="D203" s="19" t="n">
        <f aca="false">липень!P203</f>
        <v>4308.15</v>
      </c>
      <c r="E203" s="19" t="n">
        <f aca="false">липень!Q203</f>
        <v>0</v>
      </c>
      <c r="F203" s="20" t="n">
        <f aca="false">липень!F203</f>
        <v>0</v>
      </c>
      <c r="G203" s="21" t="n">
        <f aca="false">липень!G203</f>
        <v>70.2</v>
      </c>
      <c r="H203" s="21" t="n">
        <f aca="false">липень!H203</f>
        <v>0</v>
      </c>
      <c r="I203" s="22" t="n">
        <f aca="false">липень!I203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4595.97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липень!B204</f>
        <v>Дудник І.А.</v>
      </c>
      <c r="C204" s="18" t="str">
        <f aca="false">липень!C204</f>
        <v>60196</v>
      </c>
      <c r="D204" s="19" t="n">
        <f aca="false">липень!P204</f>
        <v>3122.52</v>
      </c>
      <c r="E204" s="19" t="n">
        <f aca="false">липень!Q204</f>
        <v>0</v>
      </c>
      <c r="F204" s="20" t="n">
        <f aca="false">липень!F204</f>
        <v>0</v>
      </c>
      <c r="G204" s="21" t="n">
        <f aca="false">липень!G204</f>
        <v>49.94</v>
      </c>
      <c r="H204" s="21" t="n">
        <f aca="false">липень!H204</f>
        <v>0</v>
      </c>
      <c r="I204" s="22" t="n">
        <f aca="false">липень!I204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3327.27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липень!B205</f>
        <v>Лебедєва Т.В.</v>
      </c>
      <c r="C205" s="18" t="str">
        <f aca="false">липень!C205</f>
        <v>60197</v>
      </c>
      <c r="D205" s="19" t="n">
        <f aca="false">липень!P205</f>
        <v>2549.73</v>
      </c>
      <c r="E205" s="19" t="n">
        <f aca="false">липень!Q205</f>
        <v>0</v>
      </c>
      <c r="F205" s="20" t="n">
        <f aca="false">липень!F205</f>
        <v>0</v>
      </c>
      <c r="G205" s="21" t="n">
        <f aca="false">липень!G205</f>
        <v>62.3</v>
      </c>
      <c r="H205" s="21" t="n">
        <f aca="false">липень!H205</f>
        <v>0</v>
      </c>
      <c r="I205" s="22" t="n">
        <f aca="false">липень!I205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2805.16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липень!B206</f>
        <v>Криницький Л.С.</v>
      </c>
      <c r="C206" s="18" t="str">
        <f aca="false">липень!C206</f>
        <v>60198</v>
      </c>
      <c r="D206" s="19" t="n">
        <f aca="false">липень!P206</f>
        <v>1.13686837721616E-013</v>
      </c>
      <c r="E206" s="19" t="n">
        <f aca="false">липень!Q206</f>
        <v>0</v>
      </c>
      <c r="F206" s="20" t="n">
        <f aca="false">липень!F206</f>
        <v>0</v>
      </c>
      <c r="G206" s="21" t="n">
        <f aca="false">липень!G206</f>
        <v>67.61</v>
      </c>
      <c r="H206" s="21" t="n">
        <f aca="false">липень!H206</f>
        <v>0</v>
      </c>
      <c r="I206" s="22" t="n">
        <f aca="false">липень!I206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 t="n">
        <v>554.4</v>
      </c>
      <c r="P206" s="25" t="n">
        <f aca="false">IF(D206=0,IF((N206-E206-O206)&gt;0,(N206-E206-O206),0),IF((D206+N206-O206)&gt;0,(D206+N206-O206),0))</f>
        <v>0</v>
      </c>
      <c r="Q206" s="25" t="n">
        <f aca="false">IF(E206=0,IF((D206+N206-O206)&lt;0,ABS(D206+N206-O206),0),IF((N206-E206-O206)&lt;0,ABS(N206-E206-O206),0))</f>
        <v>277.2</v>
      </c>
    </row>
    <row r="207" customFormat="false" ht="15" hidden="false" customHeight="false" outlineLevel="0" collapsed="false">
      <c r="A207" s="17" t="s">
        <v>617</v>
      </c>
      <c r="B207" s="18" t="str">
        <f aca="false">липень!B207</f>
        <v>Сафонов В.В.</v>
      </c>
      <c r="C207" s="18" t="str">
        <f aca="false">липень!C207</f>
        <v>60199</v>
      </c>
      <c r="D207" s="19" t="n">
        <f aca="false">липень!P207</f>
        <v>3937.66</v>
      </c>
      <c r="E207" s="19" t="n">
        <f aca="false">липень!Q207</f>
        <v>0</v>
      </c>
      <c r="F207" s="20" t="n">
        <f aca="false">липень!F207</f>
        <v>0</v>
      </c>
      <c r="G207" s="21" t="n">
        <f aca="false">липень!G207</f>
        <v>70.38</v>
      </c>
      <c r="H207" s="21" t="n">
        <f aca="false">липень!H207</f>
        <v>0</v>
      </c>
      <c r="I207" s="22" t="n">
        <f aca="false">липень!I207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4226.22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липень!B208</f>
        <v>Мільковська Р.Г.</v>
      </c>
      <c r="C208" s="18" t="str">
        <f aca="false">липень!C208</f>
        <v>60200</v>
      </c>
      <c r="D208" s="19" t="n">
        <f aca="false">липень!P208</f>
        <v>2901.11</v>
      </c>
      <c r="E208" s="19" t="n">
        <f aca="false">липень!Q208</f>
        <v>0</v>
      </c>
      <c r="F208" s="20" t="n">
        <f aca="false">липень!F208</f>
        <v>0</v>
      </c>
      <c r="G208" s="21" t="n">
        <f aca="false">липень!G208</f>
        <v>49.88</v>
      </c>
      <c r="H208" s="21" t="n">
        <f aca="false">липень!H208</f>
        <v>0</v>
      </c>
      <c r="I208" s="22" t="n">
        <f aca="false">липень!I208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3105.62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липень!B209</f>
        <v>Заранкін С.М.</v>
      </c>
      <c r="C209" s="18" t="str">
        <f aca="false">липень!C209</f>
        <v>60201</v>
      </c>
      <c r="D209" s="19" t="n">
        <f aca="false">липень!P209</f>
        <v>2749.2</v>
      </c>
      <c r="E209" s="19" t="n">
        <f aca="false">липень!Q209</f>
        <v>0</v>
      </c>
      <c r="F209" s="20" t="n">
        <f aca="false">липень!F209</f>
        <v>0</v>
      </c>
      <c r="G209" s="21" t="n">
        <f aca="false">липень!G209</f>
        <v>62.02</v>
      </c>
      <c r="H209" s="21" t="n">
        <f aca="false">липень!H209</f>
        <v>0</v>
      </c>
      <c r="I209" s="22" t="n">
        <f aca="false">липень!I209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3003.48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липень!B210</f>
        <v>Сіянко О.М.</v>
      </c>
      <c r="C210" s="18" t="str">
        <f aca="false">липень!C210</f>
        <v>60202</v>
      </c>
      <c r="D210" s="19" t="n">
        <f aca="false">липень!P210</f>
        <v>3586.83</v>
      </c>
      <c r="E210" s="19" t="n">
        <f aca="false">липень!Q210</f>
        <v>0</v>
      </c>
      <c r="F210" s="20" t="n">
        <f aca="false">липень!F210</f>
        <v>0</v>
      </c>
      <c r="G210" s="21" t="n">
        <f aca="false">липень!G210</f>
        <v>67.6</v>
      </c>
      <c r="H210" s="21" t="n">
        <f aca="false">липень!H210</f>
        <v>0</v>
      </c>
      <c r="I210" s="22" t="n">
        <f aca="false">липень!I210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3863.99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липень!B211</f>
        <v>Осипов В.В.</v>
      </c>
      <c r="C211" s="18" t="str">
        <f aca="false">липень!C211</f>
        <v>60203</v>
      </c>
      <c r="D211" s="19" t="n">
        <f aca="false">липень!P211</f>
        <v>5485.68000000001</v>
      </c>
      <c r="E211" s="19" t="n">
        <f aca="false">липень!Q211</f>
        <v>0</v>
      </c>
      <c r="F211" s="20" t="n">
        <f aca="false">липень!F211</f>
        <v>0</v>
      </c>
      <c r="G211" s="21" t="n">
        <f aca="false">липень!G211</f>
        <v>70.42</v>
      </c>
      <c r="H211" s="21" t="n">
        <f aca="false">липень!H211</f>
        <v>0</v>
      </c>
      <c r="I211" s="22" t="n">
        <f aca="false">липень!I211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5774.40000000001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липень!B212</f>
        <v>Перепьолкін А.Л.</v>
      </c>
      <c r="C212" s="18" t="str">
        <f aca="false">липень!C212</f>
        <v>60204</v>
      </c>
      <c r="D212" s="19" t="n">
        <f aca="false">липень!P212</f>
        <v>785.46</v>
      </c>
      <c r="E212" s="19" t="n">
        <f aca="false">липень!Q212</f>
        <v>0</v>
      </c>
      <c r="F212" s="20" t="n">
        <f aca="false">липень!F212</f>
        <v>0</v>
      </c>
      <c r="G212" s="21" t="n">
        <f aca="false">липень!G212</f>
        <v>49.8</v>
      </c>
      <c r="H212" s="21" t="n">
        <f aca="false">липень!H212</f>
        <v>0</v>
      </c>
      <c r="I212" s="22" t="n">
        <f aca="false">липень!I212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 t="n">
        <f aca="false">204.18+204.18</f>
        <v>408.36</v>
      </c>
      <c r="P212" s="25" t="n">
        <f aca="false">IF(D212=0,IF((N212-E212-O212)&gt;0,(N212-E212-O212),0),IF((D212+N212-O212)&gt;0,(D212+N212-O212),0))</f>
        <v>581.28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липень!B213</f>
        <v>Синегрибова В.В.</v>
      </c>
      <c r="C213" s="18" t="str">
        <f aca="false">липень!C213</f>
        <v>60205</v>
      </c>
      <c r="D213" s="19" t="n">
        <f aca="false">липень!P213</f>
        <v>5100.49</v>
      </c>
      <c r="E213" s="19" t="n">
        <f aca="false">липень!Q213</f>
        <v>0</v>
      </c>
      <c r="F213" s="20" t="n">
        <f aca="false">липень!F213</f>
        <v>0</v>
      </c>
      <c r="G213" s="21" t="n">
        <f aca="false">липень!G213</f>
        <v>62.7</v>
      </c>
      <c r="H213" s="21" t="n">
        <f aca="false">липень!H213</f>
        <v>0</v>
      </c>
      <c r="I213" s="22" t="n">
        <f aca="false">липень!I213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5357.56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липень!B214</f>
        <v>Юдін М.В.</v>
      </c>
      <c r="C214" s="18" t="str">
        <f aca="false">липень!C214</f>
        <v>60206</v>
      </c>
      <c r="D214" s="19" t="n">
        <f aca="false">липень!P214</f>
        <v>204</v>
      </c>
      <c r="E214" s="19" t="n">
        <f aca="false">липень!Q214</f>
        <v>0</v>
      </c>
      <c r="F214" s="20" t="n">
        <f aca="false">липень!F214</f>
        <v>0</v>
      </c>
      <c r="G214" s="21" t="n">
        <f aca="false">липень!G214</f>
        <v>68</v>
      </c>
      <c r="H214" s="21" t="n">
        <f aca="false">липень!H214</f>
        <v>0</v>
      </c>
      <c r="I214" s="22" t="n">
        <f aca="false">липень!I214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 t="n">
        <v>278.8</v>
      </c>
      <c r="P214" s="25" t="n">
        <f aca="false">IF(D214=0,IF((N214-E214-O214)&gt;0,(N214-E214-O214),0),IF((D214+N214-O214)&gt;0,(D214+N214-O214),0))</f>
        <v>204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липень!B215</f>
        <v>Сергєєва Н.О.</v>
      </c>
      <c r="C215" s="18" t="str">
        <f aca="false">липень!C215</f>
        <v>60207</v>
      </c>
      <c r="D215" s="19" t="n">
        <f aca="false">липень!P215</f>
        <v>193.130000000001</v>
      </c>
      <c r="E215" s="19" t="n">
        <f aca="false">липень!Q215</f>
        <v>0</v>
      </c>
      <c r="F215" s="20" t="n">
        <f aca="false">липень!F215</f>
        <v>0</v>
      </c>
      <c r="G215" s="21" t="n">
        <f aca="false">липень!G215</f>
        <v>72.1</v>
      </c>
      <c r="H215" s="21" t="n">
        <f aca="false">липень!H215</f>
        <v>0</v>
      </c>
      <c r="I215" s="22" t="n">
        <f aca="false">липень!I215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 t="n">
        <v>300</v>
      </c>
      <c r="P215" s="25" t="n">
        <f aca="false">IF(D215=0,IF((N215-E215-O215)&gt;0,(N215-E215-O215),0),IF((D215+N215-O215)&gt;0,(D215+N215-O215),0))</f>
        <v>188.740000000001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липень!B216</f>
        <v>Рева І.П.</v>
      </c>
      <c r="C216" s="18" t="str">
        <f aca="false">липень!C216</f>
        <v>60208</v>
      </c>
      <c r="D216" s="19" t="n">
        <f aca="false">липень!P216</f>
        <v>2230.85</v>
      </c>
      <c r="E216" s="19" t="n">
        <f aca="false">липень!Q216</f>
        <v>0</v>
      </c>
      <c r="F216" s="20" t="n">
        <f aca="false">липень!F216</f>
        <v>0</v>
      </c>
      <c r="G216" s="21" t="n">
        <f aca="false">липень!G216</f>
        <v>49.72</v>
      </c>
      <c r="H216" s="21" t="n">
        <f aca="false">липень!H216</f>
        <v>0</v>
      </c>
      <c r="I216" s="22" t="n">
        <f aca="false">липень!I216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2434.7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липень!B217</f>
        <v>Почапський Ю.Т.</v>
      </c>
      <c r="C217" s="18" t="str">
        <f aca="false">липень!C217</f>
        <v>60209</v>
      </c>
      <c r="D217" s="19" t="n">
        <f aca="false">липень!P217</f>
        <v>503.09</v>
      </c>
      <c r="E217" s="19" t="n">
        <f aca="false">липень!Q217</f>
        <v>0</v>
      </c>
      <c r="F217" s="20" t="n">
        <f aca="false">липень!F217</f>
        <v>0</v>
      </c>
      <c r="G217" s="21" t="n">
        <f aca="false">липень!G217</f>
        <v>62.39</v>
      </c>
      <c r="H217" s="21" t="n">
        <f aca="false">липень!H217</f>
        <v>0</v>
      </c>
      <c r="I217" s="22" t="n">
        <f aca="false">липень!I217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 t="n">
        <v>256</v>
      </c>
      <c r="P217" s="25" t="n">
        <f aca="false">IF(D217=0,IF((N217-E217-O217)&gt;0,(N217-E217-O217),0),IF((D217+N217-O217)&gt;0,(D217+N217-O217),0))</f>
        <v>502.89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липень!B218</f>
        <v>Васильченко М.П.</v>
      </c>
      <c r="C218" s="18" t="str">
        <f aca="false">липень!C218</f>
        <v>60210</v>
      </c>
      <c r="D218" s="19" t="n">
        <f aca="false">липень!P218</f>
        <v>4693.86</v>
      </c>
      <c r="E218" s="19" t="n">
        <f aca="false">липень!Q218</f>
        <v>0</v>
      </c>
      <c r="F218" s="20" t="n">
        <f aca="false">липень!F218</f>
        <v>0</v>
      </c>
      <c r="G218" s="21" t="n">
        <f aca="false">липень!G218</f>
        <v>67.47</v>
      </c>
      <c r="H218" s="21" t="n">
        <f aca="false">липень!H218</f>
        <v>0</v>
      </c>
      <c r="I218" s="22" t="n">
        <f aca="false">липень!I218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4970.49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липень!B219</f>
        <v>Черненко Т.А.</v>
      </c>
      <c r="C219" s="18" t="str">
        <f aca="false">липень!C219</f>
        <v>60211</v>
      </c>
      <c r="D219" s="19" t="n">
        <f aca="false">липень!P219</f>
        <v>4203.24</v>
      </c>
      <c r="E219" s="19" t="n">
        <f aca="false">липень!Q219</f>
        <v>0</v>
      </c>
      <c r="F219" s="20" t="n">
        <f aca="false">липень!F219</f>
        <v>0</v>
      </c>
      <c r="G219" s="21" t="n">
        <f aca="false">липень!G219</f>
        <v>70.41</v>
      </c>
      <c r="H219" s="21" t="n">
        <f aca="false">липень!H219</f>
        <v>0</v>
      </c>
      <c r="I219" s="22" t="n">
        <f aca="false">липень!I219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4491.92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липень!B220</f>
        <v>Сиротенко Я.О.</v>
      </c>
      <c r="C220" s="18" t="str">
        <f aca="false">липень!C220</f>
        <v>60212</v>
      </c>
      <c r="D220" s="19" t="n">
        <f aca="false">липень!P220</f>
        <v>2585.64</v>
      </c>
      <c r="E220" s="19" t="n">
        <f aca="false">липень!Q220</f>
        <v>0</v>
      </c>
      <c r="F220" s="20" t="n">
        <f aca="false">липень!F220</f>
        <v>0</v>
      </c>
      <c r="G220" s="21" t="n">
        <f aca="false">липень!G220</f>
        <v>49.73</v>
      </c>
      <c r="H220" s="21" t="n">
        <f aca="false">липень!H220</f>
        <v>0</v>
      </c>
      <c r="I220" s="22" t="n">
        <f aca="false">липень!I220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2789.53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липень!B221</f>
        <v>Корнюшенко О.О.</v>
      </c>
      <c r="C221" s="18" t="str">
        <f aca="false">липень!C221</f>
        <v>60213</v>
      </c>
      <c r="D221" s="28" t="n">
        <f aca="false">липень!P221</f>
        <v>6153</v>
      </c>
      <c r="E221" s="29" t="n">
        <f aca="false">липень!Q221</f>
        <v>0</v>
      </c>
      <c r="F221" s="20" t="n">
        <f aca="false">липень!F221</f>
        <v>0</v>
      </c>
      <c r="G221" s="21" t="n">
        <f aca="false">липень!G221</f>
        <v>62</v>
      </c>
      <c r="H221" s="21" t="n">
        <f aca="false">липень!H221</f>
        <v>0</v>
      </c>
      <c r="I221" s="22" t="n">
        <f aca="false">липень!I221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6407.2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461837.9</v>
      </c>
      <c r="E222" s="33" t="n">
        <f aca="false">SUM(E7:E221)</f>
        <v>8306.92999999999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15950.6</v>
      </c>
      <c r="P222" s="39" t="n">
        <f aca="false">SUM(P7:P221)</f>
        <v>492554.19</v>
      </c>
      <c r="Q222" s="33" t="n">
        <f aca="false">SUM(Q7:Q221)</f>
        <v>7198.83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453530.97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485355.36</v>
      </c>
      <c r="Q223" s="41"/>
    </row>
    <row r="224" customFormat="false" ht="15" hidden="false" customHeight="false" outlineLevel="0" collapsed="false">
      <c r="U224" s="42" t="n">
        <f aca="false">[1]Серп!$F$78</f>
        <v>15895.5</v>
      </c>
    </row>
    <row r="228" customFormat="false" ht="15" hidden="false" customHeight="false" outlineLevel="0" collapsed="false">
      <c r="T228" s="42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44">
      <formula>0</formula>
    </cfRule>
    <cfRule type="cellIs" priority="3" operator="equal" aboveAverage="0" equalAverage="0" bottom="0" percent="0" rank="0" text="" dxfId="45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46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47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48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49">
      <formula>0</formula>
    </cfRule>
  </conditionalFormatting>
  <printOptions headings="false" gridLines="false" gridLinesSet="true" horizontalCentered="true" verticalCentered="false"/>
  <pageMargins left="0.118055555555556" right="0.118055555555556" top="0.157638888888889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7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1.71"/>
    <col collapsed="false" customWidth="true" hidden="false" outlineLevel="0" max="3" min="3" style="0" width="7.42"/>
    <col collapsed="false" customWidth="true" hidden="false" outlineLevel="0" max="5" min="5" style="0" width="8.57"/>
    <col collapsed="false" customWidth="true" hidden="false" outlineLevel="0" max="6" min="6" style="0" width="4.42"/>
    <col collapsed="false" customWidth="true" hidden="false" outlineLevel="0" max="7" min="7" style="0" width="7.57"/>
    <col collapsed="false" customWidth="true" hidden="false" outlineLevel="0" max="8" min="8" style="0" width="6.57"/>
    <col collapsed="false" customWidth="true" hidden="false" outlineLevel="0" max="9" min="9" style="0" width="6.29"/>
    <col collapsed="false" customWidth="true" hidden="false" outlineLevel="0" max="11" min="11" style="0" width="8.42"/>
    <col collapsed="false" customWidth="true" hidden="false" outlineLevel="0" max="12" min="12" style="0" width="8"/>
    <col collapsed="false" customWidth="true" hidden="false" outlineLevel="0" max="20" min="20" style="0" width="9.86"/>
  </cols>
  <sheetData>
    <row r="1" customFormat="false" ht="15" hidden="false" customHeight="false" outlineLevel="0" collapsed="false">
      <c r="A1" s="1" t="s">
        <v>0</v>
      </c>
      <c r="B1" s="1"/>
      <c r="C1" s="1"/>
      <c r="I1" s="2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671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2.7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11.25" hidden="false" customHeight="true" outlineLevel="0" collapsed="false">
      <c r="I5" s="2"/>
    </row>
    <row r="6" customFormat="false" ht="55.55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серпень!B7</f>
        <v>Бережний В.М.</v>
      </c>
      <c r="C7" s="18" t="str">
        <f aca="false">серпень!C7</f>
        <v>1001</v>
      </c>
      <c r="D7" s="19" t="n">
        <f aca="false">серпень!P7</f>
        <v>1158.99</v>
      </c>
      <c r="E7" s="19" t="n">
        <f aca="false">серпень!Q7</f>
        <v>0</v>
      </c>
      <c r="F7" s="20" t="n">
        <f aca="false">серпень!F7</f>
        <v>0</v>
      </c>
      <c r="G7" s="21" t="n">
        <f aca="false">серпень!G7</f>
        <v>64.26</v>
      </c>
      <c r="H7" s="21" t="n">
        <f aca="false">серпень!H7</f>
        <v>0</v>
      </c>
      <c r="I7" s="22" t="n">
        <f aca="false">серпень!I7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1422.46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серпень!B8</f>
        <v>Старикова Т.О.</v>
      </c>
      <c r="C8" s="18" t="str">
        <f aca="false">серпень!C8</f>
        <v>1002</v>
      </c>
      <c r="D8" s="19" t="n">
        <f aca="false">серпень!P8</f>
        <v>3921.74</v>
      </c>
      <c r="E8" s="19" t="n">
        <f aca="false">серпень!Q8</f>
        <v>0</v>
      </c>
      <c r="F8" s="20" t="n">
        <f aca="false">серпень!F8</f>
        <v>0</v>
      </c>
      <c r="G8" s="21" t="n">
        <f aca="false">серпень!G8</f>
        <v>48.71</v>
      </c>
      <c r="H8" s="21" t="n">
        <f aca="false">серпень!H8</f>
        <v>0</v>
      </c>
      <c r="I8" s="22" t="n">
        <f aca="false">серпень!I8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4121.45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серпень!B9</f>
        <v>Мазур Т.В.</v>
      </c>
      <c r="C9" s="18" t="str">
        <f aca="false">серпень!C9</f>
        <v>1003</v>
      </c>
      <c r="D9" s="19" t="n">
        <f aca="false">серпень!P9</f>
        <v>153</v>
      </c>
      <c r="E9" s="19" t="n">
        <f aca="false">серпень!Q9</f>
        <v>0</v>
      </c>
      <c r="F9" s="20" t="n">
        <f aca="false">серпень!F9</f>
        <v>0</v>
      </c>
      <c r="G9" s="21" t="n">
        <f aca="false">серпень!G9</f>
        <v>35</v>
      </c>
      <c r="H9" s="21" t="n">
        <f aca="false">серпень!H9</f>
        <v>0</v>
      </c>
      <c r="I9" s="22" t="n">
        <f aca="false">серпень!I9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296.5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серпень!B10</f>
        <v>Сокол О.В.</v>
      </c>
      <c r="C10" s="18" t="str">
        <f aca="false">серпень!C10</f>
        <v>1004</v>
      </c>
      <c r="D10" s="19" t="n">
        <f aca="false">серпень!P10</f>
        <v>0</v>
      </c>
      <c r="E10" s="19" t="n">
        <f aca="false">серпень!Q10</f>
        <v>0.0300000000002001</v>
      </c>
      <c r="F10" s="20" t="n">
        <f aca="false">серпень!F10</f>
        <v>0</v>
      </c>
      <c r="G10" s="21" t="n">
        <f aca="false">серпень!G10</f>
        <v>61.6</v>
      </c>
      <c r="H10" s="21" t="n">
        <f aca="false">серпень!H10</f>
        <v>0</v>
      </c>
      <c r="I10" s="22" t="n">
        <f aca="false">серпень!I10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/>
      <c r="P10" s="25" t="n">
        <f aca="false">IF(D10=0,IF((N10-E10-O10)&gt;0,(N10-E10-O10),0),IF((D10+N10-O10)&gt;0,(D10+N10-O10),0))</f>
        <v>252.53</v>
      </c>
      <c r="Q10" s="25" t="n">
        <f aca="false">IF(E10=0,IF((D10+N10-O10)&lt;0,ABS(D10+N10-O10),0),IF((N10-E10-O10)&lt;0,ABS(N10-E10-O10),0))</f>
        <v>0</v>
      </c>
    </row>
    <row r="11" customFormat="false" ht="15" hidden="false" customHeight="false" outlineLevel="0" collapsed="false">
      <c r="A11" s="17" t="s">
        <v>31</v>
      </c>
      <c r="B11" s="18" t="str">
        <f aca="false">серпень!B11</f>
        <v>Семко Л.І.</v>
      </c>
      <c r="C11" s="18" t="str">
        <f aca="false">серпень!C11</f>
        <v>1005</v>
      </c>
      <c r="D11" s="19" t="n">
        <f aca="false">серпень!P11</f>
        <v>90.5500000000006</v>
      </c>
      <c r="E11" s="19" t="n">
        <f aca="false">серпень!Q11</f>
        <v>0</v>
      </c>
      <c r="F11" s="20" t="n">
        <f aca="false">серпень!F11</f>
        <v>0</v>
      </c>
      <c r="G11" s="21" t="n">
        <f aca="false">серпень!G11</f>
        <v>28.34</v>
      </c>
      <c r="H11" s="21" t="n">
        <f aca="false">серпень!H11</f>
        <v>0</v>
      </c>
      <c r="I11" s="22" t="n">
        <f aca="false">серпень!I11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206.740000000001</v>
      </c>
      <c r="Q11" s="25" t="n">
        <f aca="false">IF(E11=0,IF((D11+N11-O11)&lt;0,ABS(D11+N11-O11),0),IF((N11-E11-O11)&lt;0,ABS(N11-E11-O11),0))</f>
        <v>0</v>
      </c>
    </row>
    <row r="12" customFormat="false" ht="15" hidden="false" customHeight="false" outlineLevel="0" collapsed="false">
      <c r="A12" s="17" t="s">
        <v>31</v>
      </c>
      <c r="B12" s="18" t="str">
        <f aca="false">серпень!B12</f>
        <v>Гаркуша Н.І.</v>
      </c>
      <c r="C12" s="18" t="str">
        <f aca="false">серпень!C12</f>
        <v>1005-а</v>
      </c>
      <c r="D12" s="19" t="n">
        <f aca="false">серпень!P12</f>
        <v>500.580000000001</v>
      </c>
      <c r="E12" s="19" t="n">
        <f aca="false">серпень!Q12</f>
        <v>0</v>
      </c>
      <c r="F12" s="20" t="n">
        <f aca="false">серпень!F12</f>
        <v>0</v>
      </c>
      <c r="G12" s="21" t="n">
        <f aca="false">серпень!G12</f>
        <v>36.66</v>
      </c>
      <c r="H12" s="21" t="n">
        <f aca="false">серпень!H12</f>
        <v>0</v>
      </c>
      <c r="I12" s="22" t="n">
        <f aca="false">серпень!I12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650.890000000001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серпень!B13</f>
        <v>Андріяшев В.М</v>
      </c>
      <c r="C13" s="18" t="str">
        <f aca="false">серпень!C13</f>
        <v>1006</v>
      </c>
      <c r="D13" s="19" t="n">
        <f aca="false">серпень!P13</f>
        <v>27.5200000000004</v>
      </c>
      <c r="E13" s="19" t="n">
        <f aca="false">серпень!Q13</f>
        <v>0</v>
      </c>
      <c r="F13" s="20" t="n">
        <f aca="false">серпень!F13</f>
        <v>0</v>
      </c>
      <c r="G13" s="21" t="n">
        <f aca="false">серпень!G13</f>
        <v>49.8</v>
      </c>
      <c r="H13" s="21" t="n">
        <f aca="false">серпень!H13</f>
        <v>0</v>
      </c>
      <c r="I13" s="22" t="n">
        <f aca="false">серпень!I13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231.7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серпень!B14</f>
        <v>Старчикова О.М.</v>
      </c>
      <c r="C14" s="18" t="str">
        <f aca="false">серпень!C14</f>
        <v>1007</v>
      </c>
      <c r="D14" s="19" t="n">
        <f aca="false">серпень!P14</f>
        <v>138.4</v>
      </c>
      <c r="E14" s="19" t="n">
        <f aca="false">серпень!Q14</f>
        <v>0</v>
      </c>
      <c r="F14" s="20" t="n">
        <f aca="false">серпень!F14</f>
        <v>0</v>
      </c>
      <c r="G14" s="21" t="n">
        <f aca="false">серпень!G14</f>
        <v>34.65</v>
      </c>
      <c r="H14" s="21" t="n">
        <f aca="false">серпень!H14</f>
        <v>0</v>
      </c>
      <c r="I14" s="22" t="n">
        <f aca="false">серпень!I14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/>
      <c r="P14" s="25" t="n">
        <f aca="false">IF(D14=0,IF((N14-E14-O14)&gt;0,(N14-E14-O14),0),IF((D14+N14-O14)&gt;0,(D14+N14-O14),0))</f>
        <v>280.47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серпень!B15</f>
        <v>Безер Т.М</v>
      </c>
      <c r="C15" s="18" t="str">
        <f aca="false">серпень!C15</f>
        <v>1008</v>
      </c>
      <c r="D15" s="19" t="n">
        <f aca="false">серпень!P15</f>
        <v>224.41</v>
      </c>
      <c r="E15" s="19" t="n">
        <f aca="false">серпень!Q15</f>
        <v>0</v>
      </c>
      <c r="F15" s="20" t="n">
        <f aca="false">серпень!F15</f>
        <v>0</v>
      </c>
      <c r="G15" s="21" t="n">
        <f aca="false">серпень!G15</f>
        <v>62.14</v>
      </c>
      <c r="H15" s="21" t="n">
        <f aca="false">серпень!H15</f>
        <v>0</v>
      </c>
      <c r="I15" s="22" t="n">
        <f aca="false">серпень!I15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479.18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серпень!B16</f>
        <v>Решетило М.М</v>
      </c>
      <c r="C16" s="18" t="str">
        <f aca="false">серпень!C16</f>
        <v>1009</v>
      </c>
      <c r="D16" s="19" t="n">
        <f aca="false">серпень!P16</f>
        <v>268.24</v>
      </c>
      <c r="E16" s="19" t="n">
        <f aca="false">серпень!Q16</f>
        <v>0</v>
      </c>
      <c r="F16" s="20" t="n">
        <f aca="false">серпень!F16</f>
        <v>0</v>
      </c>
      <c r="G16" s="21" t="n">
        <f aca="false">серпень!G16</f>
        <v>65.16</v>
      </c>
      <c r="H16" s="21" t="n">
        <f aca="false">серпень!H16</f>
        <v>0</v>
      </c>
      <c r="I16" s="22" t="n">
        <f aca="false">серпень!I16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535.4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серпень!B17</f>
        <v>Фесенко О.В.</v>
      </c>
      <c r="C17" s="18" t="str">
        <f aca="false">серпень!C17</f>
        <v>1010</v>
      </c>
      <c r="D17" s="19" t="n">
        <f aca="false">серпень!P17</f>
        <v>3225.21</v>
      </c>
      <c r="E17" s="19" t="n">
        <f aca="false">серпень!Q17</f>
        <v>0</v>
      </c>
      <c r="F17" s="20" t="n">
        <f aca="false">серпень!F17</f>
        <v>0</v>
      </c>
      <c r="G17" s="21" t="n">
        <f aca="false">серпень!G17</f>
        <v>50.1</v>
      </c>
      <c r="H17" s="21" t="n">
        <f aca="false">серпень!H17</f>
        <v>0</v>
      </c>
      <c r="I17" s="22" t="n">
        <f aca="false">серпень!I17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3430.62</v>
      </c>
      <c r="Q17" s="25" t="n">
        <f aca="false">IF(E17=0,IF((D17+N17-O17)&lt;0,ABS(D17+N17-O17),0),IF((N17-E17-O17)&lt;0,ABS(N17-E17-O17),0))</f>
        <v>0</v>
      </c>
    </row>
    <row r="18" customFormat="false" ht="15.75" hidden="false" customHeight="true" outlineLevel="0" collapsed="false">
      <c r="A18" s="17" t="s">
        <v>51</v>
      </c>
      <c r="B18" s="18" t="str">
        <f aca="false">серпень!B18</f>
        <v>Петренко О.М.</v>
      </c>
      <c r="C18" s="18" t="str">
        <f aca="false">серпень!C18</f>
        <v>1011</v>
      </c>
      <c r="D18" s="19" t="n">
        <f aca="false">серпень!P18</f>
        <v>1007.24</v>
      </c>
      <c r="E18" s="19" t="n">
        <f aca="false">серпень!Q18</f>
        <v>0</v>
      </c>
      <c r="F18" s="20" t="n">
        <f aca="false">серпень!F18</f>
        <v>0</v>
      </c>
      <c r="G18" s="21" t="n">
        <f aca="false">серпень!G18</f>
        <v>35.2</v>
      </c>
      <c r="H18" s="21" t="n">
        <f aca="false">серпень!H18</f>
        <v>0</v>
      </c>
      <c r="I18" s="22" t="n">
        <f aca="false">серпень!I18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1151.56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серпень!B19</f>
        <v>Зеленюк А.Д</v>
      </c>
      <c r="C19" s="18" t="str">
        <f aca="false">серпень!C19</f>
        <v>1012</v>
      </c>
      <c r="D19" s="19" t="n">
        <f aca="false">серпень!P19</f>
        <v>4972.41</v>
      </c>
      <c r="E19" s="19" t="n">
        <f aca="false">серпень!Q19</f>
        <v>0</v>
      </c>
      <c r="F19" s="20" t="n">
        <f aca="false">серпень!F19</f>
        <v>0</v>
      </c>
      <c r="G19" s="21" t="n">
        <f aca="false">серпень!G19</f>
        <v>62.78</v>
      </c>
      <c r="H19" s="21" t="n">
        <f aca="false">серпень!H19</f>
        <v>0</v>
      </c>
      <c r="I19" s="22" t="n">
        <f aca="false">серпень!I19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5229.81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серпень!B20</f>
        <v>Вовк І.В</v>
      </c>
      <c r="C20" s="18" t="str">
        <f aca="false">серпень!C20</f>
        <v>1013</v>
      </c>
      <c r="D20" s="19" t="n">
        <f aca="false">серпень!P20</f>
        <v>3062.79</v>
      </c>
      <c r="E20" s="19" t="n">
        <f aca="false">серпень!Q20</f>
        <v>0</v>
      </c>
      <c r="F20" s="20" t="n">
        <f aca="false">серпень!F20</f>
        <v>0</v>
      </c>
      <c r="G20" s="21" t="n">
        <f aca="false">серпень!G20</f>
        <v>28.23</v>
      </c>
      <c r="H20" s="21" t="n">
        <f aca="false">серпень!H20</f>
        <v>0</v>
      </c>
      <c r="I20" s="22" t="n">
        <f aca="false">серпень!I20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3178.53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серпень!B21</f>
        <v>Романовський В.М</v>
      </c>
      <c r="C21" s="18" t="str">
        <f aca="false">серпень!C21</f>
        <v>1013-а</v>
      </c>
      <c r="D21" s="19" t="n">
        <f aca="false">серпень!P21</f>
        <v>4499.02</v>
      </c>
      <c r="E21" s="19" t="n">
        <f aca="false">серпень!Q21</f>
        <v>0</v>
      </c>
      <c r="F21" s="20" t="n">
        <f aca="false">серпень!F21</f>
        <v>0</v>
      </c>
      <c r="G21" s="21" t="n">
        <f aca="false">серпень!G21</f>
        <v>37.84</v>
      </c>
      <c r="H21" s="21" t="n">
        <f aca="false">серпень!H21</f>
        <v>0</v>
      </c>
      <c r="I21" s="22" t="n">
        <f aca="false">серпень!I21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4654.16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серпень!B22</f>
        <v>Ряба Л.І</v>
      </c>
      <c r="C22" s="18" t="str">
        <f aca="false">серпень!C22</f>
        <v>1014</v>
      </c>
      <c r="D22" s="19" t="n">
        <f aca="false">серпень!P22</f>
        <v>626.320000000001</v>
      </c>
      <c r="E22" s="19" t="n">
        <f aca="false">серпень!Q22</f>
        <v>0</v>
      </c>
      <c r="F22" s="20" t="n">
        <f aca="false">серпень!F22</f>
        <v>0</v>
      </c>
      <c r="G22" s="21" t="n">
        <f aca="false">серпень!G22</f>
        <v>49.24</v>
      </c>
      <c r="H22" s="21" t="n">
        <f aca="false">серпень!H22</f>
        <v>0</v>
      </c>
      <c r="I22" s="22" t="n">
        <f aca="false">серпень!I22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828.200000000001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серпень!B23</f>
        <v>Кас'янова О.А.</v>
      </c>
      <c r="C23" s="18" t="str">
        <f aca="false">серпень!C23</f>
        <v>1015</v>
      </c>
      <c r="D23" s="19" t="n">
        <f aca="false">серпень!P23</f>
        <v>2060.32</v>
      </c>
      <c r="E23" s="19" t="n">
        <f aca="false">серпень!Q23</f>
        <v>0</v>
      </c>
      <c r="F23" s="20" t="n">
        <f aca="false">серпень!F23</f>
        <v>0</v>
      </c>
      <c r="G23" s="21" t="n">
        <f aca="false">серпень!G23</f>
        <v>35.1</v>
      </c>
      <c r="H23" s="21" t="n">
        <f aca="false">серпень!H23</f>
        <v>0</v>
      </c>
      <c r="I23" s="22" t="n">
        <f aca="false">серпень!I23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2204.23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серпень!B24</f>
        <v>Корякіна М.В.</v>
      </c>
      <c r="C24" s="18" t="str">
        <f aca="false">серпень!C24</f>
        <v>1016</v>
      </c>
      <c r="D24" s="19" t="n">
        <f aca="false">серпень!P24</f>
        <v>761.37</v>
      </c>
      <c r="E24" s="19" t="n">
        <f aca="false">серпень!Q24</f>
        <v>0</v>
      </c>
      <c r="F24" s="20" t="n">
        <f aca="false">серпень!F24</f>
        <v>0</v>
      </c>
      <c r="G24" s="21" t="n">
        <f aca="false">серпень!G24</f>
        <v>61.9</v>
      </c>
      <c r="H24" s="21" t="n">
        <f aca="false">серпень!H24</f>
        <v>0</v>
      </c>
      <c r="I24" s="22" t="n">
        <f aca="false">серпень!I24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1015.16</v>
      </c>
      <c r="Q24" s="25" t="n">
        <f aca="false">IF(E24=0,IF((D24+N24-O24)&lt;0,ABS(D24+N24-O24),0),IF((N24-E24-O24)&lt;0,ABS(N24-E24-O24),0))</f>
        <v>0</v>
      </c>
      <c r="U24" s="52"/>
      <c r="V24" s="52"/>
      <c r="W24" s="52"/>
      <c r="X24" s="52"/>
    </row>
    <row r="25" customFormat="false" ht="15" hidden="false" customHeight="false" outlineLevel="0" collapsed="false">
      <c r="A25" s="17" t="s">
        <v>71</v>
      </c>
      <c r="B25" s="18" t="str">
        <f aca="false">серпень!B25</f>
        <v>Сокерчак А.В.</v>
      </c>
      <c r="C25" s="18" t="str">
        <f aca="false">серпень!C25</f>
        <v>1017</v>
      </c>
      <c r="D25" s="19" t="n">
        <f aca="false">серпень!P25</f>
        <v>1359.15</v>
      </c>
      <c r="E25" s="19" t="n">
        <f aca="false">серпень!Q25</f>
        <v>0</v>
      </c>
      <c r="F25" s="20" t="n">
        <f aca="false">серпень!F25</f>
        <v>0</v>
      </c>
      <c r="G25" s="21" t="n">
        <f aca="false">серпень!G25</f>
        <v>66.3</v>
      </c>
      <c r="H25" s="21" t="n">
        <f aca="false">серпень!H25</f>
        <v>0</v>
      </c>
      <c r="I25" s="22" t="n">
        <f aca="false">серпень!I25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1630.98</v>
      </c>
      <c r="Q25" s="25" t="n">
        <f aca="false">IF(E25=0,IF((D25+N25-O25)&lt;0,ABS(D25+N25-O25),0),IF((N25-E25-O25)&lt;0,ABS(N25-E25-O25),0))</f>
        <v>0</v>
      </c>
      <c r="U25" s="52"/>
      <c r="V25" s="52"/>
      <c r="W25" s="52"/>
      <c r="X25" s="52"/>
    </row>
    <row r="26" customFormat="false" ht="15" hidden="false" customHeight="false" outlineLevel="0" collapsed="false">
      <c r="A26" s="17" t="s">
        <v>74</v>
      </c>
      <c r="B26" s="18" t="str">
        <f aca="false">серпень!B26</f>
        <v>Кравченко В.А</v>
      </c>
      <c r="C26" s="18" t="str">
        <f aca="false">серпень!C26</f>
        <v>1018</v>
      </c>
      <c r="D26" s="19" t="n">
        <f aca="false">серпень!P26</f>
        <v>0</v>
      </c>
      <c r="E26" s="19" t="n">
        <f aca="false">серпень!Q26</f>
        <v>139.65</v>
      </c>
      <c r="F26" s="20" t="n">
        <f aca="false">серпень!F26</f>
        <v>0</v>
      </c>
      <c r="G26" s="21" t="n">
        <f aca="false">серпень!G26</f>
        <v>51.48</v>
      </c>
      <c r="H26" s="21" t="n">
        <f aca="false">серпень!H26</f>
        <v>0</v>
      </c>
      <c r="I26" s="22" t="n">
        <f aca="false">серпень!I26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71.4199999999996</v>
      </c>
      <c r="Q26" s="25" t="n">
        <f aca="false">IF(E26=0,IF((D26+N26-O26)&lt;0,ABS(D26+N26-O26),0),IF((N26-E26-O26)&lt;0,ABS(N26-E26-O26),0))</f>
        <v>0</v>
      </c>
      <c r="U26" s="52"/>
      <c r="V26" s="52"/>
      <c r="W26" s="52"/>
      <c r="X26" s="52"/>
    </row>
    <row r="27" customFormat="false" ht="15" hidden="false" customHeight="false" outlineLevel="0" collapsed="false">
      <c r="A27" s="17" t="s">
        <v>77</v>
      </c>
      <c r="B27" s="18" t="str">
        <f aca="false">серпень!B27</f>
        <v>Чичикало А.С</v>
      </c>
      <c r="C27" s="18" t="str">
        <f aca="false">серпень!C27</f>
        <v>1019</v>
      </c>
      <c r="D27" s="19" t="n">
        <f aca="false">серпень!P27</f>
        <v>399.66</v>
      </c>
      <c r="E27" s="19" t="n">
        <f aca="false">серпень!Q27</f>
        <v>0</v>
      </c>
      <c r="F27" s="20" t="n">
        <f aca="false">серпень!F27</f>
        <v>0</v>
      </c>
      <c r="G27" s="21" t="n">
        <f aca="false">серпень!G27</f>
        <v>35.1</v>
      </c>
      <c r="H27" s="21" t="n">
        <f aca="false">серпень!H27</f>
        <v>0</v>
      </c>
      <c r="I27" s="22" t="n">
        <f aca="false">серпень!I27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543.57</v>
      </c>
      <c r="Q27" s="25" t="n">
        <f aca="false">IF(E27=0,IF((D27+N27-O27)&lt;0,ABS(D27+N27-O27),0),IF((N27-E27-O27)&lt;0,ABS(N27-E27-O27),0))</f>
        <v>0</v>
      </c>
      <c r="U27" s="52"/>
      <c r="V27" s="52"/>
      <c r="W27" s="52"/>
      <c r="X27" s="52"/>
    </row>
    <row r="28" customFormat="false" ht="15" hidden="false" customHeight="false" outlineLevel="0" collapsed="false">
      <c r="A28" s="17" t="s">
        <v>80</v>
      </c>
      <c r="B28" s="18" t="str">
        <f aca="false">серпень!B28</f>
        <v>Сільващук А.А</v>
      </c>
      <c r="C28" s="18" t="str">
        <f aca="false">серпень!C28</f>
        <v>1020</v>
      </c>
      <c r="D28" s="19" t="n">
        <f aca="false">серпень!P28</f>
        <v>0</v>
      </c>
      <c r="E28" s="19" t="n">
        <f aca="false">серпень!Q28</f>
        <v>1.08002495835535E-012</v>
      </c>
      <c r="F28" s="20" t="n">
        <f aca="false">серпень!F28</f>
        <v>0</v>
      </c>
      <c r="G28" s="21" t="n">
        <f aca="false">серпень!G28</f>
        <v>62.7</v>
      </c>
      <c r="H28" s="21" t="n">
        <f aca="false">серпень!H28</f>
        <v>0</v>
      </c>
      <c r="I28" s="22" t="n">
        <f aca="false">серпень!I28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257.069999999999</v>
      </c>
      <c r="Q28" s="25" t="n">
        <f aca="false">IF(E28=0,IF((D28+N28-O28)&lt;0,ABS(D28+N28-O28),0),IF((N28-E28-O28)&lt;0,ABS(N28-E28-O28),0))</f>
        <v>0</v>
      </c>
      <c r="U28" s="52"/>
      <c r="V28" s="52"/>
      <c r="W28" s="52"/>
      <c r="X28" s="52"/>
    </row>
    <row r="29" customFormat="false" ht="15" hidden="false" customHeight="false" outlineLevel="0" collapsed="false">
      <c r="A29" s="17" t="s">
        <v>83</v>
      </c>
      <c r="B29" s="18" t="str">
        <f aca="false">серпень!B29</f>
        <v>Стеценко Г.М</v>
      </c>
      <c r="C29" s="18" t="str">
        <f aca="false">серпень!C29</f>
        <v>1021</v>
      </c>
      <c r="D29" s="19" t="n">
        <f aca="false">серпень!P29</f>
        <v>1446.21</v>
      </c>
      <c r="E29" s="19" t="n">
        <f aca="false">серпень!Q29</f>
        <v>0</v>
      </c>
      <c r="F29" s="20" t="n">
        <f aca="false">серпень!F29</f>
        <v>0</v>
      </c>
      <c r="G29" s="21" t="n">
        <f aca="false">серпень!G29</f>
        <v>65.32</v>
      </c>
      <c r="H29" s="21" t="n">
        <f aca="false">серпень!H29</f>
        <v>0</v>
      </c>
      <c r="I29" s="22" t="n">
        <f aca="false">серпень!I29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/>
      <c r="P29" s="25" t="n">
        <f aca="false">IF(D29=0,IF((N29-E29-O29)&gt;0,(N29-E29-O29),0),IF((D29+N29-O29)&gt;0,(D29+N29-O29),0))</f>
        <v>1714.02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серпень!B30</f>
        <v>Кирдячкіна П.А</v>
      </c>
      <c r="C30" s="18" t="str">
        <f aca="false">серпень!C30</f>
        <v>1022</v>
      </c>
      <c r="D30" s="19" t="n">
        <f aca="false">серпень!P30</f>
        <v>1130.32</v>
      </c>
      <c r="E30" s="19" t="n">
        <f aca="false">серпень!Q30</f>
        <v>0</v>
      </c>
      <c r="F30" s="20" t="n">
        <f aca="false">серпень!F30</f>
        <v>0</v>
      </c>
      <c r="G30" s="21" t="n">
        <f aca="false">серпень!G30</f>
        <v>49.7</v>
      </c>
      <c r="H30" s="21" t="n">
        <f aca="false">серпень!H30</f>
        <v>0</v>
      </c>
      <c r="I30" s="22" t="n">
        <f aca="false">серпень!I30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1334.09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серпень!B31</f>
        <v>Фоміченко Л.А</v>
      </c>
      <c r="C31" s="18" t="str">
        <f aca="false">серпень!C31</f>
        <v>1023</v>
      </c>
      <c r="D31" s="19" t="n">
        <f aca="false">серпень!P31</f>
        <v>1151.28</v>
      </c>
      <c r="E31" s="19" t="n">
        <f aca="false">серпень!Q31</f>
        <v>0</v>
      </c>
      <c r="F31" s="20" t="n">
        <f aca="false">серпень!F31</f>
        <v>0</v>
      </c>
      <c r="G31" s="21" t="n">
        <f aca="false">серпень!G31</f>
        <v>35.1</v>
      </c>
      <c r="H31" s="21" t="n">
        <f aca="false">серпень!H31</f>
        <v>0</v>
      </c>
      <c r="I31" s="22" t="n">
        <f aca="false">серпень!I31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1295.19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серпень!B32</f>
        <v>Сердюк А.Г</v>
      </c>
      <c r="C32" s="18" t="str">
        <f aca="false">серпень!C32</f>
        <v>1024</v>
      </c>
      <c r="D32" s="19" t="n">
        <f aca="false">серпень!P32</f>
        <v>1272.37</v>
      </c>
      <c r="E32" s="19" t="n">
        <f aca="false">серпень!Q32</f>
        <v>0</v>
      </c>
      <c r="F32" s="20" t="n">
        <f aca="false">серпень!F32</f>
        <v>0</v>
      </c>
      <c r="G32" s="21" t="n">
        <f aca="false">серпень!G32</f>
        <v>62.31</v>
      </c>
      <c r="H32" s="21" t="n">
        <f aca="false">серпень!H32</f>
        <v>0</v>
      </c>
      <c r="I32" s="22" t="n">
        <f aca="false">серпень!I32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/>
      <c r="P32" s="25" t="n">
        <f aca="false">IF(D32=0,IF((N32-E32-O32)&gt;0,(N32-E32-O32),0),IF((D32+N32-O32)&gt;0,(D32+N32-O32),0))</f>
        <v>1527.84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серпень!B33</f>
        <v>Михальченко Г.М</v>
      </c>
      <c r="C33" s="18" t="str">
        <f aca="false">серпень!C33</f>
        <v>1025</v>
      </c>
      <c r="D33" s="19" t="n">
        <f aca="false">серпень!P33</f>
        <v>4920.76</v>
      </c>
      <c r="E33" s="19" t="n">
        <f aca="false">серпень!Q33</f>
        <v>0</v>
      </c>
      <c r="F33" s="20" t="n">
        <f aca="false">серпень!F33</f>
        <v>0</v>
      </c>
      <c r="G33" s="21" t="n">
        <f aca="false">серпень!G33</f>
        <v>65.04</v>
      </c>
      <c r="H33" s="21" t="n">
        <f aca="false">серпень!H33</f>
        <v>0</v>
      </c>
      <c r="I33" s="22" t="n">
        <f aca="false">серпень!I33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5187.42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серпень!B34</f>
        <v>Замуховська Я.С</v>
      </c>
      <c r="C34" s="18" t="str">
        <f aca="false">серпень!C34</f>
        <v>1026</v>
      </c>
      <c r="D34" s="19" t="n">
        <f aca="false">серпень!P34</f>
        <v>2670.41</v>
      </c>
      <c r="E34" s="19" t="n">
        <f aca="false">серпень!Q34</f>
        <v>0</v>
      </c>
      <c r="F34" s="20" t="n">
        <f aca="false">серпень!F34</f>
        <v>0</v>
      </c>
      <c r="G34" s="21" t="n">
        <f aca="false">серпень!G34</f>
        <v>49.8</v>
      </c>
      <c r="H34" s="21" t="n">
        <f aca="false">серпень!H34</f>
        <v>0</v>
      </c>
      <c r="I34" s="22" t="n">
        <f aca="false">серпень!I34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2874.59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серпень!B35</f>
        <v>Мержиєвська Г.К</v>
      </c>
      <c r="C35" s="18" t="str">
        <f aca="false">серпень!C35</f>
        <v>1027</v>
      </c>
      <c r="D35" s="19" t="n">
        <f aca="false">серпень!P35</f>
        <v>0</v>
      </c>
      <c r="E35" s="19" t="n">
        <f aca="false">серпень!Q35</f>
        <v>327.5</v>
      </c>
      <c r="F35" s="20" t="n">
        <f aca="false">серпень!F35</f>
        <v>0</v>
      </c>
      <c r="G35" s="21" t="n">
        <f aca="false">серпень!G35</f>
        <v>35.17</v>
      </c>
      <c r="H35" s="21" t="n">
        <f aca="false">серпень!H35</f>
        <v>0</v>
      </c>
      <c r="I35" s="22" t="n">
        <f aca="false">серпень!I35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/>
      <c r="P35" s="25" t="n">
        <f aca="false">IF(D35=0,IF((N35-E35-O35)&gt;0,(N35-E35-O35),0),IF((D35+N35-O35)&gt;0,(D35+N35-O35),0))</f>
        <v>0</v>
      </c>
      <c r="Q35" s="25" t="n">
        <f aca="false">IF(E35=0,IF((D35+N35-O35)&lt;0,ABS(D35+N35-O35),0),IF((N35-E35-O35)&lt;0,ABS(N35-E35-O35),0))</f>
        <v>183.3</v>
      </c>
    </row>
    <row r="36" customFormat="false" ht="15" hidden="false" customHeight="false" outlineLevel="0" collapsed="false">
      <c r="A36" s="17" t="s">
        <v>104</v>
      </c>
      <c r="B36" s="18" t="str">
        <f aca="false">серпень!B36</f>
        <v>Кулакова Л.В.</v>
      </c>
      <c r="C36" s="18" t="str">
        <f aca="false">серпень!C36</f>
        <v>1028</v>
      </c>
      <c r="D36" s="19" t="n">
        <f aca="false">серпень!P36</f>
        <v>2022.35</v>
      </c>
      <c r="E36" s="19" t="n">
        <f aca="false">серпень!Q36</f>
        <v>0</v>
      </c>
      <c r="F36" s="20" t="n">
        <f aca="false">серпень!F36</f>
        <v>0</v>
      </c>
      <c r="G36" s="21" t="n">
        <f aca="false">серпень!G36</f>
        <v>62.47</v>
      </c>
      <c r="H36" s="21" t="n">
        <f aca="false">серпень!H36</f>
        <v>0</v>
      </c>
      <c r="I36" s="22" t="n">
        <f aca="false">серпень!I36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2278.48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серпень!B37</f>
        <v>Бочаров В.Л.</v>
      </c>
      <c r="C37" s="18" t="str">
        <f aca="false">серпень!C37</f>
        <v>1029</v>
      </c>
      <c r="D37" s="19" t="n">
        <f aca="false">серпень!P37</f>
        <v>3635.28</v>
      </c>
      <c r="E37" s="19" t="n">
        <f aca="false">серпень!Q37</f>
        <v>0</v>
      </c>
      <c r="F37" s="20" t="n">
        <f aca="false">серпень!F37</f>
        <v>0</v>
      </c>
      <c r="G37" s="21" t="n">
        <f aca="false">серпень!G37</f>
        <v>65.75</v>
      </c>
      <c r="H37" s="21" t="n">
        <f aca="false">серпень!H37</f>
        <v>0</v>
      </c>
      <c r="I37" s="22" t="n">
        <f aca="false">серпень!I37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3904.86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серпень!B38</f>
        <v>Лучков В.Л.</v>
      </c>
      <c r="C38" s="18" t="str">
        <f aca="false">серпень!C38</f>
        <v>1030</v>
      </c>
      <c r="D38" s="19" t="n">
        <f aca="false">серпень!P38</f>
        <v>3862.99</v>
      </c>
      <c r="E38" s="19" t="n">
        <f aca="false">серпень!Q38</f>
        <v>0</v>
      </c>
      <c r="F38" s="20" t="n">
        <f aca="false">серпень!F38</f>
        <v>0</v>
      </c>
      <c r="G38" s="21" t="n">
        <f aca="false">серпень!G38</f>
        <v>49.7</v>
      </c>
      <c r="H38" s="21" t="n">
        <f aca="false">серпень!H38</f>
        <v>0</v>
      </c>
      <c r="I38" s="22" t="n">
        <f aca="false">серпень!I38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4066.76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серпень!B39</f>
        <v>Кашкар Т.М.</v>
      </c>
      <c r="C39" s="18" t="str">
        <f aca="false">серпень!C39</f>
        <v>1031</v>
      </c>
      <c r="D39" s="19" t="n">
        <f aca="false">серпень!P39</f>
        <v>0</v>
      </c>
      <c r="E39" s="19" t="n">
        <f aca="false">серпень!Q39</f>
        <v>8.5265128291212E-014</v>
      </c>
      <c r="F39" s="20" t="n">
        <f aca="false">серпень!F39</f>
        <v>0</v>
      </c>
      <c r="G39" s="21" t="n">
        <f aca="false">серпень!G39</f>
        <v>35.1</v>
      </c>
      <c r="H39" s="21" t="n">
        <f aca="false">серпень!H39</f>
        <v>0</v>
      </c>
      <c r="I39" s="22" t="n">
        <f aca="false">серпень!I39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143.91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серпень!B40</f>
        <v>Стецюк Н.П.</v>
      </c>
      <c r="C40" s="18" t="str">
        <f aca="false">серпень!C40</f>
        <v>1032</v>
      </c>
      <c r="D40" s="19" t="n">
        <f aca="false">серпень!P40</f>
        <v>3789.99</v>
      </c>
      <c r="E40" s="19" t="n">
        <f aca="false">серпень!Q40</f>
        <v>0</v>
      </c>
      <c r="F40" s="20" t="n">
        <f aca="false">серпень!F40</f>
        <v>0</v>
      </c>
      <c r="G40" s="21" t="n">
        <f aca="false">серпень!G40</f>
        <v>61.9</v>
      </c>
      <c r="H40" s="21" t="n">
        <f aca="false">серпень!H40</f>
        <v>0</v>
      </c>
      <c r="I40" s="22" t="n">
        <f aca="false">серпень!I40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4043.78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серпень!B41</f>
        <v>Маханько В.О.</v>
      </c>
      <c r="C41" s="18" t="str">
        <f aca="false">серпень!C41</f>
        <v>1033</v>
      </c>
      <c r="D41" s="19" t="n">
        <f aca="false">серпень!P41</f>
        <v>2038.65</v>
      </c>
      <c r="E41" s="19" t="n">
        <f aca="false">серпень!Q41</f>
        <v>0</v>
      </c>
      <c r="F41" s="20" t="n">
        <f aca="false">серпень!F41</f>
        <v>0</v>
      </c>
      <c r="G41" s="21" t="n">
        <f aca="false">серпень!G41</f>
        <v>65.53</v>
      </c>
      <c r="H41" s="21" t="n">
        <f aca="false">серпень!H41</f>
        <v>0</v>
      </c>
      <c r="I41" s="22" t="n">
        <f aca="false">серпень!I41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2307.32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серпень!B42</f>
        <v>Реуцька Р.С.</v>
      </c>
      <c r="C42" s="18" t="str">
        <f aca="false">серпень!C42</f>
        <v>1034</v>
      </c>
      <c r="D42" s="19" t="n">
        <f aca="false">серпень!P42</f>
        <v>2555.9</v>
      </c>
      <c r="E42" s="19" t="n">
        <f aca="false">серпень!Q42</f>
        <v>0</v>
      </c>
      <c r="F42" s="20" t="n">
        <f aca="false">серпень!F42</f>
        <v>0</v>
      </c>
      <c r="G42" s="21" t="n">
        <f aca="false">серпень!G42</f>
        <v>49.7</v>
      </c>
      <c r="H42" s="21" t="n">
        <f aca="false">серпень!H42</f>
        <v>0</v>
      </c>
      <c r="I42" s="22" t="n">
        <f aca="false">серпень!I42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2759.67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серпень!B43</f>
        <v>Колесникова Р.Г.</v>
      </c>
      <c r="C43" s="18" t="str">
        <f aca="false">серпень!C43</f>
        <v>1035</v>
      </c>
      <c r="D43" s="19" t="n">
        <f aca="false">серпень!P43</f>
        <v>1047.58</v>
      </c>
      <c r="E43" s="19" t="n">
        <f aca="false">серпень!Q43</f>
        <v>0</v>
      </c>
      <c r="F43" s="20" t="n">
        <f aca="false">серпень!F43</f>
        <v>0</v>
      </c>
      <c r="G43" s="21" t="n">
        <f aca="false">серпень!G43</f>
        <v>35.1</v>
      </c>
      <c r="H43" s="21" t="n">
        <f aca="false">серпень!H43</f>
        <v>0</v>
      </c>
      <c r="I43" s="22" t="n">
        <f aca="false">серпень!I43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1191.49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серпень!B44</f>
        <v>Кучеренко М.М.</v>
      </c>
      <c r="C44" s="18" t="str">
        <f aca="false">серпень!C44</f>
        <v>1036</v>
      </c>
      <c r="D44" s="19" t="n">
        <f aca="false">серпень!P44</f>
        <v>4117.51</v>
      </c>
      <c r="E44" s="19" t="n">
        <f aca="false">серпень!Q44</f>
        <v>0</v>
      </c>
      <c r="F44" s="20" t="n">
        <f aca="false">серпень!F44</f>
        <v>0</v>
      </c>
      <c r="G44" s="21" t="n">
        <f aca="false">серпень!G44</f>
        <v>61.88</v>
      </c>
      <c r="H44" s="21" t="n">
        <f aca="false">серпень!H44</f>
        <v>0</v>
      </c>
      <c r="I44" s="22" t="n">
        <f aca="false">серпень!I44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4371.22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серпень!B45</f>
        <v>Гурова О.М.</v>
      </c>
      <c r="C45" s="18" t="str">
        <f aca="false">серпень!C45</f>
        <v>2037</v>
      </c>
      <c r="D45" s="19" t="n">
        <f aca="false">серпень!P45</f>
        <v>0</v>
      </c>
      <c r="E45" s="19" t="n">
        <f aca="false">серпень!Q45</f>
        <v>316.43</v>
      </c>
      <c r="F45" s="20" t="n">
        <f aca="false">серпень!F45</f>
        <v>0</v>
      </c>
      <c r="G45" s="21" t="n">
        <f aca="false">серпень!G45</f>
        <v>62.2</v>
      </c>
      <c r="H45" s="21" t="n">
        <f aca="false">серпень!H45</f>
        <v>0</v>
      </c>
      <c r="I45" s="22" t="n">
        <f aca="false">серпень!I45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0</v>
      </c>
      <c r="Q45" s="25" t="n">
        <f aca="false">IF(E45=0,IF((D45+N45-O45)&lt;0,ABS(D45+N45-O45),0),IF((N45-E45-O45)&lt;0,ABS(N45-E45-O45),0))</f>
        <v>61.4099999999996</v>
      </c>
    </row>
    <row r="46" customFormat="false" ht="15" hidden="false" customHeight="false" outlineLevel="0" collapsed="false">
      <c r="A46" s="17" t="s">
        <v>134</v>
      </c>
      <c r="B46" s="18" t="str">
        <f aca="false">серпень!B46</f>
        <v>Федорова В.І.</v>
      </c>
      <c r="C46" s="18" t="str">
        <f aca="false">серпень!C46</f>
        <v>2038</v>
      </c>
      <c r="D46" s="19" t="n">
        <f aca="false">серпень!P46</f>
        <v>271.72</v>
      </c>
      <c r="E46" s="19" t="n">
        <f aca="false">серпень!Q46</f>
        <v>0</v>
      </c>
      <c r="F46" s="20" t="n">
        <f aca="false">серпень!F46</f>
        <v>0</v>
      </c>
      <c r="G46" s="21" t="n">
        <f aca="false">серпень!G46</f>
        <v>34.9</v>
      </c>
      <c r="H46" s="21" t="n">
        <f aca="false">серпень!H46</f>
        <v>0</v>
      </c>
      <c r="I46" s="22" t="n">
        <f aca="false">серпень!I46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414.81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серпень!B47</f>
        <v>Лаптєв В.І.</v>
      </c>
      <c r="C47" s="18" t="str">
        <f aca="false">серпень!C47</f>
        <v>2039</v>
      </c>
      <c r="D47" s="19" t="n">
        <f aca="false">серпень!P47</f>
        <v>199.980000000001</v>
      </c>
      <c r="E47" s="19" t="n">
        <f aca="false">серпень!Q47</f>
        <v>0</v>
      </c>
      <c r="F47" s="20" t="n">
        <f aca="false">серпень!F47</f>
        <v>0</v>
      </c>
      <c r="G47" s="21" t="n">
        <f aca="false">серпень!G47</f>
        <v>48.8</v>
      </c>
      <c r="H47" s="21" t="n">
        <f aca="false">серпень!H47</f>
        <v>0</v>
      </c>
      <c r="I47" s="22" t="n">
        <f aca="false">серпень!I47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/>
      <c r="P47" s="25" t="n">
        <f aca="false">IF(D47=0,IF((N47-E47-O47)&gt;0,(N47-E47-O47),0),IF((D47+N47-O47)&gt;0,(D47+N47-O47),0))</f>
        <v>400.060000000001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серпень!B48</f>
        <v>Тимощук О.Є.</v>
      </c>
      <c r="C48" s="18" t="str">
        <f aca="false">серпень!C48</f>
        <v>2040</v>
      </c>
      <c r="D48" s="19" t="n">
        <f aca="false">серпень!P48</f>
        <v>703.710000000001</v>
      </c>
      <c r="E48" s="19" t="n">
        <f aca="false">серпень!Q48</f>
        <v>0</v>
      </c>
      <c r="F48" s="20" t="n">
        <f aca="false">серпень!F48</f>
        <v>0</v>
      </c>
      <c r="G48" s="21" t="n">
        <f aca="false">серпень!G48</f>
        <v>57.3</v>
      </c>
      <c r="H48" s="21" t="n">
        <f aca="false">серпень!H48</f>
        <v>0</v>
      </c>
      <c r="I48" s="22" t="n">
        <f aca="false">серпень!I48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/>
      <c r="P48" s="25" t="n">
        <f aca="false">IF(D48=0,IF((N48-E48-O48)&gt;0,(N48-E48-O48),0),IF((D48+N48-O48)&gt;0,(D48+N48-O48),0))</f>
        <v>938.640000000001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серпень!B49</f>
        <v>Котяш О.В.</v>
      </c>
      <c r="C49" s="18" t="str">
        <f aca="false">серпень!C49</f>
        <v>2041</v>
      </c>
      <c r="D49" s="19" t="n">
        <f aca="false">серпень!P49</f>
        <v>3890.81</v>
      </c>
      <c r="E49" s="19" t="n">
        <f aca="false">серпень!Q49</f>
        <v>0</v>
      </c>
      <c r="F49" s="20" t="n">
        <f aca="false">серпень!F49</f>
        <v>0</v>
      </c>
      <c r="G49" s="21" t="n">
        <f aca="false">серпень!G49</f>
        <v>63.3</v>
      </c>
      <c r="H49" s="21" t="n">
        <f aca="false">серпень!H49</f>
        <v>0</v>
      </c>
      <c r="I49" s="22" t="n">
        <f aca="false">серпень!I49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4150.34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серпень!B50</f>
        <v>Токовило-Паращенко Л.П.</v>
      </c>
      <c r="C50" s="18" t="str">
        <f aca="false">серпень!C50</f>
        <v>2042</v>
      </c>
      <c r="D50" s="19" t="n">
        <f aca="false">серпень!P50</f>
        <v>1341.69</v>
      </c>
      <c r="E50" s="19" t="n">
        <f aca="false">серпень!Q50</f>
        <v>0</v>
      </c>
      <c r="F50" s="20" t="n">
        <f aca="false">серпень!F50</f>
        <v>0</v>
      </c>
      <c r="G50" s="21" t="n">
        <f aca="false">серпень!G50</f>
        <v>35.68</v>
      </c>
      <c r="H50" s="21" t="n">
        <f aca="false">серпень!H50</f>
        <v>0</v>
      </c>
      <c r="I50" s="22" t="n">
        <f aca="false">серпень!I50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1487.98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серпень!B51</f>
        <v>Бєлая К.В.</v>
      </c>
      <c r="C51" s="18" t="str">
        <f aca="false">серпень!C51</f>
        <v>2043</v>
      </c>
      <c r="D51" s="19" t="n">
        <f aca="false">серпень!P51</f>
        <v>408.360000000001</v>
      </c>
      <c r="E51" s="19" t="n">
        <f aca="false">серпень!Q51</f>
        <v>0</v>
      </c>
      <c r="F51" s="20" t="n">
        <f aca="false">серпень!F51</f>
        <v>0</v>
      </c>
      <c r="G51" s="21" t="n">
        <f aca="false">серпень!G51</f>
        <v>49.8</v>
      </c>
      <c r="H51" s="21" t="n">
        <f aca="false">серпень!H51</f>
        <v>0</v>
      </c>
      <c r="I51" s="22" t="n">
        <f aca="false">серпень!I51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612.540000000001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серпень!B52</f>
        <v>Стадник О.Ф.</v>
      </c>
      <c r="C52" s="18" t="str">
        <f aca="false">серпень!C52</f>
        <v>2044</v>
      </c>
      <c r="D52" s="19" t="n">
        <f aca="false">серпень!P52</f>
        <v>3563.95</v>
      </c>
      <c r="E52" s="19" t="n">
        <f aca="false">серпень!Q52</f>
        <v>0</v>
      </c>
      <c r="F52" s="20" t="n">
        <f aca="false">серпень!F52</f>
        <v>0</v>
      </c>
      <c r="G52" s="21" t="n">
        <f aca="false">серпень!G52</f>
        <v>65.9</v>
      </c>
      <c r="H52" s="21" t="n">
        <f aca="false">серпень!H52</f>
        <v>0</v>
      </c>
      <c r="I52" s="22" t="n">
        <f aca="false">серпень!I52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3834.14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серпень!B53</f>
        <v>Ляшенко В.М.</v>
      </c>
      <c r="C53" s="18" t="str">
        <f aca="false">серпень!C53</f>
        <v>2045</v>
      </c>
      <c r="D53" s="19" t="n">
        <f aca="false">серпень!P53</f>
        <v>508.399999999999</v>
      </c>
      <c r="E53" s="19" t="n">
        <f aca="false">серпень!Q53</f>
        <v>0</v>
      </c>
      <c r="F53" s="20" t="n">
        <f aca="false">серпень!F53</f>
        <v>0</v>
      </c>
      <c r="G53" s="21" t="n">
        <f aca="false">серпень!G53</f>
        <v>62</v>
      </c>
      <c r="H53" s="21" t="n">
        <f aca="false">серпень!H53</f>
        <v>0</v>
      </c>
      <c r="I53" s="22" t="n">
        <f aca="false">серпень!I53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762.6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серпень!B54</f>
        <v>Смоленська Т.О.</v>
      </c>
      <c r="C54" s="18" t="str">
        <f aca="false">серпень!C54</f>
        <v>2046</v>
      </c>
      <c r="D54" s="19" t="n">
        <f aca="false">серпень!P54</f>
        <v>2151.28</v>
      </c>
      <c r="E54" s="19" t="n">
        <f aca="false">серпень!Q54</f>
        <v>0</v>
      </c>
      <c r="F54" s="20" t="n">
        <f aca="false">серпень!F54</f>
        <v>0</v>
      </c>
      <c r="G54" s="21" t="n">
        <f aca="false">серпень!G54</f>
        <v>35.1</v>
      </c>
      <c r="H54" s="21" t="n">
        <f aca="false">серпень!H54</f>
        <v>0</v>
      </c>
      <c r="I54" s="22" t="n">
        <f aca="false">серпень!I54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2295.19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серпень!B55</f>
        <v>Дудка І.В.</v>
      </c>
      <c r="C55" s="18" t="str">
        <f aca="false">серпень!C55</f>
        <v>2047</v>
      </c>
      <c r="D55" s="19" t="n">
        <f aca="false">серпень!P55</f>
        <v>813.440000000001</v>
      </c>
      <c r="E55" s="19" t="n">
        <f aca="false">серпень!Q55</f>
        <v>0</v>
      </c>
      <c r="F55" s="20" t="n">
        <f aca="false">серпень!F55</f>
        <v>0</v>
      </c>
      <c r="G55" s="21" t="n">
        <f aca="false">серпень!G55</f>
        <v>49.6</v>
      </c>
      <c r="H55" s="21" t="n">
        <f aca="false">серпень!H55</f>
        <v>0</v>
      </c>
      <c r="I55" s="22" t="n">
        <f aca="false">серпень!I55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1016.8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серпень!B56</f>
        <v>Буланова Л.І.</v>
      </c>
      <c r="C56" s="18" t="str">
        <f aca="false">серпень!C56</f>
        <v>2048</v>
      </c>
      <c r="D56" s="19" t="n">
        <f aca="false">серпень!P56</f>
        <v>544.8</v>
      </c>
      <c r="E56" s="19" t="n">
        <f aca="false">серпень!Q56</f>
        <v>0</v>
      </c>
      <c r="F56" s="20" t="n">
        <f aca="false">серпень!F56</f>
        <v>0</v>
      </c>
      <c r="G56" s="21" t="n">
        <f aca="false">серпень!G56</f>
        <v>66.44</v>
      </c>
      <c r="H56" s="21" t="n">
        <f aca="false">серпень!H56</f>
        <v>0</v>
      </c>
      <c r="I56" s="22" t="n">
        <f aca="false">серпень!I56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817.2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серпень!B57</f>
        <v>Шалімова О.О.</v>
      </c>
      <c r="C57" s="18" t="str">
        <f aca="false">серпень!C57</f>
        <v>2049</v>
      </c>
      <c r="D57" s="19" t="n">
        <f aca="false">серпень!P57</f>
        <v>3797.15</v>
      </c>
      <c r="E57" s="19" t="n">
        <f aca="false">серпень!Q57</f>
        <v>0</v>
      </c>
      <c r="F57" s="20" t="n">
        <f aca="false">серпень!F57</f>
        <v>0</v>
      </c>
      <c r="G57" s="21" t="n">
        <f aca="false">серпень!G57</f>
        <v>62.1</v>
      </c>
      <c r="H57" s="21" t="n">
        <f aca="false">серпень!H57</f>
        <v>0</v>
      </c>
      <c r="I57" s="22" t="n">
        <f aca="false">серпень!I57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4051.76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серпень!B58</f>
        <v>Андросик О.О.</v>
      </c>
      <c r="C58" s="18" t="str">
        <f aca="false">серпень!C58</f>
        <v>2050</v>
      </c>
      <c r="D58" s="19" t="n">
        <f aca="false">серпень!P58</f>
        <v>286.18</v>
      </c>
      <c r="E58" s="19" t="n">
        <f aca="false">серпень!Q58</f>
        <v>0</v>
      </c>
      <c r="F58" s="20" t="n">
        <f aca="false">серпень!F58</f>
        <v>0</v>
      </c>
      <c r="G58" s="21" t="n">
        <f aca="false">серпень!G58</f>
        <v>34.9</v>
      </c>
      <c r="H58" s="21" t="n">
        <f aca="false">серпень!H58</f>
        <v>0</v>
      </c>
      <c r="I58" s="22" t="n">
        <f aca="false">серпень!I58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429.27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серпень!B59</f>
        <v>Токар Є.А.</v>
      </c>
      <c r="C59" s="18" t="str">
        <f aca="false">серпень!C59</f>
        <v>2051</v>
      </c>
      <c r="D59" s="19" t="n">
        <f aca="false">серпень!P59</f>
        <v>3172.55</v>
      </c>
      <c r="E59" s="19" t="n">
        <f aca="false">серпень!Q59</f>
        <v>0</v>
      </c>
      <c r="F59" s="20" t="n">
        <f aca="false">серпень!F59</f>
        <v>0</v>
      </c>
      <c r="G59" s="21" t="n">
        <f aca="false">серпень!G59</f>
        <v>49.22</v>
      </c>
      <c r="H59" s="21" t="n">
        <f aca="false">серпень!H59</f>
        <v>0</v>
      </c>
      <c r="I59" s="22" t="n">
        <f aca="false">серпень!I59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3374.35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серпень!B60</f>
        <v>Констанчук І.В.</v>
      </c>
      <c r="C60" s="18" t="str">
        <f aca="false">серпень!C60</f>
        <v>2052</v>
      </c>
      <c r="D60" s="19" t="n">
        <f aca="false">серпень!P60</f>
        <v>3992.81</v>
      </c>
      <c r="E60" s="19" t="n">
        <f aca="false">серпень!Q60</f>
        <v>0</v>
      </c>
      <c r="F60" s="20" t="n">
        <f aca="false">серпень!F60</f>
        <v>0</v>
      </c>
      <c r="G60" s="21" t="n">
        <f aca="false">серпень!G60</f>
        <v>65.5</v>
      </c>
      <c r="H60" s="21" t="n">
        <f aca="false">серпень!H60</f>
        <v>0</v>
      </c>
      <c r="I60" s="22" t="n">
        <f aca="false">серпень!I60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4261.36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серпень!B61</f>
        <v>Гончаров В.В.</v>
      </c>
      <c r="C61" s="18" t="str">
        <f aca="false">серпень!C61</f>
        <v>2053</v>
      </c>
      <c r="D61" s="19" t="n">
        <f aca="false">серпень!P61</f>
        <v>0</v>
      </c>
      <c r="E61" s="19" t="n">
        <f aca="false">серпень!Q61</f>
        <v>1027.28</v>
      </c>
      <c r="F61" s="20" t="n">
        <f aca="false">серпень!F61</f>
        <v>0</v>
      </c>
      <c r="G61" s="21" t="n">
        <f aca="false">серпень!G61</f>
        <v>62.64</v>
      </c>
      <c r="H61" s="21" t="n">
        <f aca="false">серпень!H61</f>
        <v>0</v>
      </c>
      <c r="I61" s="22" t="n">
        <f aca="false">серпень!I61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770.459999999998</v>
      </c>
    </row>
    <row r="62" customFormat="false" ht="15" hidden="false" customHeight="false" outlineLevel="0" collapsed="false">
      <c r="A62" s="17" t="s">
        <v>182</v>
      </c>
      <c r="B62" s="18" t="str">
        <f aca="false">серпень!B62</f>
        <v>Ляхомський В.О.</v>
      </c>
      <c r="C62" s="18" t="str">
        <f aca="false">серпень!C62</f>
        <v>2054</v>
      </c>
      <c r="D62" s="19" t="n">
        <f aca="false">серпень!P62</f>
        <v>1006.11</v>
      </c>
      <c r="E62" s="19" t="n">
        <f aca="false">серпень!Q62</f>
        <v>0</v>
      </c>
      <c r="F62" s="20" t="n">
        <f aca="false">серпень!F62</f>
        <v>0</v>
      </c>
      <c r="G62" s="21" t="n">
        <f aca="false">серпень!G62</f>
        <v>34.9</v>
      </c>
      <c r="H62" s="21" t="n">
        <f aca="false">серпень!H62</f>
        <v>0</v>
      </c>
      <c r="I62" s="22" t="n">
        <f aca="false">серпень!I62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1149.2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серпень!B63</f>
        <v>Крамаренко В.П.</v>
      </c>
      <c r="C63" s="18" t="str">
        <f aca="false">серпень!C63</f>
        <v>2055</v>
      </c>
      <c r="D63" s="19" t="n">
        <f aca="false">серпень!P63</f>
        <v>3069.06</v>
      </c>
      <c r="E63" s="19" t="n">
        <f aca="false">серпень!Q63</f>
        <v>0</v>
      </c>
      <c r="F63" s="20" t="n">
        <f aca="false">серпень!F63</f>
        <v>0</v>
      </c>
      <c r="G63" s="21" t="n">
        <f aca="false">серпень!G63</f>
        <v>49.79</v>
      </c>
      <c r="H63" s="21" t="n">
        <f aca="false">серпень!H63</f>
        <v>0</v>
      </c>
      <c r="I63" s="22" t="n">
        <f aca="false">серпень!I63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3273.2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серпень!B64</f>
        <v>Родзик С.Г.</v>
      </c>
      <c r="C64" s="18" t="str">
        <f aca="false">серпень!C64</f>
        <v>2056</v>
      </c>
      <c r="D64" s="19" t="n">
        <f aca="false">серпень!P64</f>
        <v>1290.21</v>
      </c>
      <c r="E64" s="19" t="n">
        <f aca="false">серпень!Q64</f>
        <v>0</v>
      </c>
      <c r="F64" s="20" t="n">
        <f aca="false">серпень!F64</f>
        <v>0</v>
      </c>
      <c r="G64" s="21" t="n">
        <f aca="false">серпень!G64</f>
        <v>65.2</v>
      </c>
      <c r="H64" s="21" t="n">
        <f aca="false">серпень!H64</f>
        <v>0</v>
      </c>
      <c r="I64" s="22" t="n">
        <f aca="false">серпень!I64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1557.53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серпень!B65</f>
        <v>Никоненко Н.С.</v>
      </c>
      <c r="C65" s="18" t="str">
        <f aca="false">серпень!C65</f>
        <v>2057</v>
      </c>
      <c r="D65" s="19" t="n">
        <f aca="false">серпень!P65</f>
        <v>2939.14</v>
      </c>
      <c r="E65" s="19" t="n">
        <f aca="false">серпень!Q65</f>
        <v>0</v>
      </c>
      <c r="F65" s="20" t="n">
        <f aca="false">серпень!F65</f>
        <v>0</v>
      </c>
      <c r="G65" s="21" t="n">
        <f aca="false">серпень!G65</f>
        <v>61.88</v>
      </c>
      <c r="H65" s="21" t="n">
        <f aca="false">серпень!H65</f>
        <v>0</v>
      </c>
      <c r="I65" s="22" t="n">
        <f aca="false">серпень!I65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3192.85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серпень!B66</f>
        <v>Чепок О.В.</v>
      </c>
      <c r="C66" s="18" t="str">
        <f aca="false">серпень!C66</f>
        <v>2058</v>
      </c>
      <c r="D66" s="19" t="n">
        <f aca="false">серпень!P66</f>
        <v>3765.91</v>
      </c>
      <c r="E66" s="19" t="n">
        <f aca="false">серпень!Q66</f>
        <v>0</v>
      </c>
      <c r="F66" s="20" t="n">
        <f aca="false">серпень!F66</f>
        <v>0</v>
      </c>
      <c r="G66" s="21" t="n">
        <f aca="false">серпень!G66</f>
        <v>35</v>
      </c>
      <c r="H66" s="21" t="n">
        <f aca="false">серпень!H66</f>
        <v>0</v>
      </c>
      <c r="I66" s="22" t="n">
        <f aca="false">серпень!I66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3909.41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серпень!B67</f>
        <v>Горошенко Л.С.</v>
      </c>
      <c r="C67" s="18" t="str">
        <f aca="false">серпень!C67</f>
        <v>2059</v>
      </c>
      <c r="D67" s="19" t="n">
        <f aca="false">серпень!P67</f>
        <v>0</v>
      </c>
      <c r="E67" s="19" t="n">
        <f aca="false">серпень!Q67</f>
        <v>1761.59</v>
      </c>
      <c r="F67" s="20" t="n">
        <f aca="false">серпень!F67</f>
        <v>0</v>
      </c>
      <c r="G67" s="21" t="n">
        <f aca="false">серпень!G67</f>
        <v>49.3</v>
      </c>
      <c r="H67" s="21" t="n">
        <f aca="false">серпень!H67</f>
        <v>0</v>
      </c>
      <c r="I67" s="22" t="n">
        <f aca="false">серпень!I67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/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1559.46</v>
      </c>
    </row>
    <row r="68" customFormat="false" ht="15" hidden="false" customHeight="false" outlineLevel="0" collapsed="false">
      <c r="A68" s="17" t="s">
        <v>200</v>
      </c>
      <c r="B68" s="18" t="str">
        <f aca="false">серпень!B68</f>
        <v>Неграчева Л.Г.</v>
      </c>
      <c r="C68" s="18" t="str">
        <f aca="false">серпень!C68</f>
        <v>2060</v>
      </c>
      <c r="D68" s="19" t="n">
        <f aca="false">серпень!P68</f>
        <v>75.2599999999986</v>
      </c>
      <c r="E68" s="19" t="n">
        <f aca="false">серпень!Q68</f>
        <v>0</v>
      </c>
      <c r="F68" s="20" t="n">
        <f aca="false">серпень!F68</f>
        <v>0</v>
      </c>
      <c r="G68" s="21" t="n">
        <f aca="false">серпень!G68</f>
        <v>66.6</v>
      </c>
      <c r="H68" s="21" t="n">
        <f aca="false">серпень!H68</f>
        <v>0</v>
      </c>
      <c r="I68" s="22" t="n">
        <f aca="false">серпень!I68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348.319999999999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серпень!B69</f>
        <v>Брежнєв О.В.</v>
      </c>
      <c r="C69" s="18" t="str">
        <f aca="false">серпень!C69</f>
        <v>2061</v>
      </c>
      <c r="D69" s="19" t="n">
        <f aca="false">серпень!P69</f>
        <v>3300.36</v>
      </c>
      <c r="E69" s="19" t="n">
        <f aca="false">серпень!Q69</f>
        <v>0</v>
      </c>
      <c r="F69" s="20" t="n">
        <f aca="false">серпень!F69</f>
        <v>0</v>
      </c>
      <c r="G69" s="21" t="n">
        <f aca="false">серпень!G69</f>
        <v>61.88</v>
      </c>
      <c r="H69" s="21" t="n">
        <f aca="false">серпень!H69</f>
        <v>0</v>
      </c>
      <c r="I69" s="22" t="n">
        <f aca="false">серпень!I69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3554.07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серпень!B70</f>
        <v>Горбатюк К.О.</v>
      </c>
      <c r="C70" s="18" t="str">
        <f aca="false">серпень!C70</f>
        <v>2062</v>
      </c>
      <c r="D70" s="19" t="n">
        <f aca="false">серпень!P70</f>
        <v>1993.8</v>
      </c>
      <c r="E70" s="19" t="n">
        <f aca="false">серпень!Q70</f>
        <v>0</v>
      </c>
      <c r="F70" s="20" t="n">
        <f aca="false">серпень!F70</f>
        <v>0</v>
      </c>
      <c r="G70" s="21" t="n">
        <f aca="false">серпень!G70</f>
        <v>34.96</v>
      </c>
      <c r="H70" s="21" t="n">
        <f aca="false">серпень!H70</f>
        <v>0</v>
      </c>
      <c r="I70" s="22" t="n">
        <f aca="false">серпень!I70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2137.14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серпень!B71</f>
        <v>Божик М.О.</v>
      </c>
      <c r="C71" s="18" t="str">
        <f aca="false">серпень!C71</f>
        <v>2063</v>
      </c>
      <c r="D71" s="19" t="n">
        <f aca="false">серпень!P71</f>
        <v>628.96</v>
      </c>
      <c r="E71" s="19" t="n">
        <f aca="false">серпень!Q71</f>
        <v>0</v>
      </c>
      <c r="F71" s="20" t="n">
        <f aca="false">серпень!F71</f>
        <v>0</v>
      </c>
      <c r="G71" s="21" t="n">
        <f aca="false">серпень!G71</f>
        <v>50.03</v>
      </c>
      <c r="H71" s="21" t="n">
        <f aca="false">серпень!H71</f>
        <v>0</v>
      </c>
      <c r="I71" s="22" t="n">
        <f aca="false">серпень!I71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834.08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серпень!B72</f>
        <v>Зайченко С.Л</v>
      </c>
      <c r="C72" s="18" t="str">
        <f aca="false">серпень!C72</f>
        <v>2064</v>
      </c>
      <c r="D72" s="19" t="n">
        <f aca="false">серпень!P72</f>
        <v>5045.61</v>
      </c>
      <c r="E72" s="19" t="n">
        <f aca="false">серпень!Q72</f>
        <v>0</v>
      </c>
      <c r="F72" s="20" t="n">
        <f aca="false">серпень!F72</f>
        <v>0</v>
      </c>
      <c r="G72" s="21" t="n">
        <f aca="false">серпень!G72</f>
        <v>65.15</v>
      </c>
      <c r="H72" s="21" t="n">
        <f aca="false">серпень!H72</f>
        <v>0</v>
      </c>
      <c r="I72" s="22" t="n">
        <f aca="false">серпень!I72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5312.73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серпень!B73</f>
        <v>Бессараб Н.Г.</v>
      </c>
      <c r="C73" s="18" t="str">
        <f aca="false">серпень!C73</f>
        <v>2065</v>
      </c>
      <c r="D73" s="19" t="n">
        <f aca="false">серпень!P73</f>
        <v>0</v>
      </c>
      <c r="E73" s="19" t="n">
        <f aca="false">серпень!Q73</f>
        <v>331.47</v>
      </c>
      <c r="F73" s="20" t="n">
        <f aca="false">серпень!F73</f>
        <v>0</v>
      </c>
      <c r="G73" s="21" t="n">
        <f aca="false">серпень!G73</f>
        <v>63.41</v>
      </c>
      <c r="H73" s="21" t="n">
        <f aca="false">серпень!H73</f>
        <v>0</v>
      </c>
      <c r="I73" s="22" t="n">
        <f aca="false">серпень!I73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/>
      <c r="P73" s="25" t="n">
        <f aca="false">IF(D73=0,IF((N73-E73-O73)&gt;0,(N73-E73-O73),0),IF((D73+N73-O73)&gt;0,(D73+N73-O73),0))</f>
        <v>0</v>
      </c>
      <c r="Q73" s="25" t="n">
        <f aca="false">IF(E73=0,IF((D73+N73-O73)&lt;0,ABS(D73+N73-O73),0),IF((N73-E73-O73)&lt;0,ABS(N73-E73-O73),0))</f>
        <v>71.49</v>
      </c>
    </row>
    <row r="74" customFormat="false" ht="15" hidden="false" customHeight="false" outlineLevel="0" collapsed="false">
      <c r="A74" s="17" t="s">
        <v>218</v>
      </c>
      <c r="B74" s="18" t="str">
        <f aca="false">серпень!B74</f>
        <v>Прохорова С.І.</v>
      </c>
      <c r="C74" s="18" t="str">
        <f aca="false">серпень!C74</f>
        <v>2066</v>
      </c>
      <c r="D74" s="19" t="n">
        <f aca="false">серпень!P74</f>
        <v>2528.23</v>
      </c>
      <c r="E74" s="19" t="n">
        <f aca="false">серпень!Q74</f>
        <v>0</v>
      </c>
      <c r="F74" s="20" t="n">
        <f aca="false">серпень!F74</f>
        <v>0</v>
      </c>
      <c r="G74" s="21" t="n">
        <f aca="false">серпень!G74</f>
        <v>35.19</v>
      </c>
      <c r="H74" s="21" t="n">
        <f aca="false">серпень!H74</f>
        <v>0</v>
      </c>
      <c r="I74" s="22" t="n">
        <f aca="false">серпень!I74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2672.51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серпень!B75</f>
        <v>Браташ А.Ф.</v>
      </c>
      <c r="C75" s="18" t="str">
        <f aca="false">серпень!C75</f>
        <v>2067</v>
      </c>
      <c r="D75" s="19" t="n">
        <f aca="false">серпень!P75</f>
        <v>4153.67</v>
      </c>
      <c r="E75" s="19" t="n">
        <f aca="false">серпень!Q75</f>
        <v>0</v>
      </c>
      <c r="F75" s="20" t="n">
        <f aca="false">серпень!F75</f>
        <v>0</v>
      </c>
      <c r="G75" s="21" t="n">
        <f aca="false">серпень!G75</f>
        <v>49.89</v>
      </c>
      <c r="H75" s="21" t="n">
        <f aca="false">серпень!H75</f>
        <v>0</v>
      </c>
      <c r="I75" s="22" t="n">
        <f aca="false">серпень!I75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4358.22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серпень!B76</f>
        <v>Кудас Д.О.</v>
      </c>
      <c r="C76" s="18" t="str">
        <f aca="false">серпень!C76</f>
        <v>2068</v>
      </c>
      <c r="D76" s="19" t="n">
        <f aca="false">серпень!P76</f>
        <v>598.96</v>
      </c>
      <c r="E76" s="19" t="n">
        <f aca="false">серпень!Q76</f>
        <v>0</v>
      </c>
      <c r="F76" s="20" t="n">
        <f aca="false">серпень!F76</f>
        <v>0</v>
      </c>
      <c r="G76" s="21" t="n">
        <f aca="false">серпень!G76</f>
        <v>65.03</v>
      </c>
      <c r="H76" s="21" t="n">
        <f aca="false">серпень!H76</f>
        <v>0</v>
      </c>
      <c r="I76" s="22" t="n">
        <f aca="false">серпень!I76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865.58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серпень!B77</f>
        <v>Шушлєбін Б.В.</v>
      </c>
      <c r="C77" s="18" t="str">
        <f aca="false">серпень!C77</f>
        <v>2069</v>
      </c>
      <c r="D77" s="19" t="n">
        <f aca="false">серпень!P77</f>
        <v>743.81</v>
      </c>
      <c r="E77" s="19" t="n">
        <f aca="false">серпень!Q77</f>
        <v>0</v>
      </c>
      <c r="F77" s="20" t="n">
        <f aca="false">серпень!F77</f>
        <v>0</v>
      </c>
      <c r="G77" s="21" t="n">
        <f aca="false">серпень!G77</f>
        <v>62.11</v>
      </c>
      <c r="H77" s="21" t="n">
        <f aca="false">серпень!H77</f>
        <v>0</v>
      </c>
      <c r="I77" s="22" t="n">
        <f aca="false">серпень!I77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998.46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серпень!B78</f>
        <v>Бородіна І.О.</v>
      </c>
      <c r="C78" s="18" t="str">
        <f aca="false">серпень!C78</f>
        <v>2070</v>
      </c>
      <c r="D78" s="19" t="n">
        <f aca="false">серпень!P78</f>
        <v>2759.47</v>
      </c>
      <c r="E78" s="19" t="n">
        <f aca="false">серпень!Q78</f>
        <v>0</v>
      </c>
      <c r="F78" s="20" t="n">
        <f aca="false">серпень!F78</f>
        <v>0</v>
      </c>
      <c r="G78" s="21" t="n">
        <f aca="false">серпень!G78</f>
        <v>34.9</v>
      </c>
      <c r="H78" s="21" t="n">
        <f aca="false">серпень!H78</f>
        <v>0</v>
      </c>
      <c r="I78" s="22" t="n">
        <f aca="false">серпень!I78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2902.56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серпень!B79</f>
        <v>Котурга Л.Й.</v>
      </c>
      <c r="C79" s="18" t="str">
        <f aca="false">серпень!C79</f>
        <v>2071</v>
      </c>
      <c r="D79" s="19" t="n">
        <f aca="false">серпень!P79</f>
        <v>2053.94</v>
      </c>
      <c r="E79" s="19" t="n">
        <f aca="false">серпень!Q79</f>
        <v>0</v>
      </c>
      <c r="F79" s="20" t="n">
        <f aca="false">серпень!F79</f>
        <v>0</v>
      </c>
      <c r="G79" s="21" t="n">
        <f aca="false">серпень!G79</f>
        <v>49.2</v>
      </c>
      <c r="H79" s="21" t="n">
        <f aca="false">серпень!H79</f>
        <v>0</v>
      </c>
      <c r="I79" s="22" t="n">
        <f aca="false">серпень!I79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2255.66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серпень!B80</f>
        <v>Горова О.І.</v>
      </c>
      <c r="C80" s="18" t="str">
        <f aca="false">серпень!C80</f>
        <v>2072</v>
      </c>
      <c r="D80" s="19" t="n">
        <f aca="false">серпень!P80</f>
        <v>3822.55</v>
      </c>
      <c r="E80" s="19" t="n">
        <f aca="false">серпень!Q80</f>
        <v>0</v>
      </c>
      <c r="F80" s="20" t="n">
        <f aca="false">серпень!F80</f>
        <v>0</v>
      </c>
      <c r="G80" s="21" t="n">
        <f aca="false">серпень!G80</f>
        <v>65.43</v>
      </c>
      <c r="H80" s="21" t="n">
        <f aca="false">серпень!H80</f>
        <v>0</v>
      </c>
      <c r="I80" s="22" t="n">
        <f aca="false">серпень!I80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4090.81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серпень!B81</f>
        <v>Рибакевич М.П.</v>
      </c>
      <c r="C81" s="18" t="str">
        <f aca="false">серпень!C81</f>
        <v>3073</v>
      </c>
      <c r="D81" s="19" t="n">
        <f aca="false">серпень!P81</f>
        <v>4237.7</v>
      </c>
      <c r="E81" s="19" t="n">
        <f aca="false">серпень!Q81</f>
        <v>0</v>
      </c>
      <c r="F81" s="20" t="n">
        <f aca="false">серпень!F81</f>
        <v>0</v>
      </c>
      <c r="G81" s="21" t="n">
        <f aca="false">серпень!G81</f>
        <v>64.5</v>
      </c>
      <c r="H81" s="21" t="n">
        <f aca="false">серпень!H81</f>
        <v>0</v>
      </c>
      <c r="I81" s="22" t="n">
        <f aca="false">серпень!I81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4502.15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серпень!B82</f>
        <v>Башкалов В.В.</v>
      </c>
      <c r="C82" s="18" t="str">
        <f aca="false">серпень!C82</f>
        <v>3074</v>
      </c>
      <c r="D82" s="19" t="n">
        <f aca="false">серпень!P82</f>
        <v>401.24</v>
      </c>
      <c r="E82" s="19" t="n">
        <f aca="false">серпень!Q82</f>
        <v>0</v>
      </c>
      <c r="F82" s="20" t="n">
        <f aca="false">серпень!F82</f>
        <v>0</v>
      </c>
      <c r="G82" s="21" t="n">
        <f aca="false">серпень!G82</f>
        <v>50.8</v>
      </c>
      <c r="H82" s="21" t="n">
        <f aca="false">серпень!H82</f>
        <v>0</v>
      </c>
      <c r="I82" s="22" t="n">
        <f aca="false">серпень!I82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609.52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серпень!B83</f>
        <v>Тіхенко Г.Д.</v>
      </c>
      <c r="C83" s="18" t="str">
        <f aca="false">серпень!C83</f>
        <v>3075</v>
      </c>
      <c r="D83" s="19" t="n">
        <f aca="false">серпень!P83</f>
        <v>2010.99</v>
      </c>
      <c r="E83" s="19" t="n">
        <f aca="false">серпень!Q83</f>
        <v>0</v>
      </c>
      <c r="F83" s="20" t="n">
        <f aca="false">серпень!F83</f>
        <v>0</v>
      </c>
      <c r="G83" s="21" t="n">
        <f aca="false">серпень!G83</f>
        <v>34.9</v>
      </c>
      <c r="H83" s="21" t="n">
        <f aca="false">серпень!H83</f>
        <v>0</v>
      </c>
      <c r="I83" s="22" t="n">
        <f aca="false">серпень!I83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2154.08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серпень!B84</f>
        <v>Головченко В.Г.</v>
      </c>
      <c r="C84" s="18" t="str">
        <f aca="false">серпень!C84</f>
        <v>3076</v>
      </c>
      <c r="D84" s="19" t="n">
        <f aca="false">серпень!P84</f>
        <v>198.38</v>
      </c>
      <c r="E84" s="19" t="n">
        <f aca="false">серпень!Q84</f>
        <v>0</v>
      </c>
      <c r="F84" s="20" t="n">
        <f aca="false">серпень!F84</f>
        <v>0</v>
      </c>
      <c r="G84" s="21" t="n">
        <f aca="false">серпень!G84</f>
        <v>61</v>
      </c>
      <c r="H84" s="21" t="n">
        <f aca="false">серпень!H84</f>
        <v>0</v>
      </c>
      <c r="I84" s="22" t="n">
        <f aca="false">серпень!I84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448.48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серпень!B85</f>
        <v>Семанішина Є.С.</v>
      </c>
      <c r="C85" s="18" t="str">
        <f aca="false">серпень!C85</f>
        <v>3077</v>
      </c>
      <c r="D85" s="19" t="n">
        <f aca="false">серпень!P85</f>
        <v>3695.05</v>
      </c>
      <c r="E85" s="19" t="n">
        <f aca="false">серпень!Q85</f>
        <v>0</v>
      </c>
      <c r="F85" s="20" t="n">
        <f aca="false">серпень!F85</f>
        <v>0</v>
      </c>
      <c r="G85" s="21" t="n">
        <f aca="false">серпень!G85</f>
        <v>64.5</v>
      </c>
      <c r="H85" s="21" t="n">
        <f aca="false">серпень!H85</f>
        <v>0</v>
      </c>
      <c r="I85" s="22" t="n">
        <f aca="false">серпень!I85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3959.5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серпень!B86</f>
        <v>Зінченко Ю.В.</v>
      </c>
      <c r="C86" s="18" t="str">
        <f aca="false">серпень!C86</f>
        <v>3078</v>
      </c>
      <c r="D86" s="19" t="n">
        <f aca="false">серпень!P86</f>
        <v>380.65</v>
      </c>
      <c r="E86" s="19" t="n">
        <f aca="false">серпень!Q86</f>
        <v>0</v>
      </c>
      <c r="F86" s="20" t="n">
        <f aca="false">серпень!F86</f>
        <v>0</v>
      </c>
      <c r="G86" s="21" t="n">
        <f aca="false">серпень!G86</f>
        <v>49.3</v>
      </c>
      <c r="H86" s="21" t="n">
        <f aca="false">серпень!H86</f>
        <v>0</v>
      </c>
      <c r="I86" s="22" t="n">
        <f aca="false">серпень!I86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582.78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серпень!B87</f>
        <v>Рилова Г.П.</v>
      </c>
      <c r="C87" s="18" t="str">
        <f aca="false">серпень!C87</f>
        <v>3079</v>
      </c>
      <c r="D87" s="19" t="n">
        <f aca="false">серпень!P87</f>
        <v>0</v>
      </c>
      <c r="E87" s="19" t="n">
        <f aca="false">серпень!Q87</f>
        <v>19.6000000000003</v>
      </c>
      <c r="F87" s="20" t="n">
        <f aca="false">серпень!F87</f>
        <v>0</v>
      </c>
      <c r="G87" s="21" t="n">
        <f aca="false">серпень!G87</f>
        <v>35</v>
      </c>
      <c r="H87" s="21" t="n">
        <f aca="false">серпень!H87</f>
        <v>0</v>
      </c>
      <c r="I87" s="22" t="n">
        <f aca="false">серпень!I87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/>
      <c r="P87" s="25" t="n">
        <f aca="false">IF(D87=0,IF((N87-E87-O87)&gt;0,(N87-E87-O87),0),IF((D87+N87-O87)&gt;0,(D87+N87-O87),0))</f>
        <v>123.9</v>
      </c>
      <c r="Q87" s="25" t="n">
        <f aca="false">IF(E87=0,IF((D87+N87-O87)&lt;0,ABS(D87+N87-O87),0),IF((N87-E87-O87)&lt;0,ABS(N87-E87-O87),0))</f>
        <v>0</v>
      </c>
    </row>
    <row r="88" customFormat="false" ht="15" hidden="false" customHeight="false" outlineLevel="0" collapsed="false">
      <c r="A88" s="17" t="s">
        <v>260</v>
      </c>
      <c r="B88" s="18" t="str">
        <f aca="false">серпень!B88</f>
        <v>Ленський І.О.</v>
      </c>
      <c r="C88" s="18" t="str">
        <f aca="false">серпень!C88</f>
        <v>3080</v>
      </c>
      <c r="D88" s="19" t="n">
        <f aca="false">серпень!P88</f>
        <v>723.49</v>
      </c>
      <c r="E88" s="19" t="n">
        <f aca="false">серпень!Q88</f>
        <v>0</v>
      </c>
      <c r="F88" s="20" t="n">
        <f aca="false">серпень!F88</f>
        <v>0</v>
      </c>
      <c r="G88" s="21" t="n">
        <f aca="false">серпень!G88</f>
        <v>61.8</v>
      </c>
      <c r="H88" s="21" t="n">
        <f aca="false">серпень!H88</f>
        <v>0</v>
      </c>
      <c r="I88" s="22" t="n">
        <f aca="false">серпень!I88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/>
      <c r="P88" s="25" t="n">
        <f aca="false">IF(D88=0,IF((N88-E88-O88)&gt;0,(N88-E88-O88),0),IF((D88+N88-O88)&gt;0,(D88+N88-O88),0))</f>
        <v>976.87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серпень!B89</f>
        <v>Слюсар О.О.</v>
      </c>
      <c r="C89" s="18" t="str">
        <f aca="false">серпень!C89</f>
        <v>3081</v>
      </c>
      <c r="D89" s="19" t="n">
        <f aca="false">серпень!P89</f>
        <v>4992.11</v>
      </c>
      <c r="E89" s="19" t="n">
        <f aca="false">серпень!Q89</f>
        <v>0</v>
      </c>
      <c r="F89" s="20" t="n">
        <f aca="false">серпень!F89</f>
        <v>0</v>
      </c>
      <c r="G89" s="21" t="n">
        <f aca="false">серпень!G89</f>
        <v>65.81</v>
      </c>
      <c r="H89" s="21" t="n">
        <f aca="false">серпень!H89</f>
        <v>0</v>
      </c>
      <c r="I89" s="22" t="n">
        <f aca="false">серпень!I89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5261.93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серпень!B90</f>
        <v>Кісельов Г.О.</v>
      </c>
      <c r="C90" s="18" t="str">
        <f aca="false">серпень!C90</f>
        <v>3082</v>
      </c>
      <c r="D90" s="19" t="n">
        <f aca="false">серпень!P90</f>
        <v>439.23</v>
      </c>
      <c r="E90" s="19" t="n">
        <f aca="false">серпень!Q90</f>
        <v>0</v>
      </c>
      <c r="F90" s="20" t="n">
        <f aca="false">серпень!F90</f>
        <v>0</v>
      </c>
      <c r="G90" s="21" t="n">
        <f aca="false">серпень!G90</f>
        <v>49.7</v>
      </c>
      <c r="H90" s="21" t="n">
        <f aca="false">серпень!H90</f>
        <v>0</v>
      </c>
      <c r="I90" s="22" t="n">
        <f aca="false">серпень!I90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643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серпень!B91</f>
        <v>Губанова Н.С.</v>
      </c>
      <c r="C91" s="18" t="str">
        <f aca="false">серпень!C91</f>
        <v>3083</v>
      </c>
      <c r="D91" s="19" t="n">
        <f aca="false">серпень!P91</f>
        <v>1838.85</v>
      </c>
      <c r="E91" s="19" t="n">
        <f aca="false">серпень!Q91</f>
        <v>0</v>
      </c>
      <c r="F91" s="20" t="n">
        <f aca="false">серпень!F91</f>
        <v>0</v>
      </c>
      <c r="G91" s="21" t="n">
        <f aca="false">серпень!G91</f>
        <v>34.5</v>
      </c>
      <c r="H91" s="21" t="n">
        <f aca="false">серпень!H91</f>
        <v>0</v>
      </c>
      <c r="I91" s="22" t="n">
        <f aca="false">серпень!I91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1980.3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серпень!B92</f>
        <v>Попова А.В.</v>
      </c>
      <c r="C92" s="18" t="str">
        <f aca="false">серпень!C92</f>
        <v>3084</v>
      </c>
      <c r="D92" s="19" t="n">
        <f aca="false">серпень!P92</f>
        <v>2045.91</v>
      </c>
      <c r="E92" s="19" t="n">
        <f aca="false">серпень!Q92</f>
        <v>0</v>
      </c>
      <c r="F92" s="20" t="n">
        <f aca="false">серпень!F92</f>
        <v>0</v>
      </c>
      <c r="G92" s="21" t="n">
        <f aca="false">серпень!G92</f>
        <v>62.4</v>
      </c>
      <c r="H92" s="21" t="n">
        <f aca="false">серпень!H92</f>
        <v>0</v>
      </c>
      <c r="I92" s="22" t="n">
        <f aca="false">серпень!I92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2301.75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серпень!B93</f>
        <v>Стародубець О.К.</v>
      </c>
      <c r="C93" s="18" t="str">
        <f aca="false">серпень!C93</f>
        <v>3085</v>
      </c>
      <c r="D93" s="19" t="n">
        <f aca="false">серпень!P93</f>
        <v>5127.57</v>
      </c>
      <c r="E93" s="19" t="n">
        <f aca="false">серпень!Q93</f>
        <v>0</v>
      </c>
      <c r="F93" s="20" t="n">
        <f aca="false">серпень!F93</f>
        <v>0</v>
      </c>
      <c r="G93" s="21" t="n">
        <f aca="false">серпень!G93</f>
        <v>66.46</v>
      </c>
      <c r="H93" s="21" t="n">
        <f aca="false">серпень!H93</f>
        <v>0</v>
      </c>
      <c r="I93" s="22" t="n">
        <f aca="false">серпень!I93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5400.06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серпень!B94</f>
        <v>Сакун Т.А.</v>
      </c>
      <c r="C94" s="18" t="str">
        <f aca="false">серпень!C94</f>
        <v>3086</v>
      </c>
      <c r="D94" s="19" t="n">
        <f aca="false">серпень!P94</f>
        <v>4077.7</v>
      </c>
      <c r="E94" s="19" t="n">
        <f aca="false">серпень!Q94</f>
        <v>0</v>
      </c>
      <c r="F94" s="20" t="n">
        <f aca="false">серпень!F94</f>
        <v>0</v>
      </c>
      <c r="G94" s="21" t="n">
        <f aca="false">серпень!G94</f>
        <v>49.73</v>
      </c>
      <c r="H94" s="21" t="n">
        <f aca="false">серпень!H94</f>
        <v>0</v>
      </c>
      <c r="I94" s="22" t="n">
        <f aca="false">серпень!I94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4281.59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серпень!B95</f>
        <v>Фатєєв Ю.О.</v>
      </c>
      <c r="C95" s="18" t="str">
        <f aca="false">серпень!C95</f>
        <v>3087</v>
      </c>
      <c r="D95" s="19" t="n">
        <f aca="false">серпень!P95</f>
        <v>4937.17</v>
      </c>
      <c r="E95" s="19" t="n">
        <f aca="false">серпень!Q95</f>
        <v>0</v>
      </c>
      <c r="F95" s="20" t="n">
        <f aca="false">серпень!F95</f>
        <v>0</v>
      </c>
      <c r="G95" s="21" t="n">
        <f aca="false">серпень!G95</f>
        <v>34.9</v>
      </c>
      <c r="H95" s="21" t="n">
        <f aca="false">серпень!H95</f>
        <v>0</v>
      </c>
      <c r="I95" s="22" t="n">
        <f aca="false">серпень!I95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5080.26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серпень!B96</f>
        <v>Лукашов Є.В.</v>
      </c>
      <c r="C96" s="18" t="str">
        <f aca="false">серпень!C96</f>
        <v>3088</v>
      </c>
      <c r="D96" s="19" t="n">
        <f aca="false">серпень!P96</f>
        <v>9471.27000000003</v>
      </c>
      <c r="E96" s="19" t="n">
        <f aca="false">серпень!Q96</f>
        <v>0</v>
      </c>
      <c r="F96" s="20" t="n">
        <f aca="false">серпень!F96</f>
        <v>0</v>
      </c>
      <c r="G96" s="21" t="n">
        <f aca="false">серпень!G96</f>
        <v>61.9</v>
      </c>
      <c r="H96" s="21" t="n">
        <f aca="false">серпень!H96</f>
        <v>0</v>
      </c>
      <c r="I96" s="22" t="n">
        <f aca="false">серпень!I96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9725.06000000003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серпень!B97</f>
        <v>Довбета В.М.</v>
      </c>
      <c r="C97" s="18" t="str">
        <f aca="false">серпень!C97</f>
        <v>3089</v>
      </c>
      <c r="D97" s="19" t="n">
        <f aca="false">серпень!P97</f>
        <v>0</v>
      </c>
      <c r="E97" s="19" t="n">
        <f aca="false">серпень!Q97</f>
        <v>43.4899999999994</v>
      </c>
      <c r="F97" s="20" t="n">
        <f aca="false">серпень!F97</f>
        <v>0</v>
      </c>
      <c r="G97" s="21" t="n">
        <f aca="false">серпень!G97</f>
        <v>65.3</v>
      </c>
      <c r="H97" s="21" t="n">
        <f aca="false">серпень!H97</f>
        <v>0</v>
      </c>
      <c r="I97" s="22" t="n">
        <f aca="false">серпень!I97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/>
      <c r="P97" s="25" t="n">
        <f aca="false">IF(D97=0,IF((N97-E97-O97)&gt;0,(N97-E97-O97),0),IF((D97+N97-O97)&gt;0,(D97+N97-O97),0))</f>
        <v>224.240000000001</v>
      </c>
      <c r="Q97" s="25" t="n">
        <f aca="false">IF(E97=0,IF((D97+N97-O97)&lt;0,ABS(D97+N97-O97),0),IF((N97-E97-O97)&lt;0,ABS(N97-E97-O97),0))</f>
        <v>0</v>
      </c>
    </row>
    <row r="98" customFormat="false" ht="15" hidden="false" customHeight="false" outlineLevel="0" collapsed="false">
      <c r="A98" s="17" t="s">
        <v>290</v>
      </c>
      <c r="B98" s="18" t="str">
        <f aca="false">серпень!B98</f>
        <v>Черняк К.В.</v>
      </c>
      <c r="C98" s="18" t="str">
        <f aca="false">серпень!C98</f>
        <v>3090</v>
      </c>
      <c r="D98" s="19" t="n">
        <f aca="false">серпень!P98</f>
        <v>0</v>
      </c>
      <c r="E98" s="19" t="n">
        <f aca="false">серпень!Q98</f>
        <v>2.6700000000003</v>
      </c>
      <c r="F98" s="20" t="n">
        <f aca="false">серпень!F98</f>
        <v>0</v>
      </c>
      <c r="G98" s="21" t="n">
        <f aca="false">серпень!G98</f>
        <v>49.48</v>
      </c>
      <c r="H98" s="21" t="n">
        <f aca="false">серпень!H98</f>
        <v>0</v>
      </c>
      <c r="I98" s="22" t="n">
        <f aca="false">серпень!I98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200.2</v>
      </c>
      <c r="Q98" s="25" t="n">
        <f aca="false">IF(E98=0,IF((D98+N98-O98)&lt;0,ABS(D98+N98-O98),0),IF((N98-E98-O98)&lt;0,ABS(N98-E98-O98),0))</f>
        <v>0</v>
      </c>
    </row>
    <row r="99" customFormat="false" ht="15" hidden="false" customHeight="false" outlineLevel="0" collapsed="false">
      <c r="A99" s="17" t="s">
        <v>293</v>
      </c>
      <c r="B99" s="18" t="str">
        <f aca="false">серпень!B99</f>
        <v>Удінцева Г.А.</v>
      </c>
      <c r="C99" s="18" t="str">
        <f aca="false">серпень!C99</f>
        <v>3091</v>
      </c>
      <c r="D99" s="19" t="n">
        <f aca="false">серпень!P99</f>
        <v>429.76</v>
      </c>
      <c r="E99" s="19" t="n">
        <f aca="false">серпень!Q99</f>
        <v>0</v>
      </c>
      <c r="F99" s="20" t="n">
        <f aca="false">серпень!F99</f>
        <v>0</v>
      </c>
      <c r="G99" s="21" t="n">
        <f aca="false">серпень!G99</f>
        <v>35.1</v>
      </c>
      <c r="H99" s="21" t="n">
        <f aca="false">серпень!H99</f>
        <v>0</v>
      </c>
      <c r="I99" s="22" t="n">
        <f aca="false">серпень!I99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573.67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серпень!B100</f>
        <v>Липка Г.Ю.</v>
      </c>
      <c r="C100" s="18" t="str">
        <f aca="false">серпень!C100</f>
        <v>3092</v>
      </c>
      <c r="D100" s="19" t="n">
        <f aca="false">серпень!P100</f>
        <v>5700.64</v>
      </c>
      <c r="E100" s="19" t="n">
        <f aca="false">серпень!Q100</f>
        <v>0</v>
      </c>
      <c r="F100" s="20" t="n">
        <f aca="false">серпень!F100</f>
        <v>0</v>
      </c>
      <c r="G100" s="21" t="n">
        <f aca="false">серпень!G100</f>
        <v>63.2</v>
      </c>
      <c r="H100" s="21" t="n">
        <f aca="false">серпень!H100</f>
        <v>0</v>
      </c>
      <c r="I100" s="22" t="n">
        <f aca="false">серпень!I100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5959.76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серпень!B101</f>
        <v>Утьосов Д.М.</v>
      </c>
      <c r="C101" s="18" t="str">
        <f aca="false">серпень!C101</f>
        <v>3093</v>
      </c>
      <c r="D101" s="19" t="n">
        <f aca="false">серпень!P101</f>
        <v>0</v>
      </c>
      <c r="E101" s="19" t="n">
        <f aca="false">серпень!Q101</f>
        <v>193.439999999998</v>
      </c>
      <c r="F101" s="20" t="n">
        <f aca="false">серпень!F101</f>
        <v>0</v>
      </c>
      <c r="G101" s="21" t="n">
        <f aca="false">серпень!G101</f>
        <v>66.1</v>
      </c>
      <c r="H101" s="21" t="n">
        <f aca="false">серпень!H101</f>
        <v>0</v>
      </c>
      <c r="I101" s="22" t="n">
        <f aca="false">серпень!I101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77.570000000002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серпень!B102</f>
        <v>Стеценко Д.М.</v>
      </c>
      <c r="C102" s="18" t="str">
        <f aca="false">серпень!C102</f>
        <v>3094</v>
      </c>
      <c r="D102" s="19" t="n">
        <f aca="false">серпень!P102</f>
        <v>1633.51</v>
      </c>
      <c r="E102" s="19" t="n">
        <f aca="false">серпень!Q102</f>
        <v>0</v>
      </c>
      <c r="F102" s="20" t="n">
        <f aca="false">серпень!F102</f>
        <v>0</v>
      </c>
      <c r="G102" s="21" t="n">
        <f aca="false">серпень!G102</f>
        <v>49.8</v>
      </c>
      <c r="H102" s="21" t="n">
        <f aca="false">серпень!H102</f>
        <v>0</v>
      </c>
      <c r="I102" s="22" t="n">
        <f aca="false">серпень!I102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1837.69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серпень!B103</f>
        <v>Задніпряна О.М.</v>
      </c>
      <c r="C103" s="18" t="str">
        <f aca="false">серпень!C103</f>
        <v>3095</v>
      </c>
      <c r="D103" s="19" t="n">
        <f aca="false">серпень!P103</f>
        <v>2271.36</v>
      </c>
      <c r="E103" s="19" t="n">
        <f aca="false">серпень!Q103</f>
        <v>0</v>
      </c>
      <c r="F103" s="20" t="n">
        <f aca="false">серпень!F103</f>
        <v>0</v>
      </c>
      <c r="G103" s="21" t="n">
        <f aca="false">серпень!G103</f>
        <v>34.6</v>
      </c>
      <c r="H103" s="21" t="n">
        <f aca="false">серпень!H103</f>
        <v>0</v>
      </c>
      <c r="I103" s="22" t="n">
        <f aca="false">серпень!I103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2413.22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серпень!B104</f>
        <v>Геращенко М.Д.</v>
      </c>
      <c r="C104" s="18" t="str">
        <f aca="false">серпень!C104</f>
        <v>3096</v>
      </c>
      <c r="D104" s="19" t="n">
        <f aca="false">серпень!P104</f>
        <v>1852.58</v>
      </c>
      <c r="E104" s="19" t="n">
        <f aca="false">серпень!Q104</f>
        <v>0</v>
      </c>
      <c r="F104" s="20" t="n">
        <f aca="false">серпень!F104</f>
        <v>0</v>
      </c>
      <c r="G104" s="21" t="n">
        <f aca="false">серпень!G104</f>
        <v>62.6</v>
      </c>
      <c r="H104" s="21" t="n">
        <f aca="false">серпень!H104</f>
        <v>0</v>
      </c>
      <c r="I104" s="22" t="n">
        <f aca="false">серпень!I104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2109.24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серпень!B105</f>
        <v>Горб В.М.</v>
      </c>
      <c r="C105" s="18" t="str">
        <f aca="false">серпень!C105</f>
        <v>3097</v>
      </c>
      <c r="D105" s="19" t="n">
        <f aca="false">серпень!P105</f>
        <v>3761.07</v>
      </c>
      <c r="E105" s="19" t="n">
        <f aca="false">серпень!Q105</f>
        <v>0</v>
      </c>
      <c r="F105" s="20" t="n">
        <f aca="false">серпень!F105</f>
        <v>0</v>
      </c>
      <c r="G105" s="21" t="n">
        <f aca="false">серпень!G105</f>
        <v>65.57</v>
      </c>
      <c r="H105" s="21" t="n">
        <f aca="false">серпень!H105</f>
        <v>0</v>
      </c>
      <c r="I105" s="22" t="n">
        <f aca="false">серпень!I105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4029.91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серпень!B106</f>
        <v>Нойок Г.К.</v>
      </c>
      <c r="C106" s="18" t="str">
        <f aca="false">серпень!C106</f>
        <v>3098</v>
      </c>
      <c r="D106" s="19" t="n">
        <f aca="false">серпень!P106</f>
        <v>1647.11</v>
      </c>
      <c r="E106" s="19" t="n">
        <f aca="false">серпень!Q106</f>
        <v>0</v>
      </c>
      <c r="F106" s="20" t="n">
        <f aca="false">серпень!F106</f>
        <v>0</v>
      </c>
      <c r="G106" s="21" t="n">
        <f aca="false">серпень!G106</f>
        <v>49.8</v>
      </c>
      <c r="H106" s="21" t="n">
        <f aca="false">серпень!H106</f>
        <v>0</v>
      </c>
      <c r="I106" s="22" t="n">
        <f aca="false">серпень!I106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1851.29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серпень!B107</f>
        <v>Сафонова О.В.</v>
      </c>
      <c r="C107" s="18" t="str">
        <f aca="false">серпень!C107</f>
        <v>3099</v>
      </c>
      <c r="D107" s="19" t="n">
        <f aca="false">серпень!P107</f>
        <v>1957.44</v>
      </c>
      <c r="E107" s="19" t="n">
        <f aca="false">серпень!Q107</f>
        <v>0</v>
      </c>
      <c r="F107" s="20" t="n">
        <f aca="false">серпень!F107</f>
        <v>0</v>
      </c>
      <c r="G107" s="21" t="n">
        <f aca="false">серпень!G107</f>
        <v>34.9</v>
      </c>
      <c r="H107" s="21" t="n">
        <f aca="false">серпень!H107</f>
        <v>0</v>
      </c>
      <c r="I107" s="22" t="n">
        <f aca="false">серпень!I107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2100.53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серпень!B108</f>
        <v>Вінарська Н.П.</v>
      </c>
      <c r="C108" s="18" t="str">
        <f aca="false">серпень!C108</f>
        <v>30100</v>
      </c>
      <c r="D108" s="19" t="n">
        <f aca="false">серпень!P108</f>
        <v>4889.84</v>
      </c>
      <c r="E108" s="19" t="n">
        <f aca="false">серпень!Q108</f>
        <v>0</v>
      </c>
      <c r="F108" s="20" t="n">
        <f aca="false">серпень!F108</f>
        <v>0</v>
      </c>
      <c r="G108" s="21" t="n">
        <f aca="false">серпень!G108</f>
        <v>62.78</v>
      </c>
      <c r="H108" s="21" t="n">
        <f aca="false">серпень!H108</f>
        <v>0</v>
      </c>
      <c r="I108" s="22" t="n">
        <f aca="false">серпень!I108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5147.24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серпень!B109</f>
        <v>Чернова Н.І.</v>
      </c>
      <c r="C109" s="18" t="str">
        <f aca="false">серпень!C109</f>
        <v>30101</v>
      </c>
      <c r="D109" s="19" t="n">
        <f aca="false">серпень!P109</f>
        <v>5083.08</v>
      </c>
      <c r="E109" s="19" t="n">
        <f aca="false">серпень!Q109</f>
        <v>0</v>
      </c>
      <c r="F109" s="20" t="n">
        <f aca="false">серпень!F109</f>
        <v>0</v>
      </c>
      <c r="G109" s="21" t="n">
        <f aca="false">серпень!G109</f>
        <v>66.29</v>
      </c>
      <c r="H109" s="21" t="n">
        <f aca="false">серпень!H109</f>
        <v>0</v>
      </c>
      <c r="I109" s="22" t="n">
        <f aca="false">серпень!I109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5354.87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серпень!B110</f>
        <v>Кошева Н.П</v>
      </c>
      <c r="C110" s="18" t="str">
        <f aca="false">серпень!C110</f>
        <v>30102</v>
      </c>
      <c r="D110" s="19" t="n">
        <f aca="false">серпень!P110</f>
        <v>3509</v>
      </c>
      <c r="E110" s="19" t="n">
        <f aca="false">серпень!Q110</f>
        <v>0</v>
      </c>
      <c r="F110" s="20" t="n">
        <f aca="false">серпень!F110</f>
        <v>0</v>
      </c>
      <c r="G110" s="21" t="n">
        <f aca="false">серпень!G110</f>
        <v>50</v>
      </c>
      <c r="H110" s="21" t="n">
        <f aca="false">серпень!H110</f>
        <v>0</v>
      </c>
      <c r="I110" s="22" t="n">
        <f aca="false">серпень!I110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3714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серпень!B111</f>
        <v>Уривський Д.Б.</v>
      </c>
      <c r="C111" s="18" t="str">
        <f aca="false">серпень!C111</f>
        <v>30103</v>
      </c>
      <c r="D111" s="19" t="n">
        <f aca="false">серпень!P111</f>
        <v>2803.09</v>
      </c>
      <c r="E111" s="19" t="n">
        <f aca="false">серпень!Q111</f>
        <v>0</v>
      </c>
      <c r="F111" s="20" t="n">
        <f aca="false">серпень!F111</f>
        <v>0</v>
      </c>
      <c r="G111" s="21" t="n">
        <f aca="false">серпень!G111</f>
        <v>35</v>
      </c>
      <c r="H111" s="21" t="n">
        <f aca="false">серпень!H111</f>
        <v>0</v>
      </c>
      <c r="I111" s="22" t="n">
        <f aca="false">серпень!I111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2946.59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серпень!B112</f>
        <v>АДПСУ (Чорноморець В.М.)</v>
      </c>
      <c r="C112" s="18" t="str">
        <f aca="false">серпень!C112</f>
        <v>30104</v>
      </c>
      <c r="D112" s="19" t="n">
        <f aca="false">серпень!P112</f>
        <v>3281.4</v>
      </c>
      <c r="E112" s="19" t="n">
        <f aca="false">серпень!Q112</f>
        <v>0</v>
      </c>
      <c r="F112" s="20" t="n">
        <f aca="false">серпень!F112</f>
        <v>0</v>
      </c>
      <c r="G112" s="21" t="n">
        <f aca="false">серпень!G112</f>
        <v>61.1</v>
      </c>
      <c r="H112" s="21" t="n">
        <f aca="false">серпень!H112</f>
        <v>0</v>
      </c>
      <c r="I112" s="22" t="n">
        <f aca="false">серпень!I112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3531.91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серпень!B113</f>
        <v>Дмитренко Г.В.</v>
      </c>
      <c r="C113" s="18" t="str">
        <f aca="false">серпень!C113</f>
        <v>30105</v>
      </c>
      <c r="D113" s="19" t="n">
        <f aca="false">серпень!P113</f>
        <v>4036.37</v>
      </c>
      <c r="E113" s="19" t="n">
        <f aca="false">серпень!Q113</f>
        <v>0</v>
      </c>
      <c r="F113" s="20" t="n">
        <f aca="false">серпень!F113</f>
        <v>0</v>
      </c>
      <c r="G113" s="21" t="n">
        <f aca="false">серпень!G113</f>
        <v>64.89</v>
      </c>
      <c r="H113" s="21" t="n">
        <f aca="false">серпень!H113</f>
        <v>0</v>
      </c>
      <c r="I113" s="22" t="n">
        <f aca="false">серпень!I113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4302.42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серпень!B114</f>
        <v>Номерова Т.В.</v>
      </c>
      <c r="C114" s="18" t="str">
        <f aca="false">серпень!C114</f>
        <v>30106</v>
      </c>
      <c r="D114" s="19" t="n">
        <f aca="false">серпень!P114</f>
        <v>789.52</v>
      </c>
      <c r="E114" s="19" t="n">
        <f aca="false">серпень!Q114</f>
        <v>0</v>
      </c>
      <c r="F114" s="20" t="n">
        <f aca="false">серпень!F114</f>
        <v>0</v>
      </c>
      <c r="G114" s="21" t="n">
        <f aca="false">серпень!G114</f>
        <v>49.96</v>
      </c>
      <c r="H114" s="21" t="n">
        <f aca="false">серпень!H114</f>
        <v>0</v>
      </c>
      <c r="I114" s="22" t="n">
        <f aca="false">серпень!I114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994.360000000001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серпень!B115</f>
        <v>Самойлова О.В.</v>
      </c>
      <c r="C115" s="18" t="str">
        <f aca="false">серпень!C115</f>
        <v>30107</v>
      </c>
      <c r="D115" s="19" t="n">
        <f aca="false">серпень!P115</f>
        <v>282.9</v>
      </c>
      <c r="E115" s="19" t="n">
        <f aca="false">серпень!Q115</f>
        <v>0</v>
      </c>
      <c r="F115" s="20" t="n">
        <f aca="false">серпень!F115</f>
        <v>0</v>
      </c>
      <c r="G115" s="21" t="n">
        <f aca="false">серпень!G115</f>
        <v>34.5</v>
      </c>
      <c r="H115" s="21" t="n">
        <f aca="false">серпень!H115</f>
        <v>0</v>
      </c>
      <c r="I115" s="22" t="n">
        <f aca="false">серпень!I115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/>
      <c r="P115" s="25" t="n">
        <f aca="false">IF(D115=0,IF((N115-E115-O115)&gt;0,(N115-E115-O115),0),IF((D115+N115-O115)&gt;0,(D115+N115-O115),0))</f>
        <v>424.35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серпень!B116</f>
        <v>Випенко О.І.</v>
      </c>
      <c r="C116" s="18" t="str">
        <f aca="false">серпень!C116</f>
        <v>30108</v>
      </c>
      <c r="D116" s="19" t="n">
        <f aca="false">серпень!P116</f>
        <v>8220.12</v>
      </c>
      <c r="E116" s="19" t="n">
        <f aca="false">серпень!Q116</f>
        <v>0</v>
      </c>
      <c r="F116" s="20" t="n">
        <f aca="false">серпень!F116</f>
        <v>0</v>
      </c>
      <c r="G116" s="21" t="n">
        <f aca="false">серпень!G116</f>
        <v>62.9</v>
      </c>
      <c r="H116" s="21" t="n">
        <f aca="false">серпень!H116</f>
        <v>0</v>
      </c>
      <c r="I116" s="22" t="n">
        <f aca="false">серпень!I116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8478.01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серпень!B117</f>
        <v>Саприкін Ю.О.</v>
      </c>
      <c r="C117" s="18" t="str">
        <f aca="false">серпень!C117</f>
        <v>40109</v>
      </c>
      <c r="D117" s="19" t="n">
        <f aca="false">серпень!P117</f>
        <v>797.04</v>
      </c>
      <c r="E117" s="19" t="n">
        <f aca="false">серпень!Q117</f>
        <v>0</v>
      </c>
      <c r="F117" s="20" t="n">
        <f aca="false">серпень!F117</f>
        <v>0</v>
      </c>
      <c r="G117" s="21" t="n">
        <f aca="false">серпень!G117</f>
        <v>97.2</v>
      </c>
      <c r="H117" s="21" t="n">
        <f aca="false">серпень!H117</f>
        <v>0</v>
      </c>
      <c r="I117" s="22" t="n">
        <f aca="false">серпень!I117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1195.56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серпень!B118</f>
        <v>Мовчан В.М.</v>
      </c>
      <c r="C118" s="18" t="str">
        <f aca="false">серпень!C118</f>
        <v>40110</v>
      </c>
      <c r="D118" s="19" t="n">
        <f aca="false">серпень!P118</f>
        <v>398.73</v>
      </c>
      <c r="E118" s="19" t="n">
        <f aca="false">серпень!Q118</f>
        <v>0</v>
      </c>
      <c r="F118" s="20" t="n">
        <f aca="false">серпень!F118</f>
        <v>0</v>
      </c>
      <c r="G118" s="21" t="n">
        <f aca="false">серпень!G118</f>
        <v>48.75</v>
      </c>
      <c r="H118" s="21" t="n">
        <f aca="false">серпень!H118</f>
        <v>0</v>
      </c>
      <c r="I118" s="22" t="n">
        <f aca="false">серпень!I118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/>
      <c r="P118" s="25" t="n">
        <f aca="false">IF(D118=0,IF((N118-E118-O118)&gt;0,(N118-E118-O118),0),IF((D118+N118-O118)&gt;0,(D118+N118-O118),0))</f>
        <v>598.61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серпень!B119</f>
        <v>Величко Н.М.</v>
      </c>
      <c r="C119" s="18" t="str">
        <f aca="false">серпень!C119</f>
        <v>40111</v>
      </c>
      <c r="D119" s="19" t="n">
        <f aca="false">серпень!P119</f>
        <v>1182.06</v>
      </c>
      <c r="E119" s="19" t="n">
        <f aca="false">серпень!Q119</f>
        <v>0</v>
      </c>
      <c r="F119" s="20" t="n">
        <f aca="false">серпень!F119</f>
        <v>0</v>
      </c>
      <c r="G119" s="21" t="n">
        <f aca="false">серпень!G119</f>
        <v>63.8</v>
      </c>
      <c r="H119" s="21" t="n">
        <f aca="false">серпень!H119</f>
        <v>0</v>
      </c>
      <c r="I119" s="22" t="n">
        <f aca="false">серпень!I119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1443.64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серпень!B120</f>
        <v>Бухлов С.В.</v>
      </c>
      <c r="C120" s="18" t="str">
        <f aca="false">серпень!C120</f>
        <v>40112</v>
      </c>
      <c r="D120" s="19" t="n">
        <f aca="false">серпень!P120</f>
        <v>10047.77</v>
      </c>
      <c r="E120" s="19" t="n">
        <f aca="false">серпень!Q120</f>
        <v>0</v>
      </c>
      <c r="F120" s="20" t="n">
        <f aca="false">серпень!F120</f>
        <v>0</v>
      </c>
      <c r="G120" s="21" t="n">
        <f aca="false">серпень!G120</f>
        <v>62.6</v>
      </c>
      <c r="H120" s="21" t="n">
        <f aca="false">серпень!H120</f>
        <v>0</v>
      </c>
      <c r="I120" s="22" t="n">
        <f aca="false">серпень!I120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10304.43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серпень!B121</f>
        <v>Перепеліцина Т.Ю.</v>
      </c>
      <c r="C121" s="18" t="str">
        <f aca="false">серпень!C121</f>
        <v>40113</v>
      </c>
      <c r="D121" s="19" t="n">
        <f aca="false">серпень!P121</f>
        <v>69.6300000000001</v>
      </c>
      <c r="E121" s="19" t="n">
        <f aca="false">серпень!Q121</f>
        <v>0</v>
      </c>
      <c r="F121" s="20" t="n">
        <f aca="false">серпень!F121</f>
        <v>0</v>
      </c>
      <c r="G121" s="21" t="n">
        <f aca="false">серпень!G121</f>
        <v>34.7</v>
      </c>
      <c r="H121" s="21" t="n">
        <f aca="false">серпень!H121</f>
        <v>0</v>
      </c>
      <c r="I121" s="22" t="n">
        <f aca="false">серпень!I121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211.9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серпень!B122</f>
        <v>Свєтлова Т.Ю.</v>
      </c>
      <c r="C122" s="18" t="str">
        <f aca="false">серпень!C122</f>
        <v>40114</v>
      </c>
      <c r="D122" s="19" t="n">
        <f aca="false">серпень!P122</f>
        <v>1632.4</v>
      </c>
      <c r="E122" s="19" t="n">
        <f aca="false">серпень!Q122</f>
        <v>0</v>
      </c>
      <c r="F122" s="20" t="n">
        <f aca="false">серпень!F122</f>
        <v>0</v>
      </c>
      <c r="G122" s="21" t="n">
        <f aca="false">серпень!G122</f>
        <v>49.72</v>
      </c>
      <c r="H122" s="21" t="n">
        <f aca="false">серпень!H122</f>
        <v>0</v>
      </c>
      <c r="I122" s="22" t="n">
        <f aca="false">серпень!I122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1836.25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серпень!B123</f>
        <v>Маркова О.М.</v>
      </c>
      <c r="C123" s="18" t="str">
        <f aca="false">серпень!C123</f>
        <v>40115</v>
      </c>
      <c r="D123" s="19" t="n">
        <f aca="false">серпень!P123</f>
        <v>5091.29</v>
      </c>
      <c r="E123" s="19" t="n">
        <f aca="false">серпень!Q123</f>
        <v>0</v>
      </c>
      <c r="F123" s="20" t="n">
        <f aca="false">серпень!F123</f>
        <v>0</v>
      </c>
      <c r="G123" s="21" t="n">
        <f aca="false">серпень!G123</f>
        <v>65.1</v>
      </c>
      <c r="H123" s="21" t="n">
        <f aca="false">серпень!H123</f>
        <v>0</v>
      </c>
      <c r="I123" s="22" t="n">
        <f aca="false">серпень!I123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5358.2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серпень!B124</f>
        <v>Ракитська А.М.</v>
      </c>
      <c r="C124" s="18" t="str">
        <f aca="false">серпень!C124</f>
        <v>40116</v>
      </c>
      <c r="D124" s="19" t="n">
        <f aca="false">серпень!P124</f>
        <v>3494.36</v>
      </c>
      <c r="E124" s="19" t="n">
        <f aca="false">серпень!Q124</f>
        <v>0</v>
      </c>
      <c r="F124" s="20" t="n">
        <f aca="false">серпень!F124</f>
        <v>0</v>
      </c>
      <c r="G124" s="21" t="n">
        <f aca="false">серпень!G124</f>
        <v>62.18</v>
      </c>
      <c r="H124" s="21" t="n">
        <f aca="false">серпень!H124</f>
        <v>0</v>
      </c>
      <c r="I124" s="22" t="n">
        <f aca="false">серпень!I124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3749.3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серпень!B125</f>
        <v>Гусак К.С.</v>
      </c>
      <c r="C125" s="18" t="str">
        <f aca="false">серпень!C125</f>
        <v>40117</v>
      </c>
      <c r="D125" s="19" t="n">
        <f aca="false">серпень!P125</f>
        <v>2651.52</v>
      </c>
      <c r="E125" s="19" t="n">
        <f aca="false">серпень!Q125</f>
        <v>0</v>
      </c>
      <c r="F125" s="20" t="n">
        <f aca="false">серпень!F125</f>
        <v>0</v>
      </c>
      <c r="G125" s="21" t="n">
        <f aca="false">серпень!G125</f>
        <v>35.1</v>
      </c>
      <c r="H125" s="21" t="n">
        <f aca="false">серпень!H125</f>
        <v>0</v>
      </c>
      <c r="I125" s="22" t="n">
        <f aca="false">серпень!I125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2795.43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серпень!B126</f>
        <v>Пісоченко М.Г.</v>
      </c>
      <c r="C126" s="18" t="str">
        <f aca="false">серпень!C126</f>
        <v>40118</v>
      </c>
      <c r="D126" s="19" t="n">
        <f aca="false">серпень!P126</f>
        <v>204.18</v>
      </c>
      <c r="E126" s="19" t="n">
        <f aca="false">серпень!Q126</f>
        <v>0</v>
      </c>
      <c r="F126" s="20" t="n">
        <f aca="false">серпень!F126</f>
        <v>0</v>
      </c>
      <c r="G126" s="21" t="n">
        <f aca="false">серпень!G126</f>
        <v>49.8</v>
      </c>
      <c r="H126" s="21" t="n">
        <f aca="false">серпень!H126</f>
        <v>0</v>
      </c>
      <c r="I126" s="22" t="n">
        <f aca="false">серпень!I126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408.36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серпень!B127</f>
        <v>Столяр О.М.</v>
      </c>
      <c r="C127" s="18" t="str">
        <f aca="false">серпень!C127</f>
        <v>40119</v>
      </c>
      <c r="D127" s="19" t="n">
        <f aca="false">серпень!P127</f>
        <v>8641.29999999999</v>
      </c>
      <c r="E127" s="19" t="n">
        <f aca="false">серпень!Q127</f>
        <v>0</v>
      </c>
      <c r="F127" s="20" t="n">
        <f aca="false">серпень!F127</f>
        <v>0</v>
      </c>
      <c r="G127" s="21" t="n">
        <f aca="false">серпень!G127</f>
        <v>65.3</v>
      </c>
      <c r="H127" s="21" t="n">
        <f aca="false">серпень!H127</f>
        <v>0</v>
      </c>
      <c r="I127" s="22" t="n">
        <f aca="false">серпень!I127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8909.02999999999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серпень!B128</f>
        <v>Рєзніков В.П.</v>
      </c>
      <c r="C128" s="18" t="str">
        <f aca="false">серпень!C128</f>
        <v>40120</v>
      </c>
      <c r="D128" s="19" t="n">
        <f aca="false">серпень!P128</f>
        <v>498.690000000001</v>
      </c>
      <c r="E128" s="19" t="n">
        <f aca="false">серпень!Q128</f>
        <v>0</v>
      </c>
      <c r="F128" s="20" t="n">
        <f aca="false">серпень!F128</f>
        <v>0</v>
      </c>
      <c r="G128" s="21" t="n">
        <f aca="false">серпень!G128</f>
        <v>62.44</v>
      </c>
      <c r="H128" s="21" t="n">
        <f aca="false">серпень!H128</f>
        <v>0</v>
      </c>
      <c r="I128" s="22" t="n">
        <f aca="false">серпень!I128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754.690000000001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серпень!B129</f>
        <v>Золотоверха Я.І.</v>
      </c>
      <c r="C129" s="18" t="str">
        <f aca="false">серпень!C129</f>
        <v>40121</v>
      </c>
      <c r="D129" s="19" t="n">
        <f aca="false">серпень!P129</f>
        <v>8.5265128291212E-014</v>
      </c>
      <c r="E129" s="19" t="n">
        <f aca="false">серпень!Q129</f>
        <v>0</v>
      </c>
      <c r="F129" s="20" t="n">
        <f aca="false">серпень!F129</f>
        <v>0</v>
      </c>
      <c r="G129" s="21" t="n">
        <f aca="false">серпень!G129</f>
        <v>35.6</v>
      </c>
      <c r="H129" s="21" t="n">
        <f aca="false">серпень!H129</f>
        <v>0</v>
      </c>
      <c r="I129" s="22" t="n">
        <f aca="false">серпень!I129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/>
      <c r="P129" s="25" t="n">
        <f aca="false">IF(D129=0,IF((N129-E129-O129)&gt;0,(N129-E129-O129),0),IF((D129+N129-O129)&gt;0,(D129+N129-O129),0))</f>
        <v>145.96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серпень!B130</f>
        <v>Бурлаков А.В.</v>
      </c>
      <c r="C130" s="18" t="str">
        <f aca="false">серпень!C130</f>
        <v>40122</v>
      </c>
      <c r="D130" s="19" t="n">
        <f aca="false">серпень!P130</f>
        <v>267.95</v>
      </c>
      <c r="E130" s="19" t="n">
        <f aca="false">серпень!Q130</f>
        <v>0</v>
      </c>
      <c r="F130" s="20" t="n">
        <f aca="false">серпень!F130</f>
        <v>0</v>
      </c>
      <c r="G130" s="21" t="n">
        <f aca="false">серпень!G130</f>
        <v>49.7</v>
      </c>
      <c r="H130" s="21" t="n">
        <f aca="false">серпень!H130</f>
        <v>0</v>
      </c>
      <c r="I130" s="22" t="n">
        <f aca="false">серпень!I130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/>
      <c r="P130" s="25" t="n">
        <f aca="false">IF(D130=0,IF((N130-E130-O130)&gt;0,(N130-E130-O130),0),IF((D130+N130-O130)&gt;0,(D130+N130-O130),0))</f>
        <v>471.72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серпень!B131</f>
        <v>Сикула О.Ю.</v>
      </c>
      <c r="C131" s="18" t="str">
        <f aca="false">серпень!C131</f>
        <v>40123</v>
      </c>
      <c r="D131" s="19" t="n">
        <f aca="false">серпень!P131</f>
        <v>4395.14</v>
      </c>
      <c r="E131" s="19" t="n">
        <f aca="false">серпень!Q131</f>
        <v>0</v>
      </c>
      <c r="F131" s="20" t="n">
        <f aca="false">серпень!F131</f>
        <v>0</v>
      </c>
      <c r="G131" s="21" t="n">
        <f aca="false">серпень!G131</f>
        <v>65.15</v>
      </c>
      <c r="H131" s="21" t="n">
        <f aca="false">серпень!H131</f>
        <v>0</v>
      </c>
      <c r="I131" s="22" t="n">
        <f aca="false">серпень!I131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4662.26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серпень!B132</f>
        <v>Арістов О.О.</v>
      </c>
      <c r="C132" s="18" t="str">
        <f aca="false">серпень!C132</f>
        <v>40124</v>
      </c>
      <c r="D132" s="19" t="n">
        <f aca="false">серпень!P132</f>
        <v>1669.05</v>
      </c>
      <c r="E132" s="19" t="n">
        <f aca="false">серпень!Q132</f>
        <v>0</v>
      </c>
      <c r="F132" s="20" t="n">
        <f aca="false">серпень!F132</f>
        <v>0</v>
      </c>
      <c r="G132" s="21" t="n">
        <f aca="false">серпень!G132</f>
        <v>63</v>
      </c>
      <c r="H132" s="21" t="n">
        <f aca="false">серпень!H132</f>
        <v>0</v>
      </c>
      <c r="I132" s="22" t="n">
        <f aca="false">серпень!I132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1927.35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серпень!B133</f>
        <v>Бондаренко Т.О.</v>
      </c>
      <c r="C133" s="18" t="str">
        <f aca="false">серпень!C133</f>
        <v>40125</v>
      </c>
      <c r="D133" s="19" t="n">
        <f aca="false">серпень!P133</f>
        <v>2232.48</v>
      </c>
      <c r="E133" s="19" t="n">
        <f aca="false">серпень!Q133</f>
        <v>0</v>
      </c>
      <c r="F133" s="20" t="n">
        <f aca="false">серпень!F133</f>
        <v>0</v>
      </c>
      <c r="G133" s="21" t="n">
        <f aca="false">серпень!G133</f>
        <v>34.7</v>
      </c>
      <c r="H133" s="21" t="n">
        <f aca="false">серпень!H133</f>
        <v>0</v>
      </c>
      <c r="I133" s="22" t="n">
        <f aca="false">серпень!I133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2374.75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серпень!B134</f>
        <v>Гайчев П.В.</v>
      </c>
      <c r="C134" s="18" t="str">
        <f aca="false">серпень!C134</f>
        <v>40126</v>
      </c>
      <c r="D134" s="19" t="n">
        <f aca="false">серпень!P134</f>
        <v>13.0800000000008</v>
      </c>
      <c r="E134" s="19" t="n">
        <f aca="false">серпень!Q134</f>
        <v>0</v>
      </c>
      <c r="F134" s="20" t="n">
        <f aca="false">серпень!F134</f>
        <v>0</v>
      </c>
      <c r="G134" s="21" t="n">
        <f aca="false">серпень!G134</f>
        <v>49.2</v>
      </c>
      <c r="H134" s="21" t="n">
        <f aca="false">серпень!H134</f>
        <v>0</v>
      </c>
      <c r="I134" s="22" t="n">
        <f aca="false">серпень!I134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214.800000000001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серпень!B135</f>
        <v>Радченко О.С.</v>
      </c>
      <c r="C135" s="18" t="str">
        <f aca="false">серпень!C135</f>
        <v>40127</v>
      </c>
      <c r="D135" s="19" t="n">
        <f aca="false">серпень!P135</f>
        <v>529.139999999999</v>
      </c>
      <c r="E135" s="19" t="n">
        <f aca="false">серпень!Q135</f>
        <v>0</v>
      </c>
      <c r="F135" s="20" t="n">
        <f aca="false">серпень!F135</f>
        <v>0</v>
      </c>
      <c r="G135" s="21" t="n">
        <f aca="false">серпень!G135</f>
        <v>65.15</v>
      </c>
      <c r="H135" s="21" t="n">
        <f aca="false">серпень!H135</f>
        <v>0</v>
      </c>
      <c r="I135" s="22" t="n">
        <f aca="false">серпень!I135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796.259999999999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серпень!B136</f>
        <v>Шилін С.М.</v>
      </c>
      <c r="C136" s="18" t="str">
        <f aca="false">серпень!C136</f>
        <v>40128</v>
      </c>
      <c r="D136" s="19" t="n">
        <f aca="false">серпень!P136</f>
        <v>3320.02</v>
      </c>
      <c r="E136" s="19" t="n">
        <f aca="false">серпень!Q136</f>
        <v>0</v>
      </c>
      <c r="F136" s="20" t="n">
        <f aca="false">серпень!F136</f>
        <v>0</v>
      </c>
      <c r="G136" s="21" t="n">
        <f aca="false">серпень!G136</f>
        <v>62.3</v>
      </c>
      <c r="H136" s="21" t="n">
        <f aca="false">серпень!H136</f>
        <v>0</v>
      </c>
      <c r="I136" s="22" t="n">
        <f aca="false">серпень!I136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3575.45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серпень!B137</f>
        <v>Петрулевич В.М.</v>
      </c>
      <c r="C137" s="18" t="str">
        <f aca="false">серпень!C137</f>
        <v>40129</v>
      </c>
      <c r="D137" s="19" t="n">
        <f aca="false">серпень!P137</f>
        <v>2271.1</v>
      </c>
      <c r="E137" s="19" t="n">
        <f aca="false">серпень!Q137</f>
        <v>0</v>
      </c>
      <c r="F137" s="20" t="n">
        <f aca="false">серпень!F137</f>
        <v>0</v>
      </c>
      <c r="G137" s="21" t="n">
        <f aca="false">серпень!G137</f>
        <v>35.3</v>
      </c>
      <c r="H137" s="21" t="n">
        <f aca="false">серпень!H137</f>
        <v>0</v>
      </c>
      <c r="I137" s="22" t="n">
        <f aca="false">серпень!I137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2415.83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серпень!B138</f>
        <v>Кривошеєва Л.М.</v>
      </c>
      <c r="C138" s="18" t="str">
        <f aca="false">серпень!C138</f>
        <v>40130</v>
      </c>
      <c r="D138" s="19" t="n">
        <f aca="false">серпень!P138</f>
        <v>2605.22</v>
      </c>
      <c r="E138" s="19" t="n">
        <f aca="false">серпень!Q138</f>
        <v>0</v>
      </c>
      <c r="F138" s="20" t="n">
        <f aca="false">серпень!F138</f>
        <v>0</v>
      </c>
      <c r="G138" s="21" t="n">
        <f aca="false">серпень!G138</f>
        <v>49.78</v>
      </c>
      <c r="H138" s="21" t="n">
        <f aca="false">серпень!H138</f>
        <v>0</v>
      </c>
      <c r="I138" s="22" t="n">
        <f aca="false">серпень!I138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2809.32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серпень!B139</f>
        <v>Харченко І.С.</v>
      </c>
      <c r="C139" s="18" t="str">
        <f aca="false">серпень!C139</f>
        <v>40131</v>
      </c>
      <c r="D139" s="19" t="n">
        <f aca="false">серпень!P139</f>
        <v>771.189999999998</v>
      </c>
      <c r="E139" s="19" t="n">
        <f aca="false">серпень!Q139</f>
        <v>0</v>
      </c>
      <c r="F139" s="20" t="n">
        <f aca="false">серпень!F139</f>
        <v>0</v>
      </c>
      <c r="G139" s="21" t="n">
        <f aca="false">серпень!G139</f>
        <v>65.93</v>
      </c>
      <c r="H139" s="21" t="n">
        <f aca="false">серпень!H139</f>
        <v>0</v>
      </c>
      <c r="I139" s="22" t="n">
        <f aca="false">серпень!I139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/>
      <c r="P139" s="25" t="n">
        <f aca="false">IF(D139=0,IF((N139-E139-O139)&gt;0,(N139-E139-O139),0),IF((D139+N139-O139)&gt;0,(D139+N139-O139),0))</f>
        <v>1041.5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серпень!B140</f>
        <v>Куриленко І.О.</v>
      </c>
      <c r="C140" s="18" t="str">
        <f aca="false">серпень!C140</f>
        <v>40132</v>
      </c>
      <c r="D140" s="19" t="n">
        <f aca="false">серпень!P140</f>
        <v>5111.89</v>
      </c>
      <c r="E140" s="19" t="n">
        <f aca="false">серпень!Q140</f>
        <v>0</v>
      </c>
      <c r="F140" s="20" t="n">
        <f aca="false">серпень!F140</f>
        <v>0</v>
      </c>
      <c r="G140" s="21" t="n">
        <f aca="false">серпень!G140</f>
        <v>62.36</v>
      </c>
      <c r="H140" s="21" t="n">
        <f aca="false">серпень!H140</f>
        <v>0</v>
      </c>
      <c r="I140" s="22" t="n">
        <f aca="false">серпень!I140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5367.57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серпень!B141</f>
        <v>Єлсукова В.М.</v>
      </c>
      <c r="C141" s="18" t="str">
        <f aca="false">серпень!C141</f>
        <v>40133</v>
      </c>
      <c r="D141" s="19" t="n">
        <f aca="false">серпень!P141</f>
        <v>2878.2</v>
      </c>
      <c r="E141" s="19" t="n">
        <f aca="false">серпень!Q141</f>
        <v>0</v>
      </c>
      <c r="F141" s="20" t="n">
        <f aca="false">серпень!F141</f>
        <v>0</v>
      </c>
      <c r="G141" s="21" t="n">
        <f aca="false">серпень!G141</f>
        <v>35.1</v>
      </c>
      <c r="H141" s="21" t="n">
        <f aca="false">серпень!H141</f>
        <v>0</v>
      </c>
      <c r="I141" s="22" t="n">
        <f aca="false">серпень!I141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3022.11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серпень!B142</f>
        <v>Пімонова М.В.</v>
      </c>
      <c r="C142" s="18" t="str">
        <f aca="false">серпень!C142</f>
        <v>40134</v>
      </c>
      <c r="D142" s="19" t="n">
        <f aca="false">серпень!P142</f>
        <v>5595.27</v>
      </c>
      <c r="E142" s="19" t="n">
        <f aca="false">серпень!Q142</f>
        <v>0</v>
      </c>
      <c r="F142" s="20" t="n">
        <f aca="false">серпень!F142</f>
        <v>0</v>
      </c>
      <c r="G142" s="21" t="n">
        <f aca="false">серпень!G142</f>
        <v>49.47</v>
      </c>
      <c r="H142" s="21" t="n">
        <f aca="false">серпень!H142</f>
        <v>0</v>
      </c>
      <c r="I142" s="22" t="n">
        <f aca="false">серпень!I142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5798.1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серпень!B143</f>
        <v>Осипенко В.В.</v>
      </c>
      <c r="C143" s="18" t="str">
        <f aca="false">серпень!C143</f>
        <v>40135</v>
      </c>
      <c r="D143" s="19" t="n">
        <f aca="false">серпень!P143</f>
        <v>3228.23</v>
      </c>
      <c r="E143" s="19" t="n">
        <f aca="false">серпень!Q143</f>
        <v>0</v>
      </c>
      <c r="F143" s="20" t="n">
        <f aca="false">серпень!F143</f>
        <v>0</v>
      </c>
      <c r="G143" s="21" t="n">
        <f aca="false">серпень!G143</f>
        <v>65.65</v>
      </c>
      <c r="H143" s="21" t="n">
        <f aca="false">серпень!H143</f>
        <v>0</v>
      </c>
      <c r="I143" s="22" t="n">
        <f aca="false">серпень!I143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3497.4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серпень!B144</f>
        <v>Друзь О.О.</v>
      </c>
      <c r="C144" s="18" t="str">
        <f aca="false">серпень!C144</f>
        <v>40136</v>
      </c>
      <c r="D144" s="19" t="n">
        <f aca="false">серпень!P144</f>
        <v>3818.47</v>
      </c>
      <c r="E144" s="19" t="n">
        <f aca="false">серпень!Q144</f>
        <v>0</v>
      </c>
      <c r="F144" s="20" t="n">
        <f aca="false">серпень!F144</f>
        <v>0</v>
      </c>
      <c r="G144" s="21" t="n">
        <f aca="false">серпень!G144</f>
        <v>62.1</v>
      </c>
      <c r="H144" s="21" t="n">
        <f aca="false">серпень!H144</f>
        <v>0</v>
      </c>
      <c r="I144" s="22" t="n">
        <f aca="false">серпень!I144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4073.08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серпень!B145</f>
        <v>Вовченко Р.І.</v>
      </c>
      <c r="C145" s="18" t="str">
        <f aca="false">серпень!C145</f>
        <v>40137</v>
      </c>
      <c r="D145" s="19" t="n">
        <f aca="false">серпень!P145</f>
        <v>497.759999999999</v>
      </c>
      <c r="E145" s="19" t="n">
        <f aca="false">серпень!Q145</f>
        <v>0</v>
      </c>
      <c r="F145" s="20" t="n">
        <f aca="false">серпень!F145</f>
        <v>0</v>
      </c>
      <c r="G145" s="21" t="n">
        <f aca="false">серпень!G145</f>
        <v>35.2</v>
      </c>
      <c r="H145" s="21" t="n">
        <f aca="false">серпень!H145</f>
        <v>0</v>
      </c>
      <c r="I145" s="22" t="n">
        <f aca="false">серпень!I145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642.079999999999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серпень!B146</f>
        <v>Плакун Д.В.</v>
      </c>
      <c r="C146" s="18" t="str">
        <f aca="false">серпень!C146</f>
        <v>40138</v>
      </c>
      <c r="D146" s="19" t="n">
        <f aca="false">серпень!P146</f>
        <v>1636.4</v>
      </c>
      <c r="E146" s="19" t="n">
        <f aca="false">серпень!Q146</f>
        <v>0</v>
      </c>
      <c r="F146" s="20" t="n">
        <f aca="false">серпень!F146</f>
        <v>0</v>
      </c>
      <c r="G146" s="21" t="n">
        <f aca="false">серпень!G146</f>
        <v>49.9</v>
      </c>
      <c r="H146" s="21" t="n">
        <f aca="false">серпень!H146</f>
        <v>0</v>
      </c>
      <c r="I146" s="22" t="n">
        <f aca="false">серпень!I146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1840.99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серпень!B147</f>
        <v>Гаврилова Ю.О.</v>
      </c>
      <c r="C147" s="18" t="str">
        <f aca="false">серпень!C147</f>
        <v>40139</v>
      </c>
      <c r="D147" s="19" t="n">
        <f aca="false">серпень!P147</f>
        <v>881.9</v>
      </c>
      <c r="E147" s="19" t="n">
        <f aca="false">серпень!Q147</f>
        <v>0</v>
      </c>
      <c r="F147" s="20" t="n">
        <f aca="false">серпень!F147</f>
        <v>0</v>
      </c>
      <c r="G147" s="21" t="n">
        <f aca="false">серпень!G147</f>
        <v>65.8</v>
      </c>
      <c r="H147" s="21" t="n">
        <f aca="false">серпень!H147</f>
        <v>0</v>
      </c>
      <c r="I147" s="22" t="n">
        <f aca="false">серпень!I147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1151.68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серпень!B148</f>
        <v>Корзун Г.М.</v>
      </c>
      <c r="C148" s="18" t="str">
        <f aca="false">серпень!C148</f>
        <v>40140</v>
      </c>
      <c r="D148" s="19" t="n">
        <f aca="false">серпень!P148</f>
        <v>1131.48</v>
      </c>
      <c r="E148" s="19" t="n">
        <f aca="false">серпень!Q148</f>
        <v>0</v>
      </c>
      <c r="F148" s="20" t="n">
        <f aca="false">серпень!F148</f>
        <v>0</v>
      </c>
      <c r="G148" s="21" t="n">
        <f aca="false">серпень!G148</f>
        <v>63.2</v>
      </c>
      <c r="H148" s="21" t="n">
        <f aca="false">серпень!H148</f>
        <v>0</v>
      </c>
      <c r="I148" s="22" t="n">
        <f aca="false">серпень!I148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1390.6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серпень!B149</f>
        <v>Бондаренко Л.Л.</v>
      </c>
      <c r="C149" s="18" t="str">
        <f aca="false">серпень!C149</f>
        <v>40141</v>
      </c>
      <c r="D149" s="19" t="n">
        <f aca="false">серпень!P149</f>
        <v>0</v>
      </c>
      <c r="E149" s="19" t="n">
        <f aca="false">серпень!Q149</f>
        <v>0.529999999999745</v>
      </c>
      <c r="F149" s="20" t="n">
        <f aca="false">серпень!F149</f>
        <v>0</v>
      </c>
      <c r="G149" s="21" t="n">
        <f aca="false">серпень!G149</f>
        <v>34.9</v>
      </c>
      <c r="H149" s="21" t="n">
        <f aca="false">серпень!H149</f>
        <v>0</v>
      </c>
      <c r="I149" s="22" t="n">
        <f aca="false">серпень!I149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142.56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серпень!B150</f>
        <v>Капелюш Н.А.</v>
      </c>
      <c r="C150" s="18" t="str">
        <f aca="false">серпень!C150</f>
        <v>40142</v>
      </c>
      <c r="D150" s="19" t="n">
        <f aca="false">серпень!P150</f>
        <v>3719.52</v>
      </c>
      <c r="E150" s="19" t="n">
        <f aca="false">серпень!Q150</f>
        <v>0</v>
      </c>
      <c r="F150" s="20" t="n">
        <f aca="false">серпень!F150</f>
        <v>0</v>
      </c>
      <c r="G150" s="21" t="n">
        <f aca="false">серпень!G150</f>
        <v>50.4</v>
      </c>
      <c r="H150" s="21" t="n">
        <f aca="false">серпень!H150</f>
        <v>0</v>
      </c>
      <c r="I150" s="22" t="n">
        <f aca="false">серпень!I150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3926.16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серпень!B151</f>
        <v>Кістрінь Л.П.</v>
      </c>
      <c r="C151" s="18" t="str">
        <f aca="false">серпень!C151</f>
        <v>40143</v>
      </c>
      <c r="D151" s="19" t="n">
        <f aca="false">серпень!P151</f>
        <v>6133.81</v>
      </c>
      <c r="E151" s="19" t="n">
        <f aca="false">серпень!Q151</f>
        <v>0</v>
      </c>
      <c r="F151" s="20" t="n">
        <f aca="false">серпень!F151</f>
        <v>0</v>
      </c>
      <c r="G151" s="21" t="n">
        <f aca="false">серпень!G151</f>
        <v>65.2</v>
      </c>
      <c r="H151" s="21" t="n">
        <f aca="false">серпень!H151</f>
        <v>0</v>
      </c>
      <c r="I151" s="22" t="n">
        <f aca="false">серпень!I151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6401.13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серпень!B152</f>
        <v>Козьміна І.В.</v>
      </c>
      <c r="C152" s="18" t="str">
        <f aca="false">серпень!C152</f>
        <v>50144</v>
      </c>
      <c r="D152" s="19" t="n">
        <f aca="false">серпень!P152</f>
        <v>794.22</v>
      </c>
      <c r="E152" s="19" t="n">
        <f aca="false">серпень!Q152</f>
        <v>0</v>
      </c>
      <c r="F152" s="20" t="n">
        <f aca="false">серпень!F152</f>
        <v>0</v>
      </c>
      <c r="G152" s="21" t="n">
        <f aca="false">серпень!G152</f>
        <v>64.57</v>
      </c>
      <c r="H152" s="21" t="n">
        <f aca="false">серпень!H152</f>
        <v>0</v>
      </c>
      <c r="I152" s="22" t="n">
        <f aca="false">серпень!I152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1058.96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серпень!B153</f>
        <v>Чала С.С.</v>
      </c>
      <c r="C153" s="18" t="str">
        <f aca="false">серпень!C153</f>
        <v>50145</v>
      </c>
      <c r="D153" s="19" t="n">
        <f aca="false">серпень!P153</f>
        <v>5449.45</v>
      </c>
      <c r="E153" s="19" t="n">
        <f aca="false">серпень!Q153</f>
        <v>0</v>
      </c>
      <c r="F153" s="20" t="n">
        <f aca="false">серпень!F153</f>
        <v>0</v>
      </c>
      <c r="G153" s="21" t="n">
        <f aca="false">серпень!G153</f>
        <v>48.7</v>
      </c>
      <c r="H153" s="21" t="n">
        <f aca="false">серпень!H153</f>
        <v>0</v>
      </c>
      <c r="I153" s="22" t="n">
        <f aca="false">серпень!I153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5649.12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серпень!B154</f>
        <v>Свєтайлова І.М.</v>
      </c>
      <c r="C154" s="18" t="str">
        <f aca="false">серпень!C154</f>
        <v>50146</v>
      </c>
      <c r="D154" s="19" t="n">
        <f aca="false">серпень!P154</f>
        <v>2734.29</v>
      </c>
      <c r="E154" s="19" t="n">
        <f aca="false">серпень!Q154</f>
        <v>0</v>
      </c>
      <c r="F154" s="20" t="n">
        <f aca="false">серпень!F154</f>
        <v>0</v>
      </c>
      <c r="G154" s="21" t="n">
        <f aca="false">серпень!G154</f>
        <v>35.1</v>
      </c>
      <c r="H154" s="21" t="n">
        <f aca="false">серпень!H154</f>
        <v>0</v>
      </c>
      <c r="I154" s="22" t="n">
        <f aca="false">серпень!I154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2878.2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серпень!B155</f>
        <v>Неделько Д.І.</v>
      </c>
      <c r="C155" s="18" t="str">
        <f aca="false">серпень!C155</f>
        <v>50147</v>
      </c>
      <c r="D155" s="19" t="n">
        <f aca="false">серпень!P155</f>
        <v>439.28</v>
      </c>
      <c r="E155" s="19" t="n">
        <f aca="false">серпень!Q155</f>
        <v>0</v>
      </c>
      <c r="F155" s="20" t="n">
        <f aca="false">серпень!F155</f>
        <v>0</v>
      </c>
      <c r="G155" s="21" t="n">
        <f aca="false">серпень!G155</f>
        <v>53.57</v>
      </c>
      <c r="H155" s="21" t="n">
        <f aca="false">серпень!H155</f>
        <v>0</v>
      </c>
      <c r="I155" s="22" t="n">
        <f aca="false">серпень!I155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658.92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серпень!B156</f>
        <v>Самойленко Л.К.</v>
      </c>
      <c r="C156" s="18" t="str">
        <f aca="false">серпень!C156</f>
        <v>50148</v>
      </c>
      <c r="D156" s="19" t="n">
        <f aca="false">серпень!P156</f>
        <v>0</v>
      </c>
      <c r="E156" s="19" t="n">
        <f aca="false">серпень!Q156</f>
        <v>1026.16</v>
      </c>
      <c r="F156" s="20" t="n">
        <f aca="false">серпень!F156</f>
        <v>0</v>
      </c>
      <c r="G156" s="21" t="n">
        <f aca="false">серпень!G156</f>
        <v>65.7</v>
      </c>
      <c r="H156" s="21" t="n">
        <f aca="false">серпень!H156</f>
        <v>0</v>
      </c>
      <c r="I156" s="22" t="n">
        <f aca="false">серпень!I156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/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756.789999999999</v>
      </c>
    </row>
    <row r="157" customFormat="false" ht="15" hidden="false" customHeight="false" outlineLevel="0" collapsed="false">
      <c r="A157" s="17" t="s">
        <v>467</v>
      </c>
      <c r="B157" s="18" t="str">
        <f aca="false">серпень!B157</f>
        <v>Павлов Ю.В.</v>
      </c>
      <c r="C157" s="18" t="str">
        <f aca="false">серпень!C157</f>
        <v>50149</v>
      </c>
      <c r="D157" s="19" t="n">
        <f aca="false">серпень!P157</f>
        <v>3182.58</v>
      </c>
      <c r="E157" s="19" t="n">
        <f aca="false">серпень!Q157</f>
        <v>0</v>
      </c>
      <c r="F157" s="20" t="n">
        <f aca="false">серпень!F157</f>
        <v>0</v>
      </c>
      <c r="G157" s="21" t="n">
        <f aca="false">серпень!G157</f>
        <v>49.78</v>
      </c>
      <c r="H157" s="21" t="n">
        <f aca="false">серпень!H157</f>
        <v>0</v>
      </c>
      <c r="I157" s="22" t="n">
        <f aca="false">серпень!I157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3386.68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серпень!B158</f>
        <v>Коваленко Т.М.</v>
      </c>
      <c r="C158" s="18" t="str">
        <f aca="false">серпень!C158</f>
        <v>50150</v>
      </c>
      <c r="D158" s="19" t="n">
        <f aca="false">серпень!P158</f>
        <v>143.5</v>
      </c>
      <c r="E158" s="19" t="n">
        <f aca="false">серпень!Q158</f>
        <v>0</v>
      </c>
      <c r="F158" s="20" t="n">
        <f aca="false">серпень!F158</f>
        <v>0</v>
      </c>
      <c r="G158" s="21" t="n">
        <f aca="false">серпень!G158</f>
        <v>35</v>
      </c>
      <c r="H158" s="21" t="n">
        <f aca="false">серпень!H158</f>
        <v>0</v>
      </c>
      <c r="I158" s="22" t="n">
        <f aca="false">серпень!I158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287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серпень!B159</f>
        <v>Рощенко Л.Б.</v>
      </c>
      <c r="C159" s="18" t="str">
        <f aca="false">серпень!C159</f>
        <v>50151</v>
      </c>
      <c r="D159" s="19" t="n">
        <f aca="false">серпень!P159</f>
        <v>2768.13</v>
      </c>
      <c r="E159" s="19" t="n">
        <f aca="false">серпень!Q159</f>
        <v>0</v>
      </c>
      <c r="F159" s="20" t="n">
        <f aca="false">серпень!F159</f>
        <v>0</v>
      </c>
      <c r="G159" s="21" t="n">
        <f aca="false">серпень!G159</f>
        <v>62.08</v>
      </c>
      <c r="H159" s="21" t="n">
        <f aca="false">серпень!H159</f>
        <v>0</v>
      </c>
      <c r="I159" s="22" t="n">
        <f aca="false">серпень!I159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3022.66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серпень!B160</f>
        <v>Галушко С.Т.</v>
      </c>
      <c r="C160" s="18" t="str">
        <f aca="false">серпень!C160</f>
        <v>50152</v>
      </c>
      <c r="D160" s="19" t="n">
        <f aca="false">серпень!P160</f>
        <v>270.03</v>
      </c>
      <c r="E160" s="19" t="n">
        <f aca="false">серпень!Q160</f>
        <v>0</v>
      </c>
      <c r="F160" s="20" t="n">
        <f aca="false">серпень!F160</f>
        <v>0</v>
      </c>
      <c r="G160" s="21" t="n">
        <f aca="false">серпень!G160</f>
        <v>65.86</v>
      </c>
      <c r="H160" s="21" t="n">
        <f aca="false">серпень!H160</f>
        <v>0</v>
      </c>
      <c r="I160" s="22" t="n">
        <f aca="false">серпень!I160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/>
      <c r="P160" s="25" t="n">
        <f aca="false">IF(D160=0,IF((N160-E160-O160)&gt;0,(N160-E160-O160),0),IF((D160+N160-O160)&gt;0,(D160+N160-O160),0))</f>
        <v>540.06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серпень!B161</f>
        <v>Наумова Л.Я.</v>
      </c>
      <c r="C161" s="18" t="str">
        <f aca="false">серпень!C161</f>
        <v>50153</v>
      </c>
      <c r="D161" s="19" t="n">
        <f aca="false">серпень!P161</f>
        <v>140.000000000001</v>
      </c>
      <c r="E161" s="19" t="n">
        <f aca="false">серпень!Q161</f>
        <v>0</v>
      </c>
      <c r="F161" s="20" t="n">
        <f aca="false">серпень!F161</f>
        <v>0</v>
      </c>
      <c r="G161" s="21" t="n">
        <f aca="false">серпень!G161</f>
        <v>49.95</v>
      </c>
      <c r="H161" s="21" t="n">
        <f aca="false">серпень!H161</f>
        <v>0</v>
      </c>
      <c r="I161" s="22" t="n">
        <f aca="false">серпень!I161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344.800000000001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серпень!B162</f>
        <v>Грєк В.С.</v>
      </c>
      <c r="C162" s="18" t="str">
        <f aca="false">серпень!C162</f>
        <v>50154</v>
      </c>
      <c r="D162" s="19" t="n">
        <f aca="false">серпень!P162</f>
        <v>967.38</v>
      </c>
      <c r="E162" s="19" t="n">
        <f aca="false">серпень!Q162</f>
        <v>0</v>
      </c>
      <c r="F162" s="20" t="n">
        <f aca="false">серпень!F162</f>
        <v>0</v>
      </c>
      <c r="G162" s="21" t="n">
        <f aca="false">серпень!G162</f>
        <v>33.9</v>
      </c>
      <c r="H162" s="21" t="n">
        <f aca="false">серпень!H162</f>
        <v>0</v>
      </c>
      <c r="I162" s="22" t="n">
        <f aca="false">серпень!I162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1106.37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серпень!B163</f>
        <v>Пермінов О.А.</v>
      </c>
      <c r="C163" s="18" t="str">
        <f aca="false">серпень!C163</f>
        <v>50155</v>
      </c>
      <c r="D163" s="19" t="n">
        <f aca="false">серпень!P163</f>
        <v>1252.72</v>
      </c>
      <c r="E163" s="19" t="n">
        <f aca="false">серпень!Q163</f>
        <v>0</v>
      </c>
      <c r="F163" s="20" t="n">
        <f aca="false">серпень!F163</f>
        <v>0</v>
      </c>
      <c r="G163" s="21" t="n">
        <f aca="false">серпень!G163</f>
        <v>62.43</v>
      </c>
      <c r="H163" s="21" t="n">
        <f aca="false">серпень!H163</f>
        <v>0</v>
      </c>
      <c r="I163" s="22" t="n">
        <f aca="false">серпень!I163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1508.68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серпень!B164</f>
        <v>Рябчук Л.П.</v>
      </c>
      <c r="C164" s="18" t="str">
        <f aca="false">серпень!C164</f>
        <v>50156</v>
      </c>
      <c r="D164" s="19" t="n">
        <f aca="false">серпень!P164</f>
        <v>2710.8</v>
      </c>
      <c r="E164" s="19" t="n">
        <f aca="false">серпень!Q164</f>
        <v>0</v>
      </c>
      <c r="F164" s="20" t="n">
        <f aca="false">серпень!F164</f>
        <v>0</v>
      </c>
      <c r="G164" s="21" t="n">
        <f aca="false">серпень!G164</f>
        <v>64.8</v>
      </c>
      <c r="H164" s="21" t="n">
        <f aca="false">серпень!H164</f>
        <v>0</v>
      </c>
      <c r="I164" s="22" t="n">
        <f aca="false">серпень!I164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2976.48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серпень!B165</f>
        <v>Копасова Л.Б.</v>
      </c>
      <c r="C165" s="18" t="str">
        <f aca="false">серпень!C165</f>
        <v>50157</v>
      </c>
      <c r="D165" s="19" t="n">
        <f aca="false">серпень!P165</f>
        <v>2031.92</v>
      </c>
      <c r="E165" s="19" t="n">
        <f aca="false">серпень!Q165</f>
        <v>0</v>
      </c>
      <c r="F165" s="20" t="n">
        <f aca="false">серпень!F165</f>
        <v>0</v>
      </c>
      <c r="G165" s="21" t="n">
        <f aca="false">серпень!G165</f>
        <v>49.4</v>
      </c>
      <c r="H165" s="21" t="n">
        <f aca="false">серпень!H165</f>
        <v>0</v>
      </c>
      <c r="I165" s="22" t="n">
        <f aca="false">серпень!I165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2234.46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серпень!B166</f>
        <v>Киричинська Г.Я.</v>
      </c>
      <c r="C166" s="18" t="str">
        <f aca="false">серпень!C166</f>
        <v>50158</v>
      </c>
      <c r="D166" s="19" t="n">
        <f aca="false">серпень!P166</f>
        <v>1595.67</v>
      </c>
      <c r="E166" s="19" t="n">
        <f aca="false">серпень!Q166</f>
        <v>0</v>
      </c>
      <c r="F166" s="20" t="n">
        <f aca="false">серпень!F166</f>
        <v>0</v>
      </c>
      <c r="G166" s="21" t="n">
        <f aca="false">серпень!G166</f>
        <v>35.1</v>
      </c>
      <c r="H166" s="21" t="n">
        <f aca="false">серпень!H166</f>
        <v>0</v>
      </c>
      <c r="I166" s="22" t="n">
        <f aca="false">серпень!I166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1739.58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серпень!B167</f>
        <v>Бутрій К.В.</v>
      </c>
      <c r="C167" s="18" t="str">
        <f aca="false">серпень!C167</f>
        <v>50159</v>
      </c>
      <c r="D167" s="19" t="n">
        <f aca="false">серпень!P167</f>
        <v>2712.29</v>
      </c>
      <c r="E167" s="19" t="n">
        <f aca="false">серпень!Q167</f>
        <v>0</v>
      </c>
      <c r="F167" s="20" t="n">
        <f aca="false">серпень!F167</f>
        <v>0</v>
      </c>
      <c r="G167" s="21" t="n">
        <f aca="false">серпень!G167</f>
        <v>62.4</v>
      </c>
      <c r="H167" s="21" t="n">
        <f aca="false">серпень!H167</f>
        <v>0</v>
      </c>
      <c r="I167" s="22" t="n">
        <f aca="false">серпень!I167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2968.13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серпень!B168</f>
        <v>Кузьома Г.І.</v>
      </c>
      <c r="C168" s="18" t="str">
        <f aca="false">серпень!C168</f>
        <v>50160</v>
      </c>
      <c r="D168" s="19" t="n">
        <f aca="false">серпень!P168</f>
        <v>696.680000000001</v>
      </c>
      <c r="E168" s="19" t="n">
        <f aca="false">серпень!Q168</f>
        <v>0</v>
      </c>
      <c r="F168" s="20" t="n">
        <f aca="false">серпень!F168</f>
        <v>0</v>
      </c>
      <c r="G168" s="21" t="n">
        <f aca="false">серпень!G168</f>
        <v>65.5</v>
      </c>
      <c r="H168" s="21" t="n">
        <f aca="false">серпень!H168</f>
        <v>0</v>
      </c>
      <c r="I168" s="22" t="n">
        <f aca="false">серпень!I168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965.230000000001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серпень!B169</f>
        <v>Павленко В.М.</v>
      </c>
      <c r="C169" s="18" t="str">
        <f aca="false">серпень!C169</f>
        <v>50161</v>
      </c>
      <c r="D169" s="19" t="n">
        <f aca="false">серпень!P169</f>
        <v>4095</v>
      </c>
      <c r="E169" s="19" t="n">
        <f aca="false">серпень!Q169</f>
        <v>0</v>
      </c>
      <c r="F169" s="20" t="n">
        <f aca="false">серпень!F169</f>
        <v>0</v>
      </c>
      <c r="G169" s="21" t="n">
        <f aca="false">серпень!G169</f>
        <v>49.94</v>
      </c>
      <c r="H169" s="21" t="n">
        <f aca="false">серпень!H169</f>
        <v>0</v>
      </c>
      <c r="I169" s="22" t="n">
        <f aca="false">серпень!I169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4299.75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серпень!B170</f>
        <v>Качуровська С.А.</v>
      </c>
      <c r="C170" s="18" t="str">
        <f aca="false">серпень!C170</f>
        <v>50162</v>
      </c>
      <c r="D170" s="19" t="n">
        <f aca="false">серпень!P170</f>
        <v>112.66</v>
      </c>
      <c r="E170" s="19" t="n">
        <f aca="false">серпень!Q170</f>
        <v>0</v>
      </c>
      <c r="F170" s="20" t="n">
        <f aca="false">серпень!F170</f>
        <v>0</v>
      </c>
      <c r="G170" s="21" t="n">
        <f aca="false">серпень!G170</f>
        <v>35</v>
      </c>
      <c r="H170" s="21" t="n">
        <f aca="false">серпень!H170</f>
        <v>0</v>
      </c>
      <c r="I170" s="22" t="n">
        <f aca="false">серпень!I170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/>
      <c r="P170" s="25" t="n">
        <f aca="false">IF(D170=0,IF((N170-E170-O170)&gt;0,(N170-E170-O170),0),IF((D170+N170-O170)&gt;0,(D170+N170-O170),0))</f>
        <v>256.16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серпень!B171</f>
        <v>Білецький Б.Г.</v>
      </c>
      <c r="C171" s="18" t="str">
        <f aca="false">серпень!C171</f>
        <v>50163</v>
      </c>
      <c r="D171" s="19" t="n">
        <f aca="false">серпень!P171</f>
        <v>511.36</v>
      </c>
      <c r="E171" s="19" t="n">
        <f aca="false">серпень!Q171</f>
        <v>0</v>
      </c>
      <c r="F171" s="20" t="n">
        <f aca="false">серпень!F171</f>
        <v>0</v>
      </c>
      <c r="G171" s="21" t="n">
        <f aca="false">серпень!G171</f>
        <v>62.36</v>
      </c>
      <c r="H171" s="21" t="n">
        <f aca="false">серпень!H171</f>
        <v>0</v>
      </c>
      <c r="I171" s="22" t="n">
        <f aca="false">серпень!I171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/>
      <c r="P171" s="25" t="n">
        <f aca="false">IF(D171=0,IF((N171-E171-O171)&gt;0,(N171-E171-O171),0),IF((D171+N171-O171)&gt;0,(D171+N171-O171),0))</f>
        <v>767.04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серпень!B172</f>
        <v>Кузнєцова В.В.</v>
      </c>
      <c r="C172" s="18" t="str">
        <f aca="false">серпень!C172</f>
        <v>50164</v>
      </c>
      <c r="D172" s="19" t="n">
        <f aca="false">серпень!P172</f>
        <v>2690.88</v>
      </c>
      <c r="E172" s="19" t="n">
        <f aca="false">серпень!Q172</f>
        <v>0</v>
      </c>
      <c r="F172" s="20" t="n">
        <f aca="false">серпень!F172</f>
        <v>0</v>
      </c>
      <c r="G172" s="21" t="n">
        <f aca="false">серпень!G172</f>
        <v>65.63</v>
      </c>
      <c r="H172" s="21" t="n">
        <f aca="false">серпень!H172</f>
        <v>0</v>
      </c>
      <c r="I172" s="22" t="n">
        <f aca="false">серпень!I172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2959.96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серпень!B173</f>
        <v>Сидоренко Б.Й.</v>
      </c>
      <c r="C173" s="18" t="str">
        <f aca="false">серпень!C173</f>
        <v>50165</v>
      </c>
      <c r="D173" s="19" t="n">
        <f aca="false">серпень!P173</f>
        <v>10461.11</v>
      </c>
      <c r="E173" s="19" t="n">
        <f aca="false">серпень!Q173</f>
        <v>0</v>
      </c>
      <c r="F173" s="20" t="n">
        <f aca="false">серпень!F173</f>
        <v>0</v>
      </c>
      <c r="G173" s="21" t="n">
        <f aca="false">серпень!G173</f>
        <v>49.8</v>
      </c>
      <c r="H173" s="21" t="n">
        <f aca="false">серпень!H173</f>
        <v>0</v>
      </c>
      <c r="I173" s="22" t="n">
        <f aca="false">серпень!I173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10665.29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серпень!B174</f>
        <v>Кузнєцова О.А.</v>
      </c>
      <c r="C174" s="18" t="str">
        <f aca="false">серпень!C174</f>
        <v>50166</v>
      </c>
      <c r="D174" s="19" t="n">
        <f aca="false">серпень!P174</f>
        <v>1291.5</v>
      </c>
      <c r="E174" s="19" t="n">
        <f aca="false">серпень!Q174</f>
        <v>0</v>
      </c>
      <c r="F174" s="20" t="n">
        <f aca="false">серпень!F174</f>
        <v>0</v>
      </c>
      <c r="G174" s="21" t="n">
        <f aca="false">серпень!G174</f>
        <v>35</v>
      </c>
      <c r="H174" s="21" t="n">
        <f aca="false">серпень!H174</f>
        <v>0</v>
      </c>
      <c r="I174" s="22" t="n">
        <f aca="false">серпень!I174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1435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серпень!B175</f>
        <v>Васильєва О.Г.</v>
      </c>
      <c r="C175" s="18" t="str">
        <f aca="false">серпень!C175</f>
        <v>50167</v>
      </c>
      <c r="D175" s="19" t="n">
        <f aca="false">серпень!P175</f>
        <v>5042.49</v>
      </c>
      <c r="E175" s="19" t="n">
        <f aca="false">серпень!Q175</f>
        <v>0</v>
      </c>
      <c r="F175" s="20" t="n">
        <f aca="false">серпень!F175</f>
        <v>0</v>
      </c>
      <c r="G175" s="21" t="n">
        <f aca="false">серпень!G175</f>
        <v>61.7</v>
      </c>
      <c r="H175" s="21" t="n">
        <f aca="false">серпень!H175</f>
        <v>0</v>
      </c>
      <c r="I175" s="22" t="n">
        <f aca="false">серпень!I175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5295.46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серпень!B176</f>
        <v>Кудінова Л.М.</v>
      </c>
      <c r="C176" s="18" t="str">
        <f aca="false">серпень!C176</f>
        <v>50168</v>
      </c>
      <c r="D176" s="19" t="n">
        <f aca="false">серпень!P176</f>
        <v>1394.19</v>
      </c>
      <c r="E176" s="19" t="n">
        <f aca="false">серпень!Q176</f>
        <v>0</v>
      </c>
      <c r="F176" s="20" t="n">
        <f aca="false">серпень!F176</f>
        <v>0</v>
      </c>
      <c r="G176" s="21" t="n">
        <f aca="false">серпень!G176</f>
        <v>65.58</v>
      </c>
      <c r="H176" s="21" t="n">
        <f aca="false">серпень!H176</f>
        <v>0</v>
      </c>
      <c r="I176" s="22" t="n">
        <f aca="false">серпень!I176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1663.07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серпень!B177</f>
        <v>Спільний І.В.</v>
      </c>
      <c r="C177" s="18" t="str">
        <f aca="false">серпень!C177</f>
        <v>50169</v>
      </c>
      <c r="D177" s="19" t="n">
        <f aca="false">серпень!P177</f>
        <v>0</v>
      </c>
      <c r="E177" s="19" t="n">
        <f aca="false">серпень!Q177</f>
        <v>28.1300000000003</v>
      </c>
      <c r="F177" s="20" t="n">
        <f aca="false">серпень!F177</f>
        <v>0</v>
      </c>
      <c r="G177" s="21" t="n">
        <f aca="false">серпень!G177</f>
        <v>49.5</v>
      </c>
      <c r="H177" s="21" t="n">
        <f aca="false">серпень!H177</f>
        <v>0</v>
      </c>
      <c r="I177" s="22" t="n">
        <f aca="false">серпень!I177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174.82</v>
      </c>
      <c r="Q177" s="25" t="n">
        <f aca="false">IF(E177=0,IF((D177+N177-O177)&lt;0,ABS(D177+N177-O177),0),IF((N177-E177-O177)&lt;0,ABS(N177-E177-O177),0))</f>
        <v>0</v>
      </c>
    </row>
    <row r="178" customFormat="false" ht="15" hidden="false" customHeight="false" outlineLevel="0" collapsed="false">
      <c r="A178" s="17" t="s">
        <v>530</v>
      </c>
      <c r="B178" s="18" t="str">
        <f aca="false">серпень!B178</f>
        <v>Кружаліна Т.А.</v>
      </c>
      <c r="C178" s="18" t="str">
        <f aca="false">серпень!C178</f>
        <v>50170</v>
      </c>
      <c r="D178" s="19" t="n">
        <f aca="false">серпень!P178</f>
        <v>219.550000000001</v>
      </c>
      <c r="E178" s="19" t="n">
        <f aca="false">серпень!Q178</f>
        <v>0</v>
      </c>
      <c r="F178" s="20" t="n">
        <f aca="false">серпень!F178</f>
        <v>0</v>
      </c>
      <c r="G178" s="21" t="n">
        <f aca="false">серпень!G178</f>
        <v>35.1</v>
      </c>
      <c r="H178" s="21" t="n">
        <f aca="false">серпень!H178</f>
        <v>0</v>
      </c>
      <c r="I178" s="22" t="n">
        <f aca="false">серпень!I178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363.460000000001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серпень!B179</f>
        <v>Григоренко Н.Е.</v>
      </c>
      <c r="C179" s="18" t="str">
        <f aca="false">серпень!C179</f>
        <v>50171</v>
      </c>
      <c r="D179" s="19" t="n">
        <f aca="false">серпень!P179</f>
        <v>1447.34</v>
      </c>
      <c r="E179" s="19" t="n">
        <f aca="false">серпень!Q179</f>
        <v>0</v>
      </c>
      <c r="F179" s="20" t="n">
        <f aca="false">серпень!F179</f>
        <v>0</v>
      </c>
      <c r="G179" s="21" t="n">
        <f aca="false">серпень!G179</f>
        <v>62.91</v>
      </c>
      <c r="H179" s="21" t="n">
        <f aca="false">серпень!H179</f>
        <v>0</v>
      </c>
      <c r="I179" s="22" t="n">
        <f aca="false">серпень!I179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1705.27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серпень!B180</f>
        <v>Бондарчук В.В.</v>
      </c>
      <c r="C180" s="18" t="str">
        <f aca="false">серпень!C180</f>
        <v>50172</v>
      </c>
      <c r="D180" s="19" t="n">
        <f aca="false">серпень!P180</f>
        <v>0</v>
      </c>
      <c r="E180" s="19" t="n">
        <f aca="false">серпень!Q180</f>
        <v>270.719999999999</v>
      </c>
      <c r="F180" s="20" t="n">
        <f aca="false">серпень!F180</f>
        <v>0</v>
      </c>
      <c r="G180" s="21" t="n">
        <f aca="false">серпень!G180</f>
        <v>66.03</v>
      </c>
      <c r="H180" s="21" t="n">
        <f aca="false">серпень!H180</f>
        <v>0</v>
      </c>
      <c r="I180" s="22" t="n">
        <f aca="false">серпень!I180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0</v>
      </c>
      <c r="Q180" s="25" t="n">
        <f aca="false">IF(E180=0,IF((D180+N180-O180)&lt;0,ABS(D180+N180-O180),0),IF((N180-E180-O180)&lt;0,ABS(N180-E180-O180),0))</f>
        <v>0</v>
      </c>
    </row>
    <row r="181" customFormat="false" ht="15" hidden="false" customHeight="false" outlineLevel="0" collapsed="false">
      <c r="A181" s="17" t="s">
        <v>539</v>
      </c>
      <c r="B181" s="18" t="str">
        <f aca="false">серпень!B181</f>
        <v>Рябініна Н.І.</v>
      </c>
      <c r="C181" s="18" t="str">
        <f aca="false">серпень!C181</f>
        <v>50173</v>
      </c>
      <c r="D181" s="19" t="n">
        <f aca="false">серпень!P181</f>
        <v>887.21</v>
      </c>
      <c r="E181" s="19" t="n">
        <f aca="false">серпень!Q181</f>
        <v>0</v>
      </c>
      <c r="F181" s="20" t="n">
        <f aca="false">серпень!F181</f>
        <v>0</v>
      </c>
      <c r="G181" s="21" t="n">
        <f aca="false">серпень!G181</f>
        <v>49.9</v>
      </c>
      <c r="H181" s="21" t="n">
        <f aca="false">серпень!H181</f>
        <v>0</v>
      </c>
      <c r="I181" s="22" t="n">
        <f aca="false">серпень!I181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/>
      <c r="P181" s="25" t="n">
        <f aca="false">IF(D181=0,IF((N181-E181-O181)&gt;0,(N181-E181-O181),0),IF((D181+N181-O181)&gt;0,(D181+N181-O181),0))</f>
        <v>1091.8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серпень!B182</f>
        <v>Шапіро В.І.</v>
      </c>
      <c r="C182" s="18" t="str">
        <f aca="false">серпень!C182</f>
        <v>50174</v>
      </c>
      <c r="D182" s="19" t="n">
        <f aca="false">серпень!P182</f>
        <v>286.34</v>
      </c>
      <c r="E182" s="19" t="n">
        <f aca="false">серпень!Q182</f>
        <v>0</v>
      </c>
      <c r="F182" s="20" t="n">
        <f aca="false">серпень!F182</f>
        <v>0</v>
      </c>
      <c r="G182" s="21" t="n">
        <f aca="false">серпень!G182</f>
        <v>34.92</v>
      </c>
      <c r="H182" s="21" t="n">
        <f aca="false">серпень!H182</f>
        <v>0</v>
      </c>
      <c r="I182" s="22" t="n">
        <f aca="false">серпень!I182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/>
      <c r="P182" s="25" t="n">
        <f aca="false">IF(D182=0,IF((N182-E182-O182)&gt;0,(N182-E182-O182),0),IF((D182+N182-O182)&gt;0,(D182+N182-O182),0))</f>
        <v>429.51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серпень!B183</f>
        <v>Крамаренко О.О.</v>
      </c>
      <c r="C183" s="18" t="str">
        <f aca="false">серпень!C183</f>
        <v>50175</v>
      </c>
      <c r="D183" s="19" t="n">
        <f aca="false">серпень!P183</f>
        <v>1816.88</v>
      </c>
      <c r="E183" s="19" t="n">
        <f aca="false">серпень!Q183</f>
        <v>0</v>
      </c>
      <c r="F183" s="20" t="n">
        <f aca="false">серпень!F183</f>
        <v>0</v>
      </c>
      <c r="G183" s="21" t="n">
        <f aca="false">серпень!G183</f>
        <v>61.91</v>
      </c>
      <c r="H183" s="21" t="n">
        <f aca="false">серпень!H183</f>
        <v>0</v>
      </c>
      <c r="I183" s="22" t="n">
        <f aca="false">серпень!I183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2070.71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серпень!B184</f>
        <v>Свиридов В.Ф.</v>
      </c>
      <c r="C184" s="18" t="str">
        <f aca="false">серпень!C184</f>
        <v>50176</v>
      </c>
      <c r="D184" s="19" t="n">
        <f aca="false">серпень!P184</f>
        <v>4594.75</v>
      </c>
      <c r="E184" s="19" t="n">
        <f aca="false">серпень!Q184</f>
        <v>0</v>
      </c>
      <c r="F184" s="20" t="n">
        <f aca="false">серпень!F184</f>
        <v>0</v>
      </c>
      <c r="G184" s="21" t="n">
        <f aca="false">серпень!G184</f>
        <v>65.15</v>
      </c>
      <c r="H184" s="21" t="n">
        <f aca="false">серпень!H184</f>
        <v>0</v>
      </c>
      <c r="I184" s="22" t="n">
        <f aca="false">серпень!I184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4861.87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серпень!B185</f>
        <v>Домацький В.А.</v>
      </c>
      <c r="C185" s="18" t="str">
        <f aca="false">серпень!C185</f>
        <v>50177</v>
      </c>
      <c r="D185" s="19" t="n">
        <f aca="false">серпень!P185</f>
        <v>3279.98</v>
      </c>
      <c r="E185" s="19" t="n">
        <f aca="false">серпень!Q185</f>
        <v>0</v>
      </c>
      <c r="F185" s="20" t="n">
        <f aca="false">серпень!F185</f>
        <v>0</v>
      </c>
      <c r="G185" s="21" t="n">
        <f aca="false">серпень!G185</f>
        <v>50</v>
      </c>
      <c r="H185" s="21" t="n">
        <f aca="false">серпень!H185</f>
        <v>0</v>
      </c>
      <c r="I185" s="22" t="n">
        <f aca="false">серпень!I185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3484.98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серпень!B186</f>
        <v>Шаповалова І.А.</v>
      </c>
      <c r="C186" s="18" t="str">
        <f aca="false">серпень!C186</f>
        <v>50178</v>
      </c>
      <c r="D186" s="19" t="n">
        <f aca="false">серпень!P186</f>
        <v>2157.93</v>
      </c>
      <c r="E186" s="19" t="n">
        <f aca="false">серпень!Q186</f>
        <v>0</v>
      </c>
      <c r="F186" s="20" t="n">
        <f aca="false">серпень!F186</f>
        <v>0</v>
      </c>
      <c r="G186" s="21" t="n">
        <f aca="false">серпень!G186</f>
        <v>35.1</v>
      </c>
      <c r="H186" s="21" t="n">
        <f aca="false">серпень!H186</f>
        <v>0</v>
      </c>
      <c r="I186" s="22" t="n">
        <f aca="false">серпень!I186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2301.84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серпень!B187</f>
        <v>Кононенко О.В.</v>
      </c>
      <c r="C187" s="18" t="str">
        <f aca="false">серпень!C187</f>
        <v>50179</v>
      </c>
      <c r="D187" s="19" t="n">
        <f aca="false">серпень!P187</f>
        <v>5066.99</v>
      </c>
      <c r="E187" s="19" t="n">
        <f aca="false">серпень!Q187</f>
        <v>0</v>
      </c>
      <c r="F187" s="20" t="n">
        <f aca="false">серпень!F187</f>
        <v>0</v>
      </c>
      <c r="G187" s="21" t="n">
        <f aca="false">серпень!G187</f>
        <v>61.8</v>
      </c>
      <c r="H187" s="21" t="n">
        <f aca="false">серпень!H187</f>
        <v>0</v>
      </c>
      <c r="I187" s="22" t="n">
        <f aca="false">серпень!I187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5320.37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серпень!B188</f>
        <v>Овчаренко Т.І.</v>
      </c>
      <c r="C188" s="18" t="str">
        <f aca="false">серпень!C188</f>
        <v>60180</v>
      </c>
      <c r="D188" s="19" t="n">
        <f aca="false">серпень!P188</f>
        <v>388.43</v>
      </c>
      <c r="E188" s="19" t="n">
        <f aca="false">серпень!Q188</f>
        <v>0</v>
      </c>
      <c r="F188" s="20" t="n">
        <f aca="false">серпень!F188</f>
        <v>0</v>
      </c>
      <c r="G188" s="21" t="n">
        <f aca="false">серпень!G188</f>
        <v>71.06</v>
      </c>
      <c r="H188" s="21" t="n">
        <f aca="false">серпень!H188</f>
        <v>0</v>
      </c>
      <c r="I188" s="22" t="n">
        <f aca="false">серпень!I188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679.78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серпень!B189</f>
        <v>Попукайло О.Г.</v>
      </c>
      <c r="C189" s="18" t="str">
        <f aca="false">серпень!C189</f>
        <v>60181</v>
      </c>
      <c r="D189" s="19" t="n">
        <f aca="false">серпень!P189</f>
        <v>1612.16</v>
      </c>
      <c r="E189" s="19" t="n">
        <f aca="false">серпень!Q189</f>
        <v>0</v>
      </c>
      <c r="F189" s="20" t="n">
        <f aca="false">серпень!F189</f>
        <v>0</v>
      </c>
      <c r="G189" s="21" t="n">
        <f aca="false">серпень!G189</f>
        <v>49.15</v>
      </c>
      <c r="H189" s="21" t="n">
        <f aca="false">серпень!H189</f>
        <v>0</v>
      </c>
      <c r="I189" s="22" t="n">
        <f aca="false">серпень!I189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1813.68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серпень!B190</f>
        <v>Онищенко А.В.</v>
      </c>
      <c r="C190" s="18" t="str">
        <f aca="false">серпень!C190</f>
        <v>60182</v>
      </c>
      <c r="D190" s="19" t="n">
        <f aca="false">серпень!P190</f>
        <v>1807.28</v>
      </c>
      <c r="E190" s="19" t="n">
        <f aca="false">серпень!Q190</f>
        <v>0</v>
      </c>
      <c r="F190" s="20" t="n">
        <f aca="false">серпень!F190</f>
        <v>0</v>
      </c>
      <c r="G190" s="21" t="n">
        <f aca="false">серпень!G190</f>
        <v>53.72</v>
      </c>
      <c r="H190" s="21" t="n">
        <f aca="false">серпень!H190</f>
        <v>0</v>
      </c>
      <c r="I190" s="22" t="n">
        <f aca="false">серпень!I190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2027.53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серпень!B191</f>
        <v>Соколова О.О.</v>
      </c>
      <c r="C191" s="18" t="str">
        <f aca="false">серпень!C191</f>
        <v>60183</v>
      </c>
      <c r="D191" s="19" t="n">
        <f aca="false">серпень!P191</f>
        <v>0</v>
      </c>
      <c r="E191" s="19" t="n">
        <f aca="false">серпень!Q191</f>
        <v>1432.94</v>
      </c>
      <c r="F191" s="20" t="n">
        <f aca="false">серпень!F191</f>
        <v>0</v>
      </c>
      <c r="G191" s="21" t="n">
        <f aca="false">серпень!G191</f>
        <v>68.97</v>
      </c>
      <c r="H191" s="21" t="n">
        <f aca="false">серпень!H191</f>
        <v>0</v>
      </c>
      <c r="I191" s="22" t="n">
        <f aca="false">серпень!I191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1150.16</v>
      </c>
    </row>
    <row r="192" customFormat="false" ht="15" hidden="false" customHeight="false" outlineLevel="0" collapsed="false">
      <c r="A192" s="17" t="s">
        <v>572</v>
      </c>
      <c r="B192" s="18" t="str">
        <f aca="false">серпень!B192</f>
        <v>Ільіна В.П.</v>
      </c>
      <c r="C192" s="18" t="str">
        <f aca="false">серпень!C192</f>
        <v>60184</v>
      </c>
      <c r="D192" s="19" t="n">
        <f aca="false">серпень!P192</f>
        <v>5724.04</v>
      </c>
      <c r="E192" s="19" t="n">
        <f aca="false">серпень!Q192</f>
        <v>0</v>
      </c>
      <c r="F192" s="20" t="n">
        <f aca="false">серпень!F192</f>
        <v>0</v>
      </c>
      <c r="G192" s="21" t="n">
        <f aca="false">серпень!G192</f>
        <v>49.86</v>
      </c>
      <c r="H192" s="21" t="n">
        <f aca="false">серпень!H192</f>
        <v>0</v>
      </c>
      <c r="I192" s="22" t="n">
        <f aca="false">серпень!I192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5928.47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серпень!B193</f>
        <v>Чешок Г.К.</v>
      </c>
      <c r="C193" s="18" t="str">
        <f aca="false">серпень!C193</f>
        <v>60185</v>
      </c>
      <c r="D193" s="19" t="n">
        <f aca="false">серпень!P193</f>
        <v>4899.61</v>
      </c>
      <c r="E193" s="19" t="n">
        <f aca="false">серпень!Q193</f>
        <v>0</v>
      </c>
      <c r="F193" s="20" t="n">
        <f aca="false">серпень!F193</f>
        <v>0</v>
      </c>
      <c r="G193" s="21" t="n">
        <f aca="false">серпень!G193</f>
        <v>60.86</v>
      </c>
      <c r="H193" s="21" t="n">
        <f aca="false">серпень!H193</f>
        <v>0</v>
      </c>
      <c r="I193" s="22" t="n">
        <f aca="false">серпень!I193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5149.14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серпень!B194</f>
        <v>Бердников В.А.</v>
      </c>
      <c r="C194" s="18" t="str">
        <f aca="false">серпень!C194</f>
        <v>60186</v>
      </c>
      <c r="D194" s="19" t="n">
        <f aca="false">серпень!P194</f>
        <v>2739.07</v>
      </c>
      <c r="E194" s="19" t="n">
        <f aca="false">серпень!Q194</f>
        <v>0</v>
      </c>
      <c r="F194" s="20" t="n">
        <f aca="false">серпень!F194</f>
        <v>0</v>
      </c>
      <c r="G194" s="21" t="n">
        <f aca="false">серпень!G194</f>
        <v>66.75</v>
      </c>
      <c r="H194" s="21" t="n">
        <f aca="false">серпень!H194</f>
        <v>0</v>
      </c>
      <c r="I194" s="22" t="n">
        <f aca="false">серпень!I194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3012.75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серпень!B195</f>
        <v>Щербак Н.В.</v>
      </c>
      <c r="C195" s="18" t="str">
        <f aca="false">серпень!C195</f>
        <v>60187</v>
      </c>
      <c r="D195" s="19" t="n">
        <f aca="false">серпень!P195</f>
        <v>4755.26</v>
      </c>
      <c r="E195" s="19" t="n">
        <f aca="false">серпень!Q195</f>
        <v>0</v>
      </c>
      <c r="F195" s="20" t="n">
        <f aca="false">серпень!F195</f>
        <v>0</v>
      </c>
      <c r="G195" s="21" t="n">
        <f aca="false">серпень!G195</f>
        <v>72.49</v>
      </c>
      <c r="H195" s="21" t="n">
        <f aca="false">серпень!H195</f>
        <v>0</v>
      </c>
      <c r="I195" s="22" t="n">
        <f aca="false">серпень!I195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5052.47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серпень!B196</f>
        <v>Рожков Ю.М.</v>
      </c>
      <c r="C196" s="18" t="str">
        <f aca="false">серпень!C196</f>
        <v>60188</v>
      </c>
      <c r="D196" s="19" t="n">
        <f aca="false">серпень!P196</f>
        <v>1605.14</v>
      </c>
      <c r="E196" s="19" t="n">
        <f aca="false">серпень!Q196</f>
        <v>0</v>
      </c>
      <c r="F196" s="20" t="n">
        <f aca="false">серпень!F196</f>
        <v>0</v>
      </c>
      <c r="G196" s="21" t="n">
        <f aca="false">серпень!G196</f>
        <v>49.8</v>
      </c>
      <c r="H196" s="21" t="n">
        <f aca="false">серпень!H196</f>
        <v>0</v>
      </c>
      <c r="I196" s="22" t="n">
        <f aca="false">серпень!I196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1809.32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серпень!B197</f>
        <v>Кобець В.В.</v>
      </c>
      <c r="C197" s="18" t="str">
        <f aca="false">серпень!C197</f>
        <v>60189</v>
      </c>
      <c r="D197" s="19" t="n">
        <f aca="false">серпень!P197</f>
        <v>3080.23</v>
      </c>
      <c r="E197" s="19" t="n">
        <f aca="false">серпень!Q197</f>
        <v>0</v>
      </c>
      <c r="F197" s="20" t="n">
        <f aca="false">серпень!F197</f>
        <v>0</v>
      </c>
      <c r="G197" s="21" t="n">
        <f aca="false">серпень!G197</f>
        <v>62.36</v>
      </c>
      <c r="H197" s="21" t="n">
        <f aca="false">серпень!H197</f>
        <v>0</v>
      </c>
      <c r="I197" s="22" t="n">
        <f aca="false">серпень!I197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3335.91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серпень!B198</f>
        <v>Щерба Л.О.</v>
      </c>
      <c r="C198" s="18" t="str">
        <f aca="false">серпень!C198</f>
        <v>60190</v>
      </c>
      <c r="D198" s="19" t="n">
        <f aca="false">серпень!P198</f>
        <v>3877.2</v>
      </c>
      <c r="E198" s="19" t="n">
        <f aca="false">серпень!Q198</f>
        <v>0</v>
      </c>
      <c r="F198" s="20" t="n">
        <f aca="false">серпень!F198</f>
        <v>0</v>
      </c>
      <c r="G198" s="21" t="n">
        <f aca="false">серпень!G198</f>
        <v>68.5</v>
      </c>
      <c r="H198" s="21" t="n">
        <f aca="false">серпень!H198</f>
        <v>0</v>
      </c>
      <c r="I198" s="22" t="n">
        <f aca="false">серпень!I198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4158.05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серпень!B199</f>
        <v>Сапунова І.В.</v>
      </c>
      <c r="C199" s="18" t="str">
        <f aca="false">серпень!C199</f>
        <v>60191</v>
      </c>
      <c r="D199" s="19" t="n">
        <f aca="false">серпень!P199</f>
        <v>2928.16</v>
      </c>
      <c r="E199" s="19" t="n">
        <f aca="false">серпень!Q199</f>
        <v>0</v>
      </c>
      <c r="F199" s="20" t="n">
        <f aca="false">серпень!F199</f>
        <v>0</v>
      </c>
      <c r="G199" s="21" t="n">
        <f aca="false">серпень!G199</f>
        <v>70.42</v>
      </c>
      <c r="H199" s="21" t="n">
        <f aca="false">серпень!H199</f>
        <v>0</v>
      </c>
      <c r="I199" s="22" t="n">
        <f aca="false">серпень!I199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3216.88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серпень!B200</f>
        <v>Саввідіс В.О.</v>
      </c>
      <c r="C200" s="18" t="str">
        <f aca="false">серпень!C200</f>
        <v>60192</v>
      </c>
      <c r="D200" s="19" t="n">
        <f aca="false">серпень!P200</f>
        <v>4373.18</v>
      </c>
      <c r="E200" s="19" t="n">
        <f aca="false">серпень!Q200</f>
        <v>0</v>
      </c>
      <c r="F200" s="20" t="n">
        <f aca="false">серпень!F200</f>
        <v>0</v>
      </c>
      <c r="G200" s="21" t="n">
        <f aca="false">серпень!G200</f>
        <v>49.7</v>
      </c>
      <c r="H200" s="21" t="n">
        <f aca="false">серпень!H200</f>
        <v>0</v>
      </c>
      <c r="I200" s="22" t="n">
        <f aca="false">серпень!I200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4576.95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серпень!B201</f>
        <v>Кашина Г.І.</v>
      </c>
      <c r="C201" s="18" t="str">
        <f aca="false">серпень!C201</f>
        <v>60193</v>
      </c>
      <c r="D201" s="19" t="n">
        <f aca="false">серпень!P201</f>
        <v>4876.54</v>
      </c>
      <c r="E201" s="19" t="n">
        <f aca="false">серпень!Q201</f>
        <v>0</v>
      </c>
      <c r="F201" s="20" t="n">
        <f aca="false">серпень!F201</f>
        <v>0</v>
      </c>
      <c r="G201" s="21" t="n">
        <f aca="false">серпень!G201</f>
        <v>62.6</v>
      </c>
      <c r="H201" s="21" t="n">
        <f aca="false">серпень!H201</f>
        <v>0</v>
      </c>
      <c r="I201" s="22" t="n">
        <f aca="false">серпень!I201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5133.2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серпень!B202</f>
        <v>Фадеєва Є.А.</v>
      </c>
      <c r="C202" s="18" t="str">
        <f aca="false">серпень!C202</f>
        <v>60194</v>
      </c>
      <c r="D202" s="19" t="n">
        <f aca="false">серпень!P202</f>
        <v>4329.6</v>
      </c>
      <c r="E202" s="19" t="n">
        <f aca="false">серпень!Q202</f>
        <v>0</v>
      </c>
      <c r="F202" s="20" t="n">
        <f aca="false">серпень!F202</f>
        <v>0</v>
      </c>
      <c r="G202" s="21" t="n">
        <f aca="false">серпень!G202</f>
        <v>70.4</v>
      </c>
      <c r="H202" s="21" t="n">
        <f aca="false">серпень!H202</f>
        <v>0</v>
      </c>
      <c r="I202" s="22" t="n">
        <f aca="false">серпень!I202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4618.24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серпень!B203</f>
        <v>Бойко О.А.</v>
      </c>
      <c r="C203" s="18" t="str">
        <f aca="false">серпень!C203</f>
        <v>60195</v>
      </c>
      <c r="D203" s="19" t="n">
        <f aca="false">серпень!P203</f>
        <v>4595.97</v>
      </c>
      <c r="E203" s="19" t="n">
        <f aca="false">серпень!Q203</f>
        <v>0</v>
      </c>
      <c r="F203" s="20" t="n">
        <f aca="false">серпень!F203</f>
        <v>0</v>
      </c>
      <c r="G203" s="21" t="n">
        <f aca="false">серпень!G203</f>
        <v>70.2</v>
      </c>
      <c r="H203" s="21" t="n">
        <f aca="false">серпень!H203</f>
        <v>0</v>
      </c>
      <c r="I203" s="22" t="n">
        <f aca="false">серпень!I203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4883.79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серпень!B204</f>
        <v>Дудник І.А.</v>
      </c>
      <c r="C204" s="18" t="str">
        <f aca="false">серпень!C204</f>
        <v>60196</v>
      </c>
      <c r="D204" s="19" t="n">
        <f aca="false">серпень!P204</f>
        <v>3327.27</v>
      </c>
      <c r="E204" s="19" t="n">
        <f aca="false">серпень!Q204</f>
        <v>0</v>
      </c>
      <c r="F204" s="20" t="n">
        <f aca="false">серпень!F204</f>
        <v>0</v>
      </c>
      <c r="G204" s="21" t="n">
        <f aca="false">серпень!G204</f>
        <v>49.94</v>
      </c>
      <c r="H204" s="21" t="n">
        <f aca="false">серпень!H204</f>
        <v>0</v>
      </c>
      <c r="I204" s="22" t="n">
        <f aca="false">серпень!I204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3532.02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серпень!B205</f>
        <v>Лебедєва Т.В.</v>
      </c>
      <c r="C205" s="18" t="str">
        <f aca="false">серпень!C205</f>
        <v>60197</v>
      </c>
      <c r="D205" s="19" t="n">
        <f aca="false">серпень!P205</f>
        <v>2805.16</v>
      </c>
      <c r="E205" s="19" t="n">
        <f aca="false">серпень!Q205</f>
        <v>0</v>
      </c>
      <c r="F205" s="20" t="n">
        <f aca="false">серпень!F205</f>
        <v>0</v>
      </c>
      <c r="G205" s="21" t="n">
        <f aca="false">серпень!G205</f>
        <v>62.3</v>
      </c>
      <c r="H205" s="21" t="n">
        <f aca="false">серпень!H205</f>
        <v>0</v>
      </c>
      <c r="I205" s="22" t="n">
        <f aca="false">серпень!I205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3060.59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серпень!B206</f>
        <v>Криницький Л.С.</v>
      </c>
      <c r="C206" s="18" t="str">
        <f aca="false">серпень!C206</f>
        <v>60198</v>
      </c>
      <c r="D206" s="19" t="n">
        <f aca="false">серпень!P206</f>
        <v>0</v>
      </c>
      <c r="E206" s="19" t="n">
        <f aca="false">серпень!Q206</f>
        <v>277.2</v>
      </c>
      <c r="F206" s="20" t="n">
        <f aca="false">серпень!F206</f>
        <v>0</v>
      </c>
      <c r="G206" s="21" t="n">
        <f aca="false">серпень!G206</f>
        <v>67.61</v>
      </c>
      <c r="H206" s="21" t="n">
        <f aca="false">серпень!H206</f>
        <v>0</v>
      </c>
      <c r="I206" s="22" t="n">
        <f aca="false">серпень!I206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0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серпень!B207</f>
        <v>Сафонов В.В.</v>
      </c>
      <c r="C207" s="18" t="str">
        <f aca="false">серпень!C207</f>
        <v>60199</v>
      </c>
      <c r="D207" s="19" t="n">
        <f aca="false">серпень!P207</f>
        <v>4226.22</v>
      </c>
      <c r="E207" s="19" t="n">
        <f aca="false">серпень!Q207</f>
        <v>0</v>
      </c>
      <c r="F207" s="20" t="n">
        <f aca="false">серпень!F207</f>
        <v>0</v>
      </c>
      <c r="G207" s="21" t="n">
        <f aca="false">серпень!G207</f>
        <v>70.38</v>
      </c>
      <c r="H207" s="21" t="n">
        <f aca="false">серпень!H207</f>
        <v>0</v>
      </c>
      <c r="I207" s="22" t="n">
        <f aca="false">серпень!I207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4514.78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серпень!B208</f>
        <v>Мільковська Р.Г.</v>
      </c>
      <c r="C208" s="18" t="str">
        <f aca="false">серпень!C208</f>
        <v>60200</v>
      </c>
      <c r="D208" s="19" t="n">
        <f aca="false">серпень!P208</f>
        <v>3105.62</v>
      </c>
      <c r="E208" s="19" t="n">
        <f aca="false">серпень!Q208</f>
        <v>0</v>
      </c>
      <c r="F208" s="20" t="n">
        <f aca="false">серпень!F208</f>
        <v>0</v>
      </c>
      <c r="G208" s="21" t="n">
        <f aca="false">серпень!G208</f>
        <v>49.88</v>
      </c>
      <c r="H208" s="21" t="n">
        <f aca="false">серпень!H208</f>
        <v>0</v>
      </c>
      <c r="I208" s="22" t="n">
        <f aca="false">серпень!I208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3310.13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серпень!B209</f>
        <v>Заранкін С.М.</v>
      </c>
      <c r="C209" s="18" t="str">
        <f aca="false">серпень!C209</f>
        <v>60201</v>
      </c>
      <c r="D209" s="19" t="n">
        <f aca="false">серпень!P209</f>
        <v>3003.48</v>
      </c>
      <c r="E209" s="19" t="n">
        <f aca="false">серпень!Q209</f>
        <v>0</v>
      </c>
      <c r="F209" s="20" t="n">
        <f aca="false">серпень!F209</f>
        <v>0</v>
      </c>
      <c r="G209" s="21" t="n">
        <f aca="false">серпень!G209</f>
        <v>62.02</v>
      </c>
      <c r="H209" s="21" t="n">
        <f aca="false">серпень!H209</f>
        <v>0</v>
      </c>
      <c r="I209" s="22" t="n">
        <f aca="false">серпень!I209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3257.76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серпень!B210</f>
        <v>Сіянко О.М.</v>
      </c>
      <c r="C210" s="18" t="str">
        <f aca="false">серпень!C210</f>
        <v>60202</v>
      </c>
      <c r="D210" s="19" t="n">
        <f aca="false">серпень!P210</f>
        <v>3863.99</v>
      </c>
      <c r="E210" s="19" t="n">
        <f aca="false">серпень!Q210</f>
        <v>0</v>
      </c>
      <c r="F210" s="20" t="n">
        <f aca="false">серпень!F210</f>
        <v>0</v>
      </c>
      <c r="G210" s="21" t="n">
        <f aca="false">серпень!G210</f>
        <v>67.6</v>
      </c>
      <c r="H210" s="21" t="n">
        <f aca="false">серпень!H210</f>
        <v>0</v>
      </c>
      <c r="I210" s="22" t="n">
        <f aca="false">серпень!I210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4141.15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серпень!B211</f>
        <v>Осипов В.В.</v>
      </c>
      <c r="C211" s="18" t="str">
        <f aca="false">серпень!C211</f>
        <v>60203</v>
      </c>
      <c r="D211" s="19" t="n">
        <f aca="false">серпень!P211</f>
        <v>5774.40000000001</v>
      </c>
      <c r="E211" s="19" t="n">
        <f aca="false">серпень!Q211</f>
        <v>0</v>
      </c>
      <c r="F211" s="20" t="n">
        <f aca="false">серпень!F211</f>
        <v>0</v>
      </c>
      <c r="G211" s="21" t="n">
        <f aca="false">серпень!G211</f>
        <v>70.42</v>
      </c>
      <c r="H211" s="21" t="n">
        <f aca="false">серпень!H211</f>
        <v>0</v>
      </c>
      <c r="I211" s="22" t="n">
        <f aca="false">серпень!I211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6063.12000000001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серпень!B212</f>
        <v>Перепьолкін А.Л.</v>
      </c>
      <c r="C212" s="18" t="str">
        <f aca="false">серпень!C212</f>
        <v>60204</v>
      </c>
      <c r="D212" s="19" t="n">
        <f aca="false">серпень!P212</f>
        <v>581.28</v>
      </c>
      <c r="E212" s="19" t="n">
        <f aca="false">серпень!Q212</f>
        <v>0</v>
      </c>
      <c r="F212" s="20" t="n">
        <f aca="false">серпень!F212</f>
        <v>0</v>
      </c>
      <c r="G212" s="21" t="n">
        <f aca="false">серпень!G212</f>
        <v>49.8</v>
      </c>
      <c r="H212" s="21" t="n">
        <f aca="false">серпень!H212</f>
        <v>0</v>
      </c>
      <c r="I212" s="22" t="n">
        <f aca="false">серпень!I212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/>
      <c r="P212" s="25" t="n">
        <f aca="false">IF(D212=0,IF((N212-E212-O212)&gt;0,(N212-E212-O212),0),IF((D212+N212-O212)&gt;0,(D212+N212-O212),0))</f>
        <v>785.46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серпень!B213</f>
        <v>Синегрибова В.В.</v>
      </c>
      <c r="C213" s="18" t="str">
        <f aca="false">серпень!C213</f>
        <v>60205</v>
      </c>
      <c r="D213" s="19" t="n">
        <f aca="false">серпень!P213</f>
        <v>5357.56</v>
      </c>
      <c r="E213" s="19" t="n">
        <f aca="false">серпень!Q213</f>
        <v>0</v>
      </c>
      <c r="F213" s="20" t="n">
        <f aca="false">серпень!F213</f>
        <v>0</v>
      </c>
      <c r="G213" s="21" t="n">
        <f aca="false">серпень!G213</f>
        <v>62.7</v>
      </c>
      <c r="H213" s="21" t="n">
        <f aca="false">серпень!H213</f>
        <v>0</v>
      </c>
      <c r="I213" s="22" t="n">
        <f aca="false">серпень!I213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5614.63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серпень!B214</f>
        <v>Юдін М.В.</v>
      </c>
      <c r="C214" s="18" t="str">
        <f aca="false">серпень!C214</f>
        <v>60206</v>
      </c>
      <c r="D214" s="19" t="n">
        <f aca="false">серпень!P214</f>
        <v>204</v>
      </c>
      <c r="E214" s="19" t="n">
        <f aca="false">серпень!Q214</f>
        <v>0</v>
      </c>
      <c r="F214" s="20" t="n">
        <f aca="false">серпень!F214</f>
        <v>0</v>
      </c>
      <c r="G214" s="21" t="n">
        <f aca="false">серпень!G214</f>
        <v>68</v>
      </c>
      <c r="H214" s="21" t="n">
        <f aca="false">серпень!H214</f>
        <v>0</v>
      </c>
      <c r="I214" s="22" t="n">
        <f aca="false">серпень!I214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/>
      <c r="P214" s="25" t="n">
        <f aca="false">IF(D214=0,IF((N214-E214-O214)&gt;0,(N214-E214-O214),0),IF((D214+N214-O214)&gt;0,(D214+N214-O214),0))</f>
        <v>482.8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серпень!B215</f>
        <v>Сергєєва Н.О.</v>
      </c>
      <c r="C215" s="18" t="str">
        <f aca="false">серпень!C215</f>
        <v>60207</v>
      </c>
      <c r="D215" s="19" t="n">
        <f aca="false">серпень!P215</f>
        <v>188.740000000001</v>
      </c>
      <c r="E215" s="19" t="n">
        <f aca="false">серпень!Q215</f>
        <v>0</v>
      </c>
      <c r="F215" s="20" t="n">
        <f aca="false">серпень!F215</f>
        <v>0</v>
      </c>
      <c r="G215" s="21" t="n">
        <f aca="false">серпень!G215</f>
        <v>72.1</v>
      </c>
      <c r="H215" s="21" t="n">
        <f aca="false">серпень!H215</f>
        <v>0</v>
      </c>
      <c r="I215" s="22" t="n">
        <f aca="false">серпень!I215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/>
      <c r="P215" s="25" t="n">
        <f aca="false">IF(D215=0,IF((N215-E215-O215)&gt;0,(N215-E215-O215),0),IF((D215+N215-O215)&gt;0,(D215+N215-O215),0))</f>
        <v>484.350000000001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серпень!B216</f>
        <v>Рева І.П.</v>
      </c>
      <c r="C216" s="18" t="str">
        <f aca="false">серпень!C216</f>
        <v>60208</v>
      </c>
      <c r="D216" s="19" t="n">
        <f aca="false">серпень!P216</f>
        <v>2434.7</v>
      </c>
      <c r="E216" s="19" t="n">
        <f aca="false">серпень!Q216</f>
        <v>0</v>
      </c>
      <c r="F216" s="20" t="n">
        <f aca="false">серпень!F216</f>
        <v>0</v>
      </c>
      <c r="G216" s="21" t="n">
        <f aca="false">серпень!G216</f>
        <v>49.72</v>
      </c>
      <c r="H216" s="21" t="n">
        <f aca="false">серпень!H216</f>
        <v>0</v>
      </c>
      <c r="I216" s="22" t="n">
        <f aca="false">серпень!I216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2638.55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серпень!B217</f>
        <v>Почапський Ю.Т.</v>
      </c>
      <c r="C217" s="18" t="str">
        <f aca="false">серпень!C217</f>
        <v>60209</v>
      </c>
      <c r="D217" s="19" t="n">
        <f aca="false">серпень!P217</f>
        <v>502.89</v>
      </c>
      <c r="E217" s="19" t="n">
        <f aca="false">серпень!Q217</f>
        <v>0</v>
      </c>
      <c r="F217" s="20" t="n">
        <f aca="false">серпень!F217</f>
        <v>0</v>
      </c>
      <c r="G217" s="21" t="n">
        <f aca="false">серпень!G217</f>
        <v>62.39</v>
      </c>
      <c r="H217" s="21" t="n">
        <f aca="false">серпень!H217</f>
        <v>0</v>
      </c>
      <c r="I217" s="22" t="n">
        <f aca="false">серпень!I217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/>
      <c r="P217" s="25" t="n">
        <f aca="false">IF(D217=0,IF((N217-E217-O217)&gt;0,(N217-E217-O217),0),IF((D217+N217-O217)&gt;0,(D217+N217-O217),0))</f>
        <v>758.69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серпень!B218</f>
        <v>Васильченко М.П.</v>
      </c>
      <c r="C218" s="18" t="str">
        <f aca="false">серпень!C218</f>
        <v>60210</v>
      </c>
      <c r="D218" s="19" t="n">
        <f aca="false">серпень!P218</f>
        <v>4970.49</v>
      </c>
      <c r="E218" s="19" t="n">
        <f aca="false">серпень!Q218</f>
        <v>0</v>
      </c>
      <c r="F218" s="20" t="n">
        <f aca="false">серпень!F218</f>
        <v>0</v>
      </c>
      <c r="G218" s="21" t="n">
        <f aca="false">серпень!G218</f>
        <v>67.47</v>
      </c>
      <c r="H218" s="21" t="n">
        <f aca="false">серпень!H218</f>
        <v>0</v>
      </c>
      <c r="I218" s="22" t="n">
        <f aca="false">серпень!I218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5247.12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серпень!B219</f>
        <v>Черненко Т.А.</v>
      </c>
      <c r="C219" s="18" t="str">
        <f aca="false">серпень!C219</f>
        <v>60211</v>
      </c>
      <c r="D219" s="19" t="n">
        <f aca="false">серпень!P219</f>
        <v>4491.92</v>
      </c>
      <c r="E219" s="19" t="n">
        <f aca="false">серпень!Q219</f>
        <v>0</v>
      </c>
      <c r="F219" s="20" t="n">
        <f aca="false">серпень!F219</f>
        <v>0</v>
      </c>
      <c r="G219" s="21" t="n">
        <f aca="false">серпень!G219</f>
        <v>70.41</v>
      </c>
      <c r="H219" s="21" t="n">
        <f aca="false">серпень!H219</f>
        <v>0</v>
      </c>
      <c r="I219" s="22" t="n">
        <f aca="false">серпень!I219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4780.6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серпень!B220</f>
        <v>Сиротенко Я.О.</v>
      </c>
      <c r="C220" s="18" t="str">
        <f aca="false">серпень!C220</f>
        <v>60212</v>
      </c>
      <c r="D220" s="19" t="n">
        <f aca="false">серпень!P220</f>
        <v>2789.53</v>
      </c>
      <c r="E220" s="19" t="n">
        <f aca="false">серпень!Q220</f>
        <v>0</v>
      </c>
      <c r="F220" s="20" t="n">
        <f aca="false">серпень!F220</f>
        <v>0</v>
      </c>
      <c r="G220" s="21" t="n">
        <f aca="false">серпень!G220</f>
        <v>49.73</v>
      </c>
      <c r="H220" s="21" t="n">
        <f aca="false">серпень!H220</f>
        <v>0</v>
      </c>
      <c r="I220" s="22" t="n">
        <f aca="false">серпень!I220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2993.42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серпень!B221</f>
        <v>Корнюшенко О.О.</v>
      </c>
      <c r="C221" s="18" t="str">
        <f aca="false">серпень!C221</f>
        <v>60213</v>
      </c>
      <c r="D221" s="28" t="n">
        <f aca="false">серпень!P221</f>
        <v>6407.2</v>
      </c>
      <c r="E221" s="29" t="n">
        <f aca="false">серпень!Q221</f>
        <v>0</v>
      </c>
      <c r="F221" s="20" t="n">
        <f aca="false">серпень!F221</f>
        <v>0</v>
      </c>
      <c r="G221" s="21" t="n">
        <f aca="false">серпень!G221</f>
        <v>62</v>
      </c>
      <c r="H221" s="21" t="n">
        <f aca="false">серпень!H221</f>
        <v>0</v>
      </c>
      <c r="I221" s="22" t="n">
        <f aca="false">серпень!I221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6661.4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492554.19</v>
      </c>
      <c r="E222" s="33" t="n">
        <f aca="false">SUM(E7:E221)</f>
        <v>7198.83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0</v>
      </c>
      <c r="P222" s="39" t="n">
        <f aca="false">SUM(P7:P221)</f>
        <v>537683.42</v>
      </c>
      <c r="Q222" s="33" t="n">
        <f aca="false">SUM(Q7:Q221)</f>
        <v>4553.07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485355.36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533130.35</v>
      </c>
      <c r="Q223" s="41"/>
    </row>
    <row r="226" customFormat="false" ht="15" hidden="false" customHeight="false" outlineLevel="0" collapsed="false">
      <c r="T226" s="42"/>
    </row>
    <row r="227" customFormat="false" ht="15" hidden="false" customHeight="false" outlineLevel="0" collapsed="false">
      <c r="T227" s="42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50">
      <formula>0</formula>
    </cfRule>
    <cfRule type="cellIs" priority="3" operator="equal" aboveAverage="0" equalAverage="0" bottom="0" percent="0" rank="0" text="" dxfId="51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52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53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54">
      <formula>0</formula>
    </cfRule>
  </conditionalFormatting>
  <conditionalFormatting sqref="L2:L5 M4:M89 N2:Q89 D221:Q221 L7:L221 M6:Q221 D2:K221">
    <cfRule type="cellIs" priority="7" operator="equal" aboveAverage="0" equalAverage="0" bottom="0" percent="0" rank="0" text="" dxfId="55">
      <formula>0</formula>
    </cfRule>
  </conditionalFormatting>
  <printOptions headings="false" gridLines="false" gridLinesSet="true" horizontalCentered="true" verticalCentered="false"/>
  <pageMargins left="0.118055555555556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3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1.43"/>
    <col collapsed="false" customWidth="true" hidden="false" outlineLevel="0" max="3" min="3" style="0" width="7.86"/>
    <col collapsed="false" customWidth="true" hidden="false" outlineLevel="0" max="5" min="5" style="0" width="8.15"/>
    <col collapsed="false" customWidth="true" hidden="false" outlineLevel="0" max="6" min="6" style="0" width="4.29"/>
    <col collapsed="false" customWidth="true" hidden="false" outlineLevel="0" max="7" min="7" style="0" width="7.71"/>
    <col collapsed="false" customWidth="true" hidden="false" outlineLevel="0" max="8" min="8" style="0" width="5.57"/>
    <col collapsed="false" customWidth="true" hidden="false" outlineLevel="0" max="9" min="9" style="2" width="5.57"/>
    <col collapsed="false" customWidth="true" hidden="false" outlineLevel="0" max="10" min="10" style="0" width="9.42"/>
    <col collapsed="false" customWidth="true" hidden="false" outlineLevel="0" max="11" min="11" style="0" width="8.15"/>
    <col collapsed="false" customWidth="true" hidden="false" outlineLevel="0" max="12" min="12" style="0" width="7.71"/>
    <col collapsed="false" customWidth="true" hidden="false" outlineLevel="0" max="13" min="13" style="0" width="6.85"/>
    <col collapsed="false" customWidth="true" hidden="false" outlineLevel="0" max="14" min="14" style="0" width="8.29"/>
    <col collapsed="false" customWidth="true" hidden="false" outlineLevel="0" max="19" min="19" style="0" width="9.57"/>
    <col collapsed="false" customWidth="true" hidden="false" outlineLevel="0" max="20" min="20" style="0" width="8.42"/>
    <col collapsed="false" customWidth="true" hidden="false" outlineLevel="0" max="21" min="21" style="0" width="7.42"/>
    <col collapsed="false" customWidth="true" hidden="false" outlineLevel="0" max="22" min="22" style="0" width="10.85"/>
  </cols>
  <sheetData>
    <row r="1" customFormat="false" ht="15" hidden="false" customHeight="false" outlineLevel="0" collapsed="false">
      <c r="A1" s="1" t="s">
        <v>0</v>
      </c>
      <c r="B1" s="1"/>
      <c r="C1" s="1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672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9.7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7.5" hidden="false" customHeight="true" outlineLevel="0" collapsed="false"/>
    <row r="6" customFormat="false" ht="55.55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вересень!B7</f>
        <v>Бережний В.М.</v>
      </c>
      <c r="C7" s="18" t="str">
        <f aca="false">вересень!C7</f>
        <v>1001</v>
      </c>
      <c r="D7" s="19" t="n">
        <f aca="false">вересень!P7</f>
        <v>1422.46</v>
      </c>
      <c r="E7" s="19" t="n">
        <f aca="false">вересень!Q7</f>
        <v>0</v>
      </c>
      <c r="F7" s="20" t="n">
        <f aca="false">вересень!F7</f>
        <v>0</v>
      </c>
      <c r="G7" s="21" t="n">
        <f aca="false">вересень!G7</f>
        <v>64.26</v>
      </c>
      <c r="H7" s="21" t="n">
        <f aca="false">вересень!H7</f>
        <v>0</v>
      </c>
      <c r="I7" s="22" t="n">
        <f aca="false">вересень!I7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1685.93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вересень!B8</f>
        <v>Старикова Т.О.</v>
      </c>
      <c r="C8" s="18" t="str">
        <f aca="false">вересень!C8</f>
        <v>1002</v>
      </c>
      <c r="D8" s="19" t="n">
        <f aca="false">вересень!P8</f>
        <v>4121.45</v>
      </c>
      <c r="E8" s="19" t="n">
        <f aca="false">вересень!Q8</f>
        <v>0</v>
      </c>
      <c r="F8" s="20" t="n">
        <f aca="false">вересень!F8</f>
        <v>0</v>
      </c>
      <c r="G8" s="21" t="n">
        <f aca="false">вересень!G8</f>
        <v>48.71</v>
      </c>
      <c r="H8" s="21" t="n">
        <f aca="false">вересень!H8</f>
        <v>0</v>
      </c>
      <c r="I8" s="22" t="n">
        <f aca="false">вересень!I8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4321.16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вересень!B9</f>
        <v>Мазур Т.В.</v>
      </c>
      <c r="C9" s="18" t="str">
        <f aca="false">вересень!C9</f>
        <v>1003</v>
      </c>
      <c r="D9" s="19" t="n">
        <f aca="false">вересень!P9</f>
        <v>296.5</v>
      </c>
      <c r="E9" s="19" t="n">
        <f aca="false">вересень!Q9</f>
        <v>0</v>
      </c>
      <c r="F9" s="20" t="n">
        <f aca="false">вересень!F9</f>
        <v>0</v>
      </c>
      <c r="G9" s="21" t="n">
        <f aca="false">вересень!G9</f>
        <v>35</v>
      </c>
      <c r="H9" s="21" t="n">
        <f aca="false">вересень!H9</f>
        <v>0</v>
      </c>
      <c r="I9" s="22" t="n">
        <f aca="false">вересень!I9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440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вересень!B10</f>
        <v>Сокол О.В.</v>
      </c>
      <c r="C10" s="18" t="str">
        <f aca="false">вересень!C10</f>
        <v>1004</v>
      </c>
      <c r="D10" s="19" t="n">
        <f aca="false">вересень!P10</f>
        <v>252.53</v>
      </c>
      <c r="E10" s="19" t="n">
        <f aca="false">вересень!Q10</f>
        <v>0</v>
      </c>
      <c r="F10" s="20" t="n">
        <f aca="false">вересень!F10</f>
        <v>0</v>
      </c>
      <c r="G10" s="21" t="n">
        <f aca="false">вересень!G10</f>
        <v>61.6</v>
      </c>
      <c r="H10" s="21" t="n">
        <f aca="false">вересень!H10</f>
        <v>0</v>
      </c>
      <c r="I10" s="22" t="n">
        <f aca="false">вересень!I10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/>
      <c r="P10" s="25" t="n">
        <f aca="false">IF(D10=0,IF((N10-E10-O10)&gt;0,(N10-E10-O10),0),IF((D10+N10-O10)&gt;0,(D10+N10-O10),0))</f>
        <v>505.09</v>
      </c>
      <c r="Q10" s="25" t="n">
        <f aca="false">IF(E10=0,IF((D10+N10-O10)&lt;0,ABS(D10+N10-O10),0),IF((N10-E10-O10)&lt;0,ABS(N10-E10-O10),0))</f>
        <v>0</v>
      </c>
    </row>
    <row r="11" customFormat="false" ht="15" hidden="false" customHeight="false" outlineLevel="0" collapsed="false">
      <c r="A11" s="17" t="s">
        <v>31</v>
      </c>
      <c r="B11" s="18" t="str">
        <f aca="false">вересень!B11</f>
        <v>Семко Л.І.</v>
      </c>
      <c r="C11" s="18" t="str">
        <f aca="false">вересень!C11</f>
        <v>1005</v>
      </c>
      <c r="D11" s="19" t="n">
        <f aca="false">вересень!P11</f>
        <v>206.740000000001</v>
      </c>
      <c r="E11" s="19" t="n">
        <f aca="false">вересень!Q11</f>
        <v>0</v>
      </c>
      <c r="F11" s="20" t="n">
        <f aca="false">вересень!F11</f>
        <v>0</v>
      </c>
      <c r="G11" s="21" t="n">
        <f aca="false">вересень!G11</f>
        <v>28.34</v>
      </c>
      <c r="H11" s="21" t="n">
        <f aca="false">вересень!H11</f>
        <v>0</v>
      </c>
      <c r="I11" s="22" t="n">
        <f aca="false">вересень!I11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322.930000000001</v>
      </c>
      <c r="Q11" s="25" t="n">
        <f aca="false">IF(E11=0,IF((D11+N11-O11)&lt;0,ABS(D11+N11-O11),0),IF((N11-E11-O11)&lt;0,ABS(N11-E11-O11),0))</f>
        <v>0</v>
      </c>
    </row>
    <row r="12" customFormat="false" ht="15" hidden="false" customHeight="false" outlineLevel="0" collapsed="false">
      <c r="A12" s="17" t="s">
        <v>31</v>
      </c>
      <c r="B12" s="18" t="str">
        <f aca="false">вересень!B12</f>
        <v>Гаркуша Н.І.</v>
      </c>
      <c r="C12" s="18" t="str">
        <f aca="false">вересень!C12</f>
        <v>1005-а</v>
      </c>
      <c r="D12" s="19" t="n">
        <f aca="false">вересень!P12</f>
        <v>650.890000000001</v>
      </c>
      <c r="E12" s="19" t="n">
        <f aca="false">вересень!Q12</f>
        <v>0</v>
      </c>
      <c r="F12" s="20" t="n">
        <f aca="false">вересень!F12</f>
        <v>0</v>
      </c>
      <c r="G12" s="21" t="n">
        <f aca="false">вересень!G12</f>
        <v>36.66</v>
      </c>
      <c r="H12" s="21" t="n">
        <f aca="false">вересень!H12</f>
        <v>0</v>
      </c>
      <c r="I12" s="22" t="n">
        <f aca="false">вересень!I12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801.200000000001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вересень!B13</f>
        <v>Андріяшев В.М</v>
      </c>
      <c r="C13" s="18" t="str">
        <f aca="false">вересень!C13</f>
        <v>1006</v>
      </c>
      <c r="D13" s="19" t="n">
        <f aca="false">вересень!P13</f>
        <v>231.7</v>
      </c>
      <c r="E13" s="19" t="n">
        <f aca="false">вересень!Q13</f>
        <v>0</v>
      </c>
      <c r="F13" s="20" t="n">
        <f aca="false">вересень!F13</f>
        <v>0</v>
      </c>
      <c r="G13" s="21" t="n">
        <f aca="false">вересень!G13</f>
        <v>49.8</v>
      </c>
      <c r="H13" s="21" t="n">
        <f aca="false">вересень!H13</f>
        <v>0</v>
      </c>
      <c r="I13" s="22" t="n">
        <f aca="false">вересень!I13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435.88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вересень!B14</f>
        <v>Старчикова О.М.</v>
      </c>
      <c r="C14" s="18" t="str">
        <f aca="false">вересень!C14</f>
        <v>1007</v>
      </c>
      <c r="D14" s="19" t="n">
        <f aca="false">вересень!P14</f>
        <v>280.47</v>
      </c>
      <c r="E14" s="19" t="n">
        <f aca="false">вересень!Q14</f>
        <v>0</v>
      </c>
      <c r="F14" s="20" t="n">
        <f aca="false">вересень!F14</f>
        <v>0</v>
      </c>
      <c r="G14" s="21" t="n">
        <f aca="false">вересень!G14</f>
        <v>34.65</v>
      </c>
      <c r="H14" s="21" t="n">
        <f aca="false">вересень!H14</f>
        <v>0</v>
      </c>
      <c r="I14" s="22" t="n">
        <f aca="false">вересень!I14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/>
      <c r="P14" s="25" t="n">
        <f aca="false">IF(D14=0,IF((N14-E14-O14)&gt;0,(N14-E14-O14),0),IF((D14+N14-O14)&gt;0,(D14+N14-O14),0))</f>
        <v>422.54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вересень!B15</f>
        <v>Безер Т.М</v>
      </c>
      <c r="C15" s="18" t="str">
        <f aca="false">вересень!C15</f>
        <v>1008</v>
      </c>
      <c r="D15" s="19" t="n">
        <f aca="false">вересень!P15</f>
        <v>479.18</v>
      </c>
      <c r="E15" s="19" t="n">
        <f aca="false">вересень!Q15</f>
        <v>0</v>
      </c>
      <c r="F15" s="20" t="n">
        <f aca="false">вересень!F15</f>
        <v>0</v>
      </c>
      <c r="G15" s="21" t="n">
        <f aca="false">вересень!G15</f>
        <v>62.14</v>
      </c>
      <c r="H15" s="21" t="n">
        <f aca="false">вересень!H15</f>
        <v>0</v>
      </c>
      <c r="I15" s="22" t="n">
        <f aca="false">вересень!I15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733.95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вересень!B16</f>
        <v>Решетило М.М</v>
      </c>
      <c r="C16" s="18" t="str">
        <f aca="false">вересень!C16</f>
        <v>1009</v>
      </c>
      <c r="D16" s="19" t="n">
        <f aca="false">вересень!P16</f>
        <v>535.4</v>
      </c>
      <c r="E16" s="19" t="n">
        <f aca="false">вересень!Q16</f>
        <v>0</v>
      </c>
      <c r="F16" s="20" t="n">
        <f aca="false">вересень!F16</f>
        <v>0</v>
      </c>
      <c r="G16" s="21" t="n">
        <f aca="false">вересень!G16</f>
        <v>65.16</v>
      </c>
      <c r="H16" s="21" t="n">
        <f aca="false">вересень!H16</f>
        <v>0</v>
      </c>
      <c r="I16" s="22" t="n">
        <f aca="false">вересень!I16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802.56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вересень!B17</f>
        <v>Фесенко О.В.</v>
      </c>
      <c r="C17" s="18" t="str">
        <f aca="false">вересень!C17</f>
        <v>1010</v>
      </c>
      <c r="D17" s="19" t="n">
        <f aca="false">вересень!P17</f>
        <v>3430.62</v>
      </c>
      <c r="E17" s="19" t="n">
        <f aca="false">вересень!Q17</f>
        <v>0</v>
      </c>
      <c r="F17" s="20" t="n">
        <f aca="false">вересень!F17</f>
        <v>0</v>
      </c>
      <c r="G17" s="21" t="n">
        <f aca="false">вересень!G17</f>
        <v>50.1</v>
      </c>
      <c r="H17" s="21" t="n">
        <f aca="false">вересень!H17</f>
        <v>0</v>
      </c>
      <c r="I17" s="22" t="n">
        <f aca="false">вересень!I17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3636.03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вересень!B18</f>
        <v>Петренко О.М.</v>
      </c>
      <c r="C18" s="18" t="str">
        <f aca="false">вересень!C18</f>
        <v>1011</v>
      </c>
      <c r="D18" s="19" t="n">
        <f aca="false">вересень!P18</f>
        <v>1151.56</v>
      </c>
      <c r="E18" s="19" t="n">
        <f aca="false">вересень!Q18</f>
        <v>0</v>
      </c>
      <c r="F18" s="20" t="n">
        <f aca="false">вересень!F18</f>
        <v>0</v>
      </c>
      <c r="G18" s="21" t="n">
        <f aca="false">вересень!G18</f>
        <v>35.2</v>
      </c>
      <c r="H18" s="21" t="n">
        <f aca="false">вересень!H18</f>
        <v>0</v>
      </c>
      <c r="I18" s="22" t="n">
        <f aca="false">вересень!I18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1295.88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вересень!B19</f>
        <v>Зеленюк А.Д</v>
      </c>
      <c r="C19" s="18" t="str">
        <f aca="false">вересень!C19</f>
        <v>1012</v>
      </c>
      <c r="D19" s="19" t="n">
        <f aca="false">вересень!P19</f>
        <v>5229.81</v>
      </c>
      <c r="E19" s="19" t="n">
        <f aca="false">вересень!Q19</f>
        <v>0</v>
      </c>
      <c r="F19" s="20" t="n">
        <f aca="false">вересень!F19</f>
        <v>0</v>
      </c>
      <c r="G19" s="21" t="n">
        <f aca="false">вересень!G19</f>
        <v>62.78</v>
      </c>
      <c r="H19" s="21" t="n">
        <f aca="false">вересень!H19</f>
        <v>0</v>
      </c>
      <c r="I19" s="22" t="n">
        <f aca="false">вересень!I19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5487.21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вересень!B20</f>
        <v>Вовк І.В</v>
      </c>
      <c r="C20" s="18" t="str">
        <f aca="false">вересень!C20</f>
        <v>1013</v>
      </c>
      <c r="D20" s="19" t="n">
        <f aca="false">вересень!P20</f>
        <v>3178.53</v>
      </c>
      <c r="E20" s="19" t="n">
        <f aca="false">вересень!Q20</f>
        <v>0</v>
      </c>
      <c r="F20" s="20" t="n">
        <f aca="false">вересень!F20</f>
        <v>0</v>
      </c>
      <c r="G20" s="21" t="n">
        <f aca="false">вересень!G20</f>
        <v>28.23</v>
      </c>
      <c r="H20" s="21" t="n">
        <f aca="false">вересень!H20</f>
        <v>0</v>
      </c>
      <c r="I20" s="22" t="n">
        <f aca="false">вересень!I20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3294.27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вересень!B21</f>
        <v>Романовський В.М</v>
      </c>
      <c r="C21" s="18" t="str">
        <f aca="false">вересень!C21</f>
        <v>1013-а</v>
      </c>
      <c r="D21" s="19" t="n">
        <f aca="false">вересень!P21</f>
        <v>4654.16</v>
      </c>
      <c r="E21" s="19" t="n">
        <f aca="false">вересень!Q21</f>
        <v>0</v>
      </c>
      <c r="F21" s="20" t="n">
        <f aca="false">вересень!F21</f>
        <v>0</v>
      </c>
      <c r="G21" s="21" t="n">
        <f aca="false">вересень!G21</f>
        <v>37.84</v>
      </c>
      <c r="H21" s="21" t="n">
        <f aca="false">вересень!H21</f>
        <v>0</v>
      </c>
      <c r="I21" s="22" t="n">
        <f aca="false">вересень!I21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4809.3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вересень!B22</f>
        <v>Ряба Л.І</v>
      </c>
      <c r="C22" s="18" t="str">
        <f aca="false">вересень!C22</f>
        <v>1014</v>
      </c>
      <c r="D22" s="19" t="n">
        <f aca="false">вересень!P22</f>
        <v>828.200000000001</v>
      </c>
      <c r="E22" s="19" t="n">
        <f aca="false">вересень!Q22</f>
        <v>0</v>
      </c>
      <c r="F22" s="20" t="n">
        <f aca="false">вересень!F22</f>
        <v>0</v>
      </c>
      <c r="G22" s="21" t="n">
        <f aca="false">вересень!G22</f>
        <v>49.24</v>
      </c>
      <c r="H22" s="21" t="n">
        <f aca="false">вересень!H22</f>
        <v>0</v>
      </c>
      <c r="I22" s="22" t="n">
        <f aca="false">вересень!I22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1030.08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вересень!B23</f>
        <v>Кас'янова О.А.</v>
      </c>
      <c r="C23" s="18" t="str">
        <f aca="false">вересень!C23</f>
        <v>1015</v>
      </c>
      <c r="D23" s="19" t="n">
        <f aca="false">вересень!P23</f>
        <v>2204.23</v>
      </c>
      <c r="E23" s="19" t="n">
        <f aca="false">вересень!Q23</f>
        <v>0</v>
      </c>
      <c r="F23" s="20" t="n">
        <f aca="false">вересень!F23</f>
        <v>0</v>
      </c>
      <c r="G23" s="21" t="n">
        <f aca="false">вересень!G23</f>
        <v>35.1</v>
      </c>
      <c r="H23" s="21" t="n">
        <f aca="false">вересень!H23</f>
        <v>0</v>
      </c>
      <c r="I23" s="22" t="n">
        <f aca="false">вересень!I23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2348.14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вересень!B24</f>
        <v>Корякіна М.В.</v>
      </c>
      <c r="C24" s="18" t="str">
        <f aca="false">вересень!C24</f>
        <v>1016</v>
      </c>
      <c r="D24" s="19" t="n">
        <f aca="false">вересень!P24</f>
        <v>1015.16</v>
      </c>
      <c r="E24" s="19" t="n">
        <f aca="false">вересень!Q24</f>
        <v>0</v>
      </c>
      <c r="F24" s="20" t="n">
        <f aca="false">вересень!F24</f>
        <v>0</v>
      </c>
      <c r="G24" s="21" t="n">
        <f aca="false">вересень!G24</f>
        <v>61.9</v>
      </c>
      <c r="H24" s="21" t="n">
        <f aca="false">вересень!H24</f>
        <v>0</v>
      </c>
      <c r="I24" s="22" t="n">
        <f aca="false">вересень!I24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1268.95</v>
      </c>
      <c r="Q24" s="25" t="n">
        <f aca="false">IF(E24=0,IF((D24+N24-O24)&lt;0,ABS(D24+N24-O24),0),IF((N24-E24-O24)&lt;0,ABS(N24-E24-O24),0))</f>
        <v>0</v>
      </c>
      <c r="U24" s="45"/>
      <c r="V24" s="45"/>
      <c r="W24" s="45"/>
      <c r="X24" s="45"/>
    </row>
    <row r="25" customFormat="false" ht="15" hidden="false" customHeight="false" outlineLevel="0" collapsed="false">
      <c r="A25" s="17" t="s">
        <v>71</v>
      </c>
      <c r="B25" s="18" t="str">
        <f aca="false">вересень!B25</f>
        <v>Сокерчак А.В.</v>
      </c>
      <c r="C25" s="18" t="str">
        <f aca="false">вересень!C25</f>
        <v>1017</v>
      </c>
      <c r="D25" s="19" t="n">
        <f aca="false">вересень!P25</f>
        <v>1630.98</v>
      </c>
      <c r="E25" s="19" t="n">
        <f aca="false">вересень!Q25</f>
        <v>0</v>
      </c>
      <c r="F25" s="20" t="n">
        <f aca="false">вересень!F25</f>
        <v>0</v>
      </c>
      <c r="G25" s="21" t="n">
        <f aca="false">вересень!G25</f>
        <v>66.3</v>
      </c>
      <c r="H25" s="21" t="n">
        <f aca="false">вересень!H25</f>
        <v>0</v>
      </c>
      <c r="I25" s="22" t="n">
        <f aca="false">вересень!I25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1902.81</v>
      </c>
      <c r="Q25" s="25" t="n">
        <f aca="false">IF(E25=0,IF((D25+N25-O25)&lt;0,ABS(D25+N25-O25),0),IF((N25-E25-O25)&lt;0,ABS(N25-E25-O25),0))</f>
        <v>0</v>
      </c>
      <c r="U25" s="45"/>
      <c r="V25" s="45"/>
      <c r="W25" s="45"/>
      <c r="X25" s="45"/>
    </row>
    <row r="26" customFormat="false" ht="15" hidden="false" customHeight="false" outlineLevel="0" collapsed="false">
      <c r="A26" s="17" t="s">
        <v>74</v>
      </c>
      <c r="B26" s="18" t="str">
        <f aca="false">вересень!B26</f>
        <v>Кравченко В.А</v>
      </c>
      <c r="C26" s="18" t="str">
        <f aca="false">вересень!C26</f>
        <v>1018</v>
      </c>
      <c r="D26" s="19" t="n">
        <f aca="false">вересень!P26</f>
        <v>71.4199999999996</v>
      </c>
      <c r="E26" s="19" t="n">
        <f aca="false">вересень!Q26</f>
        <v>0</v>
      </c>
      <c r="F26" s="20" t="n">
        <f aca="false">вересень!F26</f>
        <v>0</v>
      </c>
      <c r="G26" s="21" t="n">
        <f aca="false">вересень!G26</f>
        <v>51.48</v>
      </c>
      <c r="H26" s="21" t="n">
        <f aca="false">вересень!H26</f>
        <v>0</v>
      </c>
      <c r="I26" s="22" t="n">
        <f aca="false">вересень!I26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282.49</v>
      </c>
      <c r="Q26" s="25" t="n">
        <f aca="false">IF(E26=0,IF((D26+N26-O26)&lt;0,ABS(D26+N26-O26),0),IF((N26-E26-O26)&lt;0,ABS(N26-E26-O26),0))</f>
        <v>0</v>
      </c>
      <c r="U26" s="45"/>
      <c r="V26" s="45"/>
      <c r="W26" s="45"/>
      <c r="X26" s="45"/>
    </row>
    <row r="27" customFormat="false" ht="15" hidden="false" customHeight="false" outlineLevel="0" collapsed="false">
      <c r="A27" s="17" t="s">
        <v>77</v>
      </c>
      <c r="B27" s="18" t="str">
        <f aca="false">вересень!B27</f>
        <v>Чичикало А.С</v>
      </c>
      <c r="C27" s="18" t="str">
        <f aca="false">вересень!C27</f>
        <v>1019</v>
      </c>
      <c r="D27" s="19" t="n">
        <f aca="false">вересень!P27</f>
        <v>543.57</v>
      </c>
      <c r="E27" s="19" t="n">
        <f aca="false">вересень!Q27</f>
        <v>0</v>
      </c>
      <c r="F27" s="20" t="n">
        <f aca="false">вересень!F27</f>
        <v>0</v>
      </c>
      <c r="G27" s="21" t="n">
        <f aca="false">вересень!G27</f>
        <v>35.1</v>
      </c>
      <c r="H27" s="21" t="n">
        <f aca="false">вересень!H27</f>
        <v>0</v>
      </c>
      <c r="I27" s="22" t="n">
        <f aca="false">вересень!I27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687.48</v>
      </c>
      <c r="Q27" s="25" t="n">
        <f aca="false">IF(E27=0,IF((D27+N27-O27)&lt;0,ABS(D27+N27-O27),0),IF((N27-E27-O27)&lt;0,ABS(N27-E27-O27),0))</f>
        <v>0</v>
      </c>
      <c r="U27" s="45"/>
      <c r="V27" s="45"/>
      <c r="W27" s="45"/>
      <c r="X27" s="45"/>
    </row>
    <row r="28" customFormat="false" ht="15" hidden="false" customHeight="false" outlineLevel="0" collapsed="false">
      <c r="A28" s="17" t="s">
        <v>80</v>
      </c>
      <c r="B28" s="18" t="str">
        <f aca="false">вересень!B28</f>
        <v>Сільващук А.А</v>
      </c>
      <c r="C28" s="18" t="str">
        <f aca="false">вересень!C28</f>
        <v>1020</v>
      </c>
      <c r="D28" s="19" t="n">
        <f aca="false">вересень!P28</f>
        <v>257.069999999999</v>
      </c>
      <c r="E28" s="19" t="n">
        <f aca="false">вересень!Q28</f>
        <v>0</v>
      </c>
      <c r="F28" s="20" t="n">
        <f aca="false">вересень!F28</f>
        <v>0</v>
      </c>
      <c r="G28" s="21" t="n">
        <f aca="false">вересень!G28</f>
        <v>62.7</v>
      </c>
      <c r="H28" s="21" t="n">
        <f aca="false">вересень!H28</f>
        <v>0</v>
      </c>
      <c r="I28" s="22" t="n">
        <f aca="false">вересень!I28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514.139999999999</v>
      </c>
      <c r="Q28" s="25" t="n">
        <f aca="false">IF(E28=0,IF((D28+N28-O28)&lt;0,ABS(D28+N28-O28),0),IF((N28-E28-O28)&lt;0,ABS(N28-E28-O28),0))</f>
        <v>0</v>
      </c>
      <c r="U28" s="45"/>
      <c r="V28" s="45"/>
      <c r="W28" s="45"/>
      <c r="X28" s="45"/>
    </row>
    <row r="29" customFormat="false" ht="15" hidden="false" customHeight="false" outlineLevel="0" collapsed="false">
      <c r="A29" s="17" t="s">
        <v>83</v>
      </c>
      <c r="B29" s="18" t="str">
        <f aca="false">вересень!B29</f>
        <v>Стеценко Г.М</v>
      </c>
      <c r="C29" s="18" t="str">
        <f aca="false">вересень!C29</f>
        <v>1021</v>
      </c>
      <c r="D29" s="19" t="n">
        <f aca="false">вересень!P29</f>
        <v>1714.02</v>
      </c>
      <c r="E29" s="19" t="n">
        <f aca="false">вересень!Q29</f>
        <v>0</v>
      </c>
      <c r="F29" s="20" t="n">
        <f aca="false">вересень!F29</f>
        <v>0</v>
      </c>
      <c r="G29" s="21" t="n">
        <f aca="false">вересень!G29</f>
        <v>65.32</v>
      </c>
      <c r="H29" s="21" t="n">
        <f aca="false">вересень!H29</f>
        <v>0</v>
      </c>
      <c r="I29" s="22" t="n">
        <f aca="false">вересень!I29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/>
      <c r="P29" s="25" t="n">
        <f aca="false">IF(D29=0,IF((N29-E29-O29)&gt;0,(N29-E29-O29),0),IF((D29+N29-O29)&gt;0,(D29+N29-O29),0))</f>
        <v>1981.83</v>
      </c>
      <c r="Q29" s="25" t="n">
        <f aca="false">IF(E29=0,IF((D29+N29-O29)&lt;0,ABS(D29+N29-O29),0),IF((N29-E29-O29)&lt;0,ABS(N29-E29-O29),0))</f>
        <v>0</v>
      </c>
      <c r="U29" s="45"/>
      <c r="V29" s="45"/>
      <c r="W29" s="45"/>
      <c r="X29" s="45"/>
    </row>
    <row r="30" customFormat="false" ht="15" hidden="false" customHeight="false" outlineLevel="0" collapsed="false">
      <c r="A30" s="17" t="s">
        <v>86</v>
      </c>
      <c r="B30" s="18" t="str">
        <f aca="false">вересень!B30</f>
        <v>Кирдячкіна П.А</v>
      </c>
      <c r="C30" s="18" t="str">
        <f aca="false">вересень!C30</f>
        <v>1022</v>
      </c>
      <c r="D30" s="19" t="n">
        <f aca="false">вересень!P30</f>
        <v>1334.09</v>
      </c>
      <c r="E30" s="19" t="n">
        <f aca="false">вересень!Q30</f>
        <v>0</v>
      </c>
      <c r="F30" s="20" t="n">
        <f aca="false">вересень!F30</f>
        <v>0</v>
      </c>
      <c r="G30" s="21" t="n">
        <f aca="false">вересень!G30</f>
        <v>49.7</v>
      </c>
      <c r="H30" s="21" t="n">
        <f aca="false">вересень!H30</f>
        <v>0</v>
      </c>
      <c r="I30" s="22" t="n">
        <f aca="false">вересень!I30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1537.86</v>
      </c>
      <c r="Q30" s="25" t="n">
        <f aca="false">IF(E30=0,IF((D30+N30-O30)&lt;0,ABS(D30+N30-O30),0),IF((N30-E30-O30)&lt;0,ABS(N30-E30-O30),0))</f>
        <v>0</v>
      </c>
      <c r="U30" s="45"/>
      <c r="V30" s="45"/>
      <c r="W30" s="45"/>
      <c r="X30" s="45"/>
    </row>
    <row r="31" customFormat="false" ht="15" hidden="false" customHeight="false" outlineLevel="0" collapsed="false">
      <c r="A31" s="17" t="s">
        <v>89</v>
      </c>
      <c r="B31" s="18" t="str">
        <f aca="false">вересень!B31</f>
        <v>Фоміченко Л.А</v>
      </c>
      <c r="C31" s="18" t="str">
        <f aca="false">вересень!C31</f>
        <v>1023</v>
      </c>
      <c r="D31" s="19" t="n">
        <f aca="false">вересень!P31</f>
        <v>1295.19</v>
      </c>
      <c r="E31" s="19" t="n">
        <f aca="false">вересень!Q31</f>
        <v>0</v>
      </c>
      <c r="F31" s="20" t="n">
        <f aca="false">вересень!F31</f>
        <v>0</v>
      </c>
      <c r="G31" s="21" t="n">
        <f aca="false">вересень!G31</f>
        <v>35.1</v>
      </c>
      <c r="H31" s="21" t="n">
        <f aca="false">вересень!H31</f>
        <v>0</v>
      </c>
      <c r="I31" s="22" t="n">
        <f aca="false">вересень!I31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1439.1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вересень!B32</f>
        <v>Сердюк А.Г</v>
      </c>
      <c r="C32" s="18" t="str">
        <f aca="false">вересень!C32</f>
        <v>1024</v>
      </c>
      <c r="D32" s="19" t="n">
        <f aca="false">вересень!P32</f>
        <v>1527.84</v>
      </c>
      <c r="E32" s="19" t="n">
        <f aca="false">вересень!Q32</f>
        <v>0</v>
      </c>
      <c r="F32" s="20" t="n">
        <f aca="false">вересень!F32</f>
        <v>0</v>
      </c>
      <c r="G32" s="21" t="n">
        <f aca="false">вересень!G32</f>
        <v>62.31</v>
      </c>
      <c r="H32" s="21" t="n">
        <f aca="false">вересень!H32</f>
        <v>0</v>
      </c>
      <c r="I32" s="22" t="n">
        <f aca="false">вересень!I32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/>
      <c r="P32" s="25" t="n">
        <f aca="false">IF(D32=0,IF((N32-E32-O32)&gt;0,(N32-E32-O32),0),IF((D32+N32-O32)&gt;0,(D32+N32-O32),0))</f>
        <v>1783.31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вересень!B33</f>
        <v>Михальченко Г.М</v>
      </c>
      <c r="C33" s="18" t="str">
        <f aca="false">вересень!C33</f>
        <v>1025</v>
      </c>
      <c r="D33" s="19" t="n">
        <f aca="false">вересень!P33</f>
        <v>5187.42</v>
      </c>
      <c r="E33" s="19" t="n">
        <f aca="false">вересень!Q33</f>
        <v>0</v>
      </c>
      <c r="F33" s="20" t="n">
        <f aca="false">вересень!F33</f>
        <v>0</v>
      </c>
      <c r="G33" s="21" t="n">
        <f aca="false">вересень!G33</f>
        <v>65.04</v>
      </c>
      <c r="H33" s="21" t="n">
        <f aca="false">вересень!H33</f>
        <v>0</v>
      </c>
      <c r="I33" s="22" t="n">
        <f aca="false">вересень!I33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5454.08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вересень!B34</f>
        <v>Замуховська Я.С</v>
      </c>
      <c r="C34" s="18" t="str">
        <f aca="false">вересень!C34</f>
        <v>1026</v>
      </c>
      <c r="D34" s="19" t="n">
        <f aca="false">вересень!P34</f>
        <v>2874.59</v>
      </c>
      <c r="E34" s="19" t="n">
        <f aca="false">вересень!Q34</f>
        <v>0</v>
      </c>
      <c r="F34" s="20" t="n">
        <f aca="false">вересень!F34</f>
        <v>0</v>
      </c>
      <c r="G34" s="21" t="n">
        <f aca="false">вересень!G34</f>
        <v>49.8</v>
      </c>
      <c r="H34" s="21" t="n">
        <f aca="false">вересень!H34</f>
        <v>0</v>
      </c>
      <c r="I34" s="22" t="n">
        <f aca="false">вересень!I34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3078.77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вересень!B35</f>
        <v>Мержиєвська Г.К</v>
      </c>
      <c r="C35" s="18" t="str">
        <f aca="false">вересень!C35</f>
        <v>1027</v>
      </c>
      <c r="D35" s="19" t="n">
        <f aca="false">вересень!P35</f>
        <v>0</v>
      </c>
      <c r="E35" s="19" t="n">
        <f aca="false">вересень!Q35</f>
        <v>183.3</v>
      </c>
      <c r="F35" s="20" t="n">
        <f aca="false">вересень!F35</f>
        <v>0</v>
      </c>
      <c r="G35" s="21" t="n">
        <f aca="false">вересень!G35</f>
        <v>35.17</v>
      </c>
      <c r="H35" s="21" t="n">
        <f aca="false">вересень!H35</f>
        <v>0</v>
      </c>
      <c r="I35" s="22" t="n">
        <f aca="false">вересень!I35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/>
      <c r="P35" s="25" t="n">
        <f aca="false">IF(D35=0,IF((N35-E35-O35)&gt;0,(N35-E35-O35),0),IF((D35+N35-O35)&gt;0,(D35+N35-O35),0))</f>
        <v>0</v>
      </c>
      <c r="Q35" s="25" t="n">
        <f aca="false">IF(E35=0,IF((D35+N35-O35)&lt;0,ABS(D35+N35-O35),0),IF((N35-E35-O35)&lt;0,ABS(N35-E35-O35),0))</f>
        <v>39.1</v>
      </c>
    </row>
    <row r="36" customFormat="false" ht="15" hidden="false" customHeight="false" outlineLevel="0" collapsed="false">
      <c r="A36" s="17" t="s">
        <v>104</v>
      </c>
      <c r="B36" s="18" t="str">
        <f aca="false">вересень!B36</f>
        <v>Кулакова Л.В.</v>
      </c>
      <c r="C36" s="18" t="str">
        <f aca="false">вересень!C36</f>
        <v>1028</v>
      </c>
      <c r="D36" s="19" t="n">
        <f aca="false">вересень!P36</f>
        <v>2278.48</v>
      </c>
      <c r="E36" s="19" t="n">
        <f aca="false">вересень!Q36</f>
        <v>0</v>
      </c>
      <c r="F36" s="20" t="n">
        <f aca="false">вересень!F36</f>
        <v>0</v>
      </c>
      <c r="G36" s="21" t="n">
        <f aca="false">вересень!G36</f>
        <v>62.47</v>
      </c>
      <c r="H36" s="21" t="n">
        <f aca="false">вересень!H36</f>
        <v>0</v>
      </c>
      <c r="I36" s="22" t="n">
        <f aca="false">вересень!I36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2534.61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вересень!B37</f>
        <v>Бочаров В.Л.</v>
      </c>
      <c r="C37" s="18" t="str">
        <f aca="false">вересень!C37</f>
        <v>1029</v>
      </c>
      <c r="D37" s="19" t="n">
        <f aca="false">вересень!P37</f>
        <v>3904.86</v>
      </c>
      <c r="E37" s="19" t="n">
        <f aca="false">вересень!Q37</f>
        <v>0</v>
      </c>
      <c r="F37" s="20" t="n">
        <f aca="false">вересень!F37</f>
        <v>0</v>
      </c>
      <c r="G37" s="21" t="n">
        <f aca="false">вересень!G37</f>
        <v>65.75</v>
      </c>
      <c r="H37" s="21" t="n">
        <f aca="false">вересень!H37</f>
        <v>0</v>
      </c>
      <c r="I37" s="22" t="n">
        <f aca="false">вересень!I37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4174.44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вересень!B38</f>
        <v>Лучков В.Л.</v>
      </c>
      <c r="C38" s="18" t="str">
        <f aca="false">вересень!C38</f>
        <v>1030</v>
      </c>
      <c r="D38" s="19" t="n">
        <f aca="false">вересень!P38</f>
        <v>4066.76</v>
      </c>
      <c r="E38" s="19" t="n">
        <f aca="false">вересень!Q38</f>
        <v>0</v>
      </c>
      <c r="F38" s="20" t="n">
        <f aca="false">вересень!F38</f>
        <v>0</v>
      </c>
      <c r="G38" s="21" t="n">
        <f aca="false">вересень!G38</f>
        <v>49.7</v>
      </c>
      <c r="H38" s="21" t="n">
        <f aca="false">вересень!H38</f>
        <v>0</v>
      </c>
      <c r="I38" s="22" t="n">
        <f aca="false">вересень!I38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4270.53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вересень!B39</f>
        <v>Кашкар Т.М.</v>
      </c>
      <c r="C39" s="18" t="str">
        <f aca="false">вересень!C39</f>
        <v>1031</v>
      </c>
      <c r="D39" s="19" t="n">
        <f aca="false">вересень!P39</f>
        <v>143.91</v>
      </c>
      <c r="E39" s="19" t="n">
        <f aca="false">вересень!Q39</f>
        <v>0</v>
      </c>
      <c r="F39" s="20" t="n">
        <f aca="false">вересень!F39</f>
        <v>0</v>
      </c>
      <c r="G39" s="21" t="n">
        <f aca="false">вересень!G39</f>
        <v>35.1</v>
      </c>
      <c r="H39" s="21" t="n">
        <f aca="false">вересень!H39</f>
        <v>0</v>
      </c>
      <c r="I39" s="22" t="n">
        <f aca="false">вересень!I39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287.82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вересень!B40</f>
        <v>Стецюк Н.П.</v>
      </c>
      <c r="C40" s="18" t="str">
        <f aca="false">вересень!C40</f>
        <v>1032</v>
      </c>
      <c r="D40" s="19" t="n">
        <f aca="false">вересень!P40</f>
        <v>4043.78</v>
      </c>
      <c r="E40" s="19" t="n">
        <f aca="false">вересень!Q40</f>
        <v>0</v>
      </c>
      <c r="F40" s="20" t="n">
        <f aca="false">вересень!F40</f>
        <v>0</v>
      </c>
      <c r="G40" s="21" t="n">
        <f aca="false">вересень!G40</f>
        <v>61.9</v>
      </c>
      <c r="H40" s="21" t="n">
        <f aca="false">вересень!H40</f>
        <v>0</v>
      </c>
      <c r="I40" s="22" t="n">
        <f aca="false">вересень!I40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4297.57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вересень!B41</f>
        <v>Маханько В.О.</v>
      </c>
      <c r="C41" s="18" t="str">
        <f aca="false">вересень!C41</f>
        <v>1033</v>
      </c>
      <c r="D41" s="19" t="n">
        <f aca="false">вересень!P41</f>
        <v>2307.32</v>
      </c>
      <c r="E41" s="19" t="n">
        <f aca="false">вересень!Q41</f>
        <v>0</v>
      </c>
      <c r="F41" s="20" t="n">
        <f aca="false">вересень!F41</f>
        <v>0</v>
      </c>
      <c r="G41" s="21" t="n">
        <f aca="false">вересень!G41</f>
        <v>65.53</v>
      </c>
      <c r="H41" s="21" t="n">
        <f aca="false">вересень!H41</f>
        <v>0</v>
      </c>
      <c r="I41" s="22" t="n">
        <f aca="false">вересень!I41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2575.99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вересень!B42</f>
        <v>Реуцька Р.С.</v>
      </c>
      <c r="C42" s="18" t="str">
        <f aca="false">вересень!C42</f>
        <v>1034</v>
      </c>
      <c r="D42" s="19" t="n">
        <f aca="false">вересень!P42</f>
        <v>2759.67</v>
      </c>
      <c r="E42" s="19" t="n">
        <f aca="false">вересень!Q42</f>
        <v>0</v>
      </c>
      <c r="F42" s="20" t="n">
        <f aca="false">вересень!F42</f>
        <v>0</v>
      </c>
      <c r="G42" s="21" t="n">
        <f aca="false">вересень!G42</f>
        <v>49.7</v>
      </c>
      <c r="H42" s="21" t="n">
        <f aca="false">вересень!H42</f>
        <v>0</v>
      </c>
      <c r="I42" s="22" t="n">
        <f aca="false">вересень!I42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2963.44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вересень!B43</f>
        <v>Колесникова Р.Г.</v>
      </c>
      <c r="C43" s="18" t="str">
        <f aca="false">вересень!C43</f>
        <v>1035</v>
      </c>
      <c r="D43" s="19" t="n">
        <f aca="false">вересень!P43</f>
        <v>1191.49</v>
      </c>
      <c r="E43" s="19" t="n">
        <f aca="false">вересень!Q43</f>
        <v>0</v>
      </c>
      <c r="F43" s="20" t="n">
        <f aca="false">вересень!F43</f>
        <v>0</v>
      </c>
      <c r="G43" s="21" t="n">
        <f aca="false">вересень!G43</f>
        <v>35.1</v>
      </c>
      <c r="H43" s="21" t="n">
        <f aca="false">вересень!H43</f>
        <v>0</v>
      </c>
      <c r="I43" s="22" t="n">
        <f aca="false">вересень!I43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1335.4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вересень!B44</f>
        <v>Кучеренко М.М.</v>
      </c>
      <c r="C44" s="18" t="str">
        <f aca="false">вересень!C44</f>
        <v>1036</v>
      </c>
      <c r="D44" s="19" t="n">
        <f aca="false">вересень!P44</f>
        <v>4371.22</v>
      </c>
      <c r="E44" s="19" t="n">
        <f aca="false">вересень!Q44</f>
        <v>0</v>
      </c>
      <c r="F44" s="20" t="n">
        <f aca="false">вересень!F44</f>
        <v>0</v>
      </c>
      <c r="G44" s="21" t="n">
        <f aca="false">вересень!G44</f>
        <v>61.88</v>
      </c>
      <c r="H44" s="21" t="n">
        <f aca="false">вересень!H44</f>
        <v>0</v>
      </c>
      <c r="I44" s="22" t="n">
        <f aca="false">вересень!I44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4624.93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вересень!B45</f>
        <v>Гурова О.М.</v>
      </c>
      <c r="C45" s="18" t="str">
        <f aca="false">вересень!C45</f>
        <v>2037</v>
      </c>
      <c r="D45" s="19" t="n">
        <f aca="false">вересень!P45</f>
        <v>0</v>
      </c>
      <c r="E45" s="19" t="n">
        <f aca="false">вересень!Q45</f>
        <v>61.4099999999996</v>
      </c>
      <c r="F45" s="20" t="n">
        <f aca="false">вересень!F45</f>
        <v>0</v>
      </c>
      <c r="G45" s="21" t="n">
        <f aca="false">вересень!G45</f>
        <v>62.2</v>
      </c>
      <c r="H45" s="21" t="n">
        <f aca="false">вересень!H45</f>
        <v>0</v>
      </c>
      <c r="I45" s="22" t="n">
        <f aca="false">вересень!I45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193.61</v>
      </c>
      <c r="Q45" s="25" t="n">
        <f aca="false">IF(E45=0,IF((D45+N45-O45)&lt;0,ABS(D45+N45-O45),0),IF((N45-E45-O45)&lt;0,ABS(N45-E45-O45),0))</f>
        <v>0</v>
      </c>
    </row>
    <row r="46" customFormat="false" ht="15" hidden="false" customHeight="false" outlineLevel="0" collapsed="false">
      <c r="A46" s="17" t="s">
        <v>134</v>
      </c>
      <c r="B46" s="18" t="str">
        <f aca="false">вересень!B46</f>
        <v>Федорова В.І.</v>
      </c>
      <c r="C46" s="18" t="str">
        <f aca="false">вересень!C46</f>
        <v>2038</v>
      </c>
      <c r="D46" s="19" t="n">
        <f aca="false">вересень!P46</f>
        <v>414.81</v>
      </c>
      <c r="E46" s="19" t="n">
        <f aca="false">вересень!Q46</f>
        <v>0</v>
      </c>
      <c r="F46" s="20" t="n">
        <f aca="false">вересень!F46</f>
        <v>0</v>
      </c>
      <c r="G46" s="21" t="n">
        <f aca="false">вересень!G46</f>
        <v>34.9</v>
      </c>
      <c r="H46" s="21" t="n">
        <f aca="false">вересень!H46</f>
        <v>0</v>
      </c>
      <c r="I46" s="22" t="n">
        <f aca="false">вересень!I46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557.9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вересень!B47</f>
        <v>Лаптєв В.І.</v>
      </c>
      <c r="C47" s="18" t="str">
        <f aca="false">вересень!C47</f>
        <v>2039</v>
      </c>
      <c r="D47" s="19" t="n">
        <f aca="false">вересень!P47</f>
        <v>400.060000000001</v>
      </c>
      <c r="E47" s="19" t="n">
        <f aca="false">вересень!Q47</f>
        <v>0</v>
      </c>
      <c r="F47" s="20" t="n">
        <f aca="false">вересень!F47</f>
        <v>0</v>
      </c>
      <c r="G47" s="21" t="n">
        <f aca="false">вересень!G47</f>
        <v>48.8</v>
      </c>
      <c r="H47" s="21" t="n">
        <f aca="false">вересень!H47</f>
        <v>0</v>
      </c>
      <c r="I47" s="22" t="n">
        <f aca="false">вересень!I47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/>
      <c r="P47" s="25" t="n">
        <f aca="false">IF(D47=0,IF((N47-E47-O47)&gt;0,(N47-E47-O47),0),IF((D47+N47-O47)&gt;0,(D47+N47-O47),0))</f>
        <v>600.140000000001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вересень!B48</f>
        <v>Тимощук О.Є.</v>
      </c>
      <c r="C48" s="18" t="str">
        <f aca="false">вересень!C48</f>
        <v>2040</v>
      </c>
      <c r="D48" s="19" t="n">
        <f aca="false">вересень!P48</f>
        <v>938.640000000001</v>
      </c>
      <c r="E48" s="19" t="n">
        <f aca="false">вересень!Q48</f>
        <v>0</v>
      </c>
      <c r="F48" s="20" t="n">
        <f aca="false">вересень!F48</f>
        <v>0</v>
      </c>
      <c r="G48" s="21" t="n">
        <f aca="false">вересень!G48</f>
        <v>57.3</v>
      </c>
      <c r="H48" s="21" t="n">
        <f aca="false">вересень!H48</f>
        <v>0</v>
      </c>
      <c r="I48" s="22" t="n">
        <f aca="false">вересень!I48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/>
      <c r="P48" s="25" t="n">
        <f aca="false">IF(D48=0,IF((N48-E48-O48)&gt;0,(N48-E48-O48),0),IF((D48+N48-O48)&gt;0,(D48+N48-O48),0))</f>
        <v>1173.57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вересень!B49</f>
        <v>Котяш О.В.</v>
      </c>
      <c r="C49" s="18" t="str">
        <f aca="false">вересень!C49</f>
        <v>2041</v>
      </c>
      <c r="D49" s="19" t="n">
        <f aca="false">вересень!P49</f>
        <v>4150.34</v>
      </c>
      <c r="E49" s="19" t="n">
        <f aca="false">вересень!Q49</f>
        <v>0</v>
      </c>
      <c r="F49" s="20" t="n">
        <f aca="false">вересень!F49</f>
        <v>0</v>
      </c>
      <c r="G49" s="21" t="n">
        <f aca="false">вересень!G49</f>
        <v>63.3</v>
      </c>
      <c r="H49" s="21" t="n">
        <f aca="false">вересень!H49</f>
        <v>0</v>
      </c>
      <c r="I49" s="22" t="n">
        <f aca="false">вересень!I49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4409.87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вересень!B50</f>
        <v>Токовило-Паращенко Л.П.</v>
      </c>
      <c r="C50" s="18" t="str">
        <f aca="false">вересень!C50</f>
        <v>2042</v>
      </c>
      <c r="D50" s="19" t="n">
        <f aca="false">вересень!P50</f>
        <v>1487.98</v>
      </c>
      <c r="E50" s="19" t="n">
        <f aca="false">вересень!Q50</f>
        <v>0</v>
      </c>
      <c r="F50" s="20" t="n">
        <f aca="false">вересень!F50</f>
        <v>0</v>
      </c>
      <c r="G50" s="21" t="n">
        <f aca="false">вересень!G50</f>
        <v>35.68</v>
      </c>
      <c r="H50" s="21" t="n">
        <f aca="false">вересень!H50</f>
        <v>0</v>
      </c>
      <c r="I50" s="22" t="n">
        <f aca="false">вересень!I50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1634.27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вересень!B51</f>
        <v>Бєлая К.В.</v>
      </c>
      <c r="C51" s="18" t="str">
        <f aca="false">вересень!C51</f>
        <v>2043</v>
      </c>
      <c r="D51" s="19" t="n">
        <f aca="false">вересень!P51</f>
        <v>612.540000000001</v>
      </c>
      <c r="E51" s="19" t="n">
        <f aca="false">вересень!Q51</f>
        <v>0</v>
      </c>
      <c r="F51" s="20" t="n">
        <f aca="false">вересень!F51</f>
        <v>0</v>
      </c>
      <c r="G51" s="21" t="n">
        <f aca="false">вересень!G51</f>
        <v>49.8</v>
      </c>
      <c r="H51" s="21" t="n">
        <f aca="false">вересень!H51</f>
        <v>0</v>
      </c>
      <c r="I51" s="22" t="n">
        <f aca="false">вересень!I51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816.720000000001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вересень!B52</f>
        <v>Стадник О.Ф.</v>
      </c>
      <c r="C52" s="18" t="str">
        <f aca="false">вересень!C52</f>
        <v>2044</v>
      </c>
      <c r="D52" s="19" t="n">
        <f aca="false">вересень!P52</f>
        <v>3834.14</v>
      </c>
      <c r="E52" s="19" t="n">
        <f aca="false">вересень!Q52</f>
        <v>0</v>
      </c>
      <c r="F52" s="20" t="n">
        <f aca="false">вересень!F52</f>
        <v>0</v>
      </c>
      <c r="G52" s="21" t="n">
        <f aca="false">вересень!G52</f>
        <v>65.9</v>
      </c>
      <c r="H52" s="21" t="n">
        <f aca="false">вересень!H52</f>
        <v>0</v>
      </c>
      <c r="I52" s="22" t="n">
        <f aca="false">вересень!I52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4104.33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вересень!B53</f>
        <v>Ляшенко В.М.</v>
      </c>
      <c r="C53" s="18" t="str">
        <f aca="false">вересень!C53</f>
        <v>2045</v>
      </c>
      <c r="D53" s="19" t="n">
        <f aca="false">вересень!P53</f>
        <v>762.6</v>
      </c>
      <c r="E53" s="19" t="n">
        <f aca="false">вересень!Q53</f>
        <v>0</v>
      </c>
      <c r="F53" s="20" t="n">
        <f aca="false">вересень!F53</f>
        <v>0</v>
      </c>
      <c r="G53" s="21" t="n">
        <f aca="false">вересень!G53</f>
        <v>62</v>
      </c>
      <c r="H53" s="21" t="n">
        <f aca="false">вересень!H53</f>
        <v>0</v>
      </c>
      <c r="I53" s="22" t="n">
        <f aca="false">вересень!I53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1016.8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вересень!B54</f>
        <v>Смоленська Т.О.</v>
      </c>
      <c r="C54" s="18" t="str">
        <f aca="false">вересень!C54</f>
        <v>2046</v>
      </c>
      <c r="D54" s="19" t="n">
        <f aca="false">вересень!P54</f>
        <v>2295.19</v>
      </c>
      <c r="E54" s="19" t="n">
        <f aca="false">вересень!Q54</f>
        <v>0</v>
      </c>
      <c r="F54" s="20" t="n">
        <f aca="false">вересень!F54</f>
        <v>0</v>
      </c>
      <c r="G54" s="21" t="n">
        <f aca="false">вересень!G54</f>
        <v>35.1</v>
      </c>
      <c r="H54" s="21" t="n">
        <f aca="false">вересень!H54</f>
        <v>0</v>
      </c>
      <c r="I54" s="22" t="n">
        <f aca="false">вересень!I54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2439.1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вересень!B55</f>
        <v>Дудка І.В.</v>
      </c>
      <c r="C55" s="18" t="str">
        <f aca="false">вересень!C55</f>
        <v>2047</v>
      </c>
      <c r="D55" s="19" t="n">
        <f aca="false">вересень!P55</f>
        <v>1016.8</v>
      </c>
      <c r="E55" s="19" t="n">
        <f aca="false">вересень!Q55</f>
        <v>0</v>
      </c>
      <c r="F55" s="20" t="n">
        <f aca="false">вересень!F55</f>
        <v>0</v>
      </c>
      <c r="G55" s="21" t="n">
        <f aca="false">вересень!G55</f>
        <v>49.6</v>
      </c>
      <c r="H55" s="21" t="n">
        <f aca="false">вересень!H55</f>
        <v>0</v>
      </c>
      <c r="I55" s="22" t="n">
        <f aca="false">вересень!I55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1220.16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вересень!B56</f>
        <v>Буланова Л.І.</v>
      </c>
      <c r="C56" s="18" t="str">
        <f aca="false">вересень!C56</f>
        <v>2048</v>
      </c>
      <c r="D56" s="19" t="n">
        <f aca="false">вересень!P56</f>
        <v>817.2</v>
      </c>
      <c r="E56" s="19" t="n">
        <f aca="false">вересень!Q56</f>
        <v>0</v>
      </c>
      <c r="F56" s="20" t="n">
        <f aca="false">вересень!F56</f>
        <v>0</v>
      </c>
      <c r="G56" s="21" t="n">
        <f aca="false">вересень!G56</f>
        <v>66.44</v>
      </c>
      <c r="H56" s="21" t="n">
        <f aca="false">вересень!H56</f>
        <v>0</v>
      </c>
      <c r="I56" s="22" t="n">
        <f aca="false">вересень!I56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1089.6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вересень!B57</f>
        <v>Шалімова О.О.</v>
      </c>
      <c r="C57" s="18" t="str">
        <f aca="false">вересень!C57</f>
        <v>2049</v>
      </c>
      <c r="D57" s="19" t="n">
        <f aca="false">вересень!P57</f>
        <v>4051.76</v>
      </c>
      <c r="E57" s="19" t="n">
        <f aca="false">вересень!Q57</f>
        <v>0</v>
      </c>
      <c r="F57" s="20" t="n">
        <f aca="false">вересень!F57</f>
        <v>0</v>
      </c>
      <c r="G57" s="21" t="n">
        <f aca="false">вересень!G57</f>
        <v>62.1</v>
      </c>
      <c r="H57" s="21" t="n">
        <f aca="false">вересень!H57</f>
        <v>0</v>
      </c>
      <c r="I57" s="22" t="n">
        <f aca="false">вересень!I57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4306.37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вересень!B58</f>
        <v>Андросик О.О.</v>
      </c>
      <c r="C58" s="18" t="str">
        <f aca="false">вересень!C58</f>
        <v>2050</v>
      </c>
      <c r="D58" s="19" t="n">
        <f aca="false">вересень!P58</f>
        <v>429.27</v>
      </c>
      <c r="E58" s="19" t="n">
        <f aca="false">вересень!Q58</f>
        <v>0</v>
      </c>
      <c r="F58" s="20" t="n">
        <f aca="false">вересень!F58</f>
        <v>0</v>
      </c>
      <c r="G58" s="21" t="n">
        <f aca="false">вересень!G58</f>
        <v>34.9</v>
      </c>
      <c r="H58" s="21" t="n">
        <f aca="false">вересень!H58</f>
        <v>0</v>
      </c>
      <c r="I58" s="22" t="n">
        <f aca="false">вересень!I58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572.36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вересень!B59</f>
        <v>Токар Є.А.</v>
      </c>
      <c r="C59" s="18" t="str">
        <f aca="false">вересень!C59</f>
        <v>2051</v>
      </c>
      <c r="D59" s="19" t="n">
        <f aca="false">вересень!P59</f>
        <v>3374.35</v>
      </c>
      <c r="E59" s="19" t="n">
        <f aca="false">вересень!Q59</f>
        <v>0</v>
      </c>
      <c r="F59" s="20" t="n">
        <f aca="false">вересень!F59</f>
        <v>0</v>
      </c>
      <c r="G59" s="21" t="n">
        <f aca="false">вересень!G59</f>
        <v>49.22</v>
      </c>
      <c r="H59" s="21" t="n">
        <f aca="false">вересень!H59</f>
        <v>0</v>
      </c>
      <c r="I59" s="22" t="n">
        <f aca="false">вересень!I59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3576.15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вересень!B60</f>
        <v>Констанчук І.В.</v>
      </c>
      <c r="C60" s="18" t="str">
        <f aca="false">вересень!C60</f>
        <v>2052</v>
      </c>
      <c r="D60" s="19" t="n">
        <f aca="false">вересень!P60</f>
        <v>4261.36</v>
      </c>
      <c r="E60" s="19" t="n">
        <f aca="false">вересень!Q60</f>
        <v>0</v>
      </c>
      <c r="F60" s="20" t="n">
        <f aca="false">вересень!F60</f>
        <v>0</v>
      </c>
      <c r="G60" s="21" t="n">
        <f aca="false">вересень!G60</f>
        <v>65.5</v>
      </c>
      <c r="H60" s="21" t="n">
        <f aca="false">вересень!H60</f>
        <v>0</v>
      </c>
      <c r="I60" s="22" t="n">
        <f aca="false">вересень!I60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4529.91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вересень!B61</f>
        <v>Гончаров В.В.</v>
      </c>
      <c r="C61" s="18" t="str">
        <f aca="false">вересень!C61</f>
        <v>2053</v>
      </c>
      <c r="D61" s="19" t="n">
        <f aca="false">вересень!P61</f>
        <v>0</v>
      </c>
      <c r="E61" s="19" t="n">
        <f aca="false">вересень!Q61</f>
        <v>770.459999999998</v>
      </c>
      <c r="F61" s="20" t="n">
        <f aca="false">вересень!F61</f>
        <v>0</v>
      </c>
      <c r="G61" s="21" t="n">
        <f aca="false">вересень!G61</f>
        <v>62.64</v>
      </c>
      <c r="H61" s="21" t="n">
        <f aca="false">вересень!H61</f>
        <v>0</v>
      </c>
      <c r="I61" s="22" t="n">
        <f aca="false">вересень!I61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513.639999999998</v>
      </c>
    </row>
    <row r="62" customFormat="false" ht="15" hidden="false" customHeight="false" outlineLevel="0" collapsed="false">
      <c r="A62" s="17" t="s">
        <v>182</v>
      </c>
      <c r="B62" s="18" t="str">
        <f aca="false">вересень!B62</f>
        <v>Ляхомський В.О.</v>
      </c>
      <c r="C62" s="18" t="str">
        <f aca="false">вересень!C62</f>
        <v>2054</v>
      </c>
      <c r="D62" s="19" t="n">
        <f aca="false">вересень!P62</f>
        <v>1149.2</v>
      </c>
      <c r="E62" s="19" t="n">
        <f aca="false">вересень!Q62</f>
        <v>0</v>
      </c>
      <c r="F62" s="20" t="n">
        <f aca="false">вересень!F62</f>
        <v>0</v>
      </c>
      <c r="G62" s="21" t="n">
        <f aca="false">вересень!G62</f>
        <v>34.9</v>
      </c>
      <c r="H62" s="21" t="n">
        <f aca="false">вересень!H62</f>
        <v>0</v>
      </c>
      <c r="I62" s="22" t="n">
        <f aca="false">вересень!I62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1292.29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вересень!B63</f>
        <v>Крамаренко В.П.</v>
      </c>
      <c r="C63" s="18" t="str">
        <f aca="false">вересень!C63</f>
        <v>2055</v>
      </c>
      <c r="D63" s="19" t="n">
        <f aca="false">вересень!P63</f>
        <v>3273.2</v>
      </c>
      <c r="E63" s="19" t="n">
        <f aca="false">вересень!Q63</f>
        <v>0</v>
      </c>
      <c r="F63" s="20" t="n">
        <f aca="false">вересень!F63</f>
        <v>0</v>
      </c>
      <c r="G63" s="21" t="n">
        <f aca="false">вересень!G63</f>
        <v>49.79</v>
      </c>
      <c r="H63" s="21" t="n">
        <f aca="false">вересень!H63</f>
        <v>0</v>
      </c>
      <c r="I63" s="22" t="n">
        <f aca="false">вересень!I63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3477.34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вересень!B64</f>
        <v>Родзик С.Г.</v>
      </c>
      <c r="C64" s="18" t="str">
        <f aca="false">вересень!C64</f>
        <v>2056</v>
      </c>
      <c r="D64" s="19" t="n">
        <f aca="false">вересень!P64</f>
        <v>1557.53</v>
      </c>
      <c r="E64" s="19" t="n">
        <f aca="false">вересень!Q64</f>
        <v>0</v>
      </c>
      <c r="F64" s="20" t="n">
        <f aca="false">вересень!F64</f>
        <v>0</v>
      </c>
      <c r="G64" s="21" t="n">
        <f aca="false">вересень!G64</f>
        <v>65.2</v>
      </c>
      <c r="H64" s="21" t="n">
        <f aca="false">вересень!H64</f>
        <v>0</v>
      </c>
      <c r="I64" s="22" t="n">
        <f aca="false">вересень!I64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1824.85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вересень!B65</f>
        <v>Никоненко Н.С.</v>
      </c>
      <c r="C65" s="18" t="str">
        <f aca="false">вересень!C65</f>
        <v>2057</v>
      </c>
      <c r="D65" s="19" t="n">
        <f aca="false">вересень!P65</f>
        <v>3192.85</v>
      </c>
      <c r="E65" s="19" t="n">
        <f aca="false">вересень!Q65</f>
        <v>0</v>
      </c>
      <c r="F65" s="20" t="n">
        <f aca="false">вересень!F65</f>
        <v>0</v>
      </c>
      <c r="G65" s="21" t="n">
        <f aca="false">вересень!G65</f>
        <v>61.88</v>
      </c>
      <c r="H65" s="21" t="n">
        <f aca="false">вересень!H65</f>
        <v>0</v>
      </c>
      <c r="I65" s="22" t="n">
        <f aca="false">вересень!I65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3446.56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вересень!B66</f>
        <v>Чепок О.В.</v>
      </c>
      <c r="C66" s="18" t="str">
        <f aca="false">вересень!C66</f>
        <v>2058</v>
      </c>
      <c r="D66" s="19" t="n">
        <f aca="false">вересень!P66</f>
        <v>3909.41</v>
      </c>
      <c r="E66" s="19" t="n">
        <f aca="false">вересень!Q66</f>
        <v>0</v>
      </c>
      <c r="F66" s="20" t="n">
        <f aca="false">вересень!F66</f>
        <v>0</v>
      </c>
      <c r="G66" s="21" t="n">
        <f aca="false">вересень!G66</f>
        <v>35</v>
      </c>
      <c r="H66" s="21" t="n">
        <f aca="false">вересень!H66</f>
        <v>0</v>
      </c>
      <c r="I66" s="22" t="n">
        <f aca="false">вересень!I66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4052.91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вересень!B67</f>
        <v>Горошенко Л.С.</v>
      </c>
      <c r="C67" s="18" t="str">
        <f aca="false">вересень!C67</f>
        <v>2059</v>
      </c>
      <c r="D67" s="19" t="n">
        <f aca="false">вересень!P67</f>
        <v>0</v>
      </c>
      <c r="E67" s="19" t="n">
        <f aca="false">вересень!Q67</f>
        <v>1559.46</v>
      </c>
      <c r="F67" s="20" t="n">
        <f aca="false">вересень!F67</f>
        <v>0</v>
      </c>
      <c r="G67" s="21" t="n">
        <f aca="false">вересень!G67</f>
        <v>49.3</v>
      </c>
      <c r="H67" s="21" t="n">
        <f aca="false">вересень!H67</f>
        <v>0</v>
      </c>
      <c r="I67" s="22" t="n">
        <f aca="false">вересень!I67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/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1357.33</v>
      </c>
    </row>
    <row r="68" customFormat="false" ht="15" hidden="false" customHeight="false" outlineLevel="0" collapsed="false">
      <c r="A68" s="17" t="s">
        <v>200</v>
      </c>
      <c r="B68" s="18" t="str">
        <f aca="false">вересень!B68</f>
        <v>Неграчева Л.Г.</v>
      </c>
      <c r="C68" s="18" t="str">
        <f aca="false">вересень!C68</f>
        <v>2060</v>
      </c>
      <c r="D68" s="19" t="n">
        <f aca="false">вересень!P68</f>
        <v>348.319999999999</v>
      </c>
      <c r="E68" s="19" t="n">
        <f aca="false">вересень!Q68</f>
        <v>0</v>
      </c>
      <c r="F68" s="20" t="n">
        <f aca="false">вересень!F68</f>
        <v>0</v>
      </c>
      <c r="G68" s="21" t="n">
        <f aca="false">вересень!G68</f>
        <v>66.6</v>
      </c>
      <c r="H68" s="21" t="n">
        <f aca="false">вересень!H68</f>
        <v>0</v>
      </c>
      <c r="I68" s="22" t="n">
        <f aca="false">вересень!I68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621.379999999999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вересень!B69</f>
        <v>Брежнєв О.В.</v>
      </c>
      <c r="C69" s="18" t="str">
        <f aca="false">вересень!C69</f>
        <v>2061</v>
      </c>
      <c r="D69" s="19" t="n">
        <f aca="false">вересень!P69</f>
        <v>3554.07</v>
      </c>
      <c r="E69" s="19" t="n">
        <f aca="false">вересень!Q69</f>
        <v>0</v>
      </c>
      <c r="F69" s="20" t="n">
        <f aca="false">вересень!F69</f>
        <v>0</v>
      </c>
      <c r="G69" s="21" t="n">
        <f aca="false">вересень!G69</f>
        <v>61.88</v>
      </c>
      <c r="H69" s="21" t="n">
        <f aca="false">вересень!H69</f>
        <v>0</v>
      </c>
      <c r="I69" s="22" t="n">
        <f aca="false">вересень!I69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3807.78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вересень!B70</f>
        <v>Горбатюк К.О.</v>
      </c>
      <c r="C70" s="18" t="str">
        <f aca="false">вересень!C70</f>
        <v>2062</v>
      </c>
      <c r="D70" s="19" t="n">
        <f aca="false">вересень!P70</f>
        <v>2137.14</v>
      </c>
      <c r="E70" s="19" t="n">
        <f aca="false">вересень!Q70</f>
        <v>0</v>
      </c>
      <c r="F70" s="20" t="n">
        <f aca="false">вересень!F70</f>
        <v>0</v>
      </c>
      <c r="G70" s="21" t="n">
        <f aca="false">вересень!G70</f>
        <v>34.96</v>
      </c>
      <c r="H70" s="21" t="n">
        <f aca="false">вересень!H70</f>
        <v>0</v>
      </c>
      <c r="I70" s="22" t="n">
        <f aca="false">вересень!I70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2280.48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вересень!B71</f>
        <v>Божик М.О.</v>
      </c>
      <c r="C71" s="18" t="str">
        <f aca="false">вересень!C71</f>
        <v>2063</v>
      </c>
      <c r="D71" s="19" t="n">
        <f aca="false">вересень!P71</f>
        <v>834.08</v>
      </c>
      <c r="E71" s="19" t="n">
        <f aca="false">вересень!Q71</f>
        <v>0</v>
      </c>
      <c r="F71" s="20" t="n">
        <f aca="false">вересень!F71</f>
        <v>0</v>
      </c>
      <c r="G71" s="21" t="n">
        <f aca="false">вересень!G71</f>
        <v>50.03</v>
      </c>
      <c r="H71" s="21" t="n">
        <f aca="false">вересень!H71</f>
        <v>0</v>
      </c>
      <c r="I71" s="22" t="n">
        <f aca="false">вересень!I71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1039.2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вересень!B72</f>
        <v>Зайченко С.Л</v>
      </c>
      <c r="C72" s="18" t="str">
        <f aca="false">вересень!C72</f>
        <v>2064</v>
      </c>
      <c r="D72" s="19" t="n">
        <f aca="false">вересень!P72</f>
        <v>5312.73</v>
      </c>
      <c r="E72" s="19" t="n">
        <f aca="false">вересень!Q72</f>
        <v>0</v>
      </c>
      <c r="F72" s="20" t="n">
        <f aca="false">вересень!F72</f>
        <v>0</v>
      </c>
      <c r="G72" s="21" t="n">
        <f aca="false">вересень!G72</f>
        <v>65.15</v>
      </c>
      <c r="H72" s="21" t="n">
        <f aca="false">вересень!H72</f>
        <v>0</v>
      </c>
      <c r="I72" s="22" t="n">
        <f aca="false">вересень!I72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5579.85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вересень!B73</f>
        <v>Бессараб Н.Г.</v>
      </c>
      <c r="C73" s="18" t="str">
        <f aca="false">вересень!C73</f>
        <v>2065</v>
      </c>
      <c r="D73" s="19" t="n">
        <f aca="false">вересень!P73</f>
        <v>0</v>
      </c>
      <c r="E73" s="19" t="n">
        <f aca="false">вересень!Q73</f>
        <v>71.49</v>
      </c>
      <c r="F73" s="20" t="n">
        <f aca="false">вересень!F73</f>
        <v>0</v>
      </c>
      <c r="G73" s="21" t="n">
        <f aca="false">вересень!G73</f>
        <v>63.41</v>
      </c>
      <c r="H73" s="21" t="n">
        <f aca="false">вересень!H73</f>
        <v>0</v>
      </c>
      <c r="I73" s="22" t="n">
        <f aca="false">вересень!I73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/>
      <c r="P73" s="25" t="n">
        <f aca="false">IF(D73=0,IF((N73-E73-O73)&gt;0,(N73-E73-O73),0),IF((D73+N73-O73)&gt;0,(D73+N73-O73),0))</f>
        <v>188.49</v>
      </c>
      <c r="Q73" s="25" t="n">
        <f aca="false">IF(E73=0,IF((D73+N73-O73)&lt;0,ABS(D73+N73-O73),0),IF((N73-E73-O73)&lt;0,ABS(N73-E73-O73),0))</f>
        <v>0</v>
      </c>
    </row>
    <row r="74" customFormat="false" ht="15" hidden="false" customHeight="false" outlineLevel="0" collapsed="false">
      <c r="A74" s="17" t="s">
        <v>218</v>
      </c>
      <c r="B74" s="18" t="str">
        <f aca="false">вересень!B74</f>
        <v>Прохорова С.І.</v>
      </c>
      <c r="C74" s="18" t="str">
        <f aca="false">вересень!C74</f>
        <v>2066</v>
      </c>
      <c r="D74" s="19" t="n">
        <f aca="false">вересень!P74</f>
        <v>2672.51</v>
      </c>
      <c r="E74" s="19" t="n">
        <f aca="false">вересень!Q74</f>
        <v>0</v>
      </c>
      <c r="F74" s="20" t="n">
        <f aca="false">вересень!F74</f>
        <v>0</v>
      </c>
      <c r="G74" s="21" t="n">
        <f aca="false">вересень!G74</f>
        <v>35.19</v>
      </c>
      <c r="H74" s="21" t="n">
        <f aca="false">вересень!H74</f>
        <v>0</v>
      </c>
      <c r="I74" s="22" t="n">
        <f aca="false">вересень!I74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2816.79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вересень!B75</f>
        <v>Браташ А.Ф.</v>
      </c>
      <c r="C75" s="18" t="str">
        <f aca="false">вересень!C75</f>
        <v>2067</v>
      </c>
      <c r="D75" s="19" t="n">
        <f aca="false">вересень!P75</f>
        <v>4358.22</v>
      </c>
      <c r="E75" s="19" t="n">
        <f aca="false">вересень!Q75</f>
        <v>0</v>
      </c>
      <c r="F75" s="20" t="n">
        <f aca="false">вересень!F75</f>
        <v>0</v>
      </c>
      <c r="G75" s="21" t="n">
        <f aca="false">вересень!G75</f>
        <v>49.89</v>
      </c>
      <c r="H75" s="21" t="n">
        <f aca="false">вересень!H75</f>
        <v>0</v>
      </c>
      <c r="I75" s="22" t="n">
        <f aca="false">вересень!I75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4562.77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вересень!B76</f>
        <v>Кудас Д.О.</v>
      </c>
      <c r="C76" s="18" t="str">
        <f aca="false">вересень!C76</f>
        <v>2068</v>
      </c>
      <c r="D76" s="19" t="n">
        <f aca="false">вересень!P76</f>
        <v>865.58</v>
      </c>
      <c r="E76" s="19" t="n">
        <f aca="false">вересень!Q76</f>
        <v>0</v>
      </c>
      <c r="F76" s="20" t="n">
        <f aca="false">вересень!F76</f>
        <v>0</v>
      </c>
      <c r="G76" s="21" t="n">
        <f aca="false">вересень!G76</f>
        <v>65.03</v>
      </c>
      <c r="H76" s="21" t="n">
        <f aca="false">вересень!H76</f>
        <v>0</v>
      </c>
      <c r="I76" s="22" t="n">
        <f aca="false">вересень!I76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1132.2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вересень!B77</f>
        <v>Шушлєбін Б.В.</v>
      </c>
      <c r="C77" s="18" t="str">
        <f aca="false">вересень!C77</f>
        <v>2069</v>
      </c>
      <c r="D77" s="19" t="n">
        <f aca="false">вересень!P77</f>
        <v>998.46</v>
      </c>
      <c r="E77" s="19" t="n">
        <f aca="false">вересень!Q77</f>
        <v>0</v>
      </c>
      <c r="F77" s="20" t="n">
        <f aca="false">вересень!F77</f>
        <v>0</v>
      </c>
      <c r="G77" s="21" t="n">
        <f aca="false">вересень!G77</f>
        <v>62.11</v>
      </c>
      <c r="H77" s="21" t="n">
        <f aca="false">вересень!H77</f>
        <v>0</v>
      </c>
      <c r="I77" s="22" t="n">
        <f aca="false">вересень!I77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1253.11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вересень!B78</f>
        <v>Бородіна І.О.</v>
      </c>
      <c r="C78" s="18" t="str">
        <f aca="false">вересень!C78</f>
        <v>2070</v>
      </c>
      <c r="D78" s="19" t="n">
        <f aca="false">вересень!P78</f>
        <v>2902.56</v>
      </c>
      <c r="E78" s="19" t="n">
        <f aca="false">вересень!Q78</f>
        <v>0</v>
      </c>
      <c r="F78" s="20" t="n">
        <f aca="false">вересень!F78</f>
        <v>0</v>
      </c>
      <c r="G78" s="21" t="n">
        <f aca="false">вересень!G78</f>
        <v>34.9</v>
      </c>
      <c r="H78" s="21" t="n">
        <f aca="false">вересень!H78</f>
        <v>0</v>
      </c>
      <c r="I78" s="22" t="n">
        <f aca="false">вересень!I78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3045.65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вересень!B79</f>
        <v>Котурга Л.Й.</v>
      </c>
      <c r="C79" s="18" t="str">
        <f aca="false">вересень!C79</f>
        <v>2071</v>
      </c>
      <c r="D79" s="19" t="n">
        <f aca="false">вересень!P79</f>
        <v>2255.66</v>
      </c>
      <c r="E79" s="19" t="n">
        <f aca="false">вересень!Q79</f>
        <v>0</v>
      </c>
      <c r="F79" s="20" t="n">
        <f aca="false">вересень!F79</f>
        <v>0</v>
      </c>
      <c r="G79" s="21" t="n">
        <f aca="false">вересень!G79</f>
        <v>49.2</v>
      </c>
      <c r="H79" s="21" t="n">
        <f aca="false">вересень!H79</f>
        <v>0</v>
      </c>
      <c r="I79" s="22" t="n">
        <f aca="false">вересень!I79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2457.38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вересень!B80</f>
        <v>Горова О.І.</v>
      </c>
      <c r="C80" s="18" t="str">
        <f aca="false">вересень!C80</f>
        <v>2072</v>
      </c>
      <c r="D80" s="19" t="n">
        <f aca="false">вересень!P80</f>
        <v>4090.81</v>
      </c>
      <c r="E80" s="19" t="n">
        <f aca="false">вересень!Q80</f>
        <v>0</v>
      </c>
      <c r="F80" s="20" t="n">
        <f aca="false">вересень!F80</f>
        <v>0</v>
      </c>
      <c r="G80" s="21" t="n">
        <f aca="false">вересень!G80</f>
        <v>65.43</v>
      </c>
      <c r="H80" s="21" t="n">
        <f aca="false">вересень!H80</f>
        <v>0</v>
      </c>
      <c r="I80" s="22" t="n">
        <f aca="false">вересень!I80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4359.07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вересень!B81</f>
        <v>Рибакевич М.П.</v>
      </c>
      <c r="C81" s="18" t="str">
        <f aca="false">вересень!C81</f>
        <v>3073</v>
      </c>
      <c r="D81" s="19" t="n">
        <f aca="false">вересень!P81</f>
        <v>4502.15</v>
      </c>
      <c r="E81" s="19" t="n">
        <f aca="false">вересень!Q81</f>
        <v>0</v>
      </c>
      <c r="F81" s="20" t="n">
        <f aca="false">вересень!F81</f>
        <v>0</v>
      </c>
      <c r="G81" s="21" t="n">
        <f aca="false">вересень!G81</f>
        <v>64.5</v>
      </c>
      <c r="H81" s="21" t="n">
        <f aca="false">вересень!H81</f>
        <v>0</v>
      </c>
      <c r="I81" s="22" t="n">
        <f aca="false">вересень!I81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4766.6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вересень!B82</f>
        <v>Башкалов В.В.</v>
      </c>
      <c r="C82" s="18" t="str">
        <f aca="false">вересень!C82</f>
        <v>3074</v>
      </c>
      <c r="D82" s="19" t="n">
        <f aca="false">вересень!P82</f>
        <v>609.52</v>
      </c>
      <c r="E82" s="19" t="n">
        <f aca="false">вересень!Q82</f>
        <v>0</v>
      </c>
      <c r="F82" s="20" t="n">
        <f aca="false">вересень!F82</f>
        <v>0</v>
      </c>
      <c r="G82" s="21" t="n">
        <f aca="false">вересень!G82</f>
        <v>50.8</v>
      </c>
      <c r="H82" s="21" t="n">
        <f aca="false">вересень!H82</f>
        <v>0</v>
      </c>
      <c r="I82" s="22" t="n">
        <f aca="false">вересень!I82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817.8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вересень!B83</f>
        <v>Тіхенко Г.Д.</v>
      </c>
      <c r="C83" s="18" t="str">
        <f aca="false">вересень!C83</f>
        <v>3075</v>
      </c>
      <c r="D83" s="19" t="n">
        <f aca="false">вересень!P83</f>
        <v>2154.08</v>
      </c>
      <c r="E83" s="19" t="n">
        <f aca="false">вересень!Q83</f>
        <v>0</v>
      </c>
      <c r="F83" s="20" t="n">
        <f aca="false">вересень!F83</f>
        <v>0</v>
      </c>
      <c r="G83" s="21" t="n">
        <f aca="false">вересень!G83</f>
        <v>34.9</v>
      </c>
      <c r="H83" s="21" t="n">
        <f aca="false">вересень!H83</f>
        <v>0</v>
      </c>
      <c r="I83" s="22" t="n">
        <f aca="false">вересень!I83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2297.17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вересень!B84</f>
        <v>Головченко В.Г.</v>
      </c>
      <c r="C84" s="18" t="str">
        <f aca="false">вересень!C84</f>
        <v>3076</v>
      </c>
      <c r="D84" s="19" t="n">
        <f aca="false">вересень!P84</f>
        <v>448.48</v>
      </c>
      <c r="E84" s="19" t="n">
        <f aca="false">вересень!Q84</f>
        <v>0</v>
      </c>
      <c r="F84" s="20" t="n">
        <f aca="false">вересень!F84</f>
        <v>0</v>
      </c>
      <c r="G84" s="21" t="n">
        <f aca="false">вересень!G84</f>
        <v>61</v>
      </c>
      <c r="H84" s="21" t="n">
        <f aca="false">вересень!H84</f>
        <v>0</v>
      </c>
      <c r="I84" s="22" t="n">
        <f aca="false">вересень!I84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698.58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вересень!B85</f>
        <v>Семанішина Є.С.</v>
      </c>
      <c r="C85" s="18" t="str">
        <f aca="false">вересень!C85</f>
        <v>3077</v>
      </c>
      <c r="D85" s="19" t="n">
        <f aca="false">вересень!P85</f>
        <v>3959.5</v>
      </c>
      <c r="E85" s="19" t="n">
        <f aca="false">вересень!Q85</f>
        <v>0</v>
      </c>
      <c r="F85" s="20" t="n">
        <f aca="false">вересень!F85</f>
        <v>0</v>
      </c>
      <c r="G85" s="21" t="n">
        <f aca="false">вересень!G85</f>
        <v>64.5</v>
      </c>
      <c r="H85" s="21" t="n">
        <f aca="false">вересень!H85</f>
        <v>0</v>
      </c>
      <c r="I85" s="22" t="n">
        <f aca="false">вересень!I85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4223.95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вересень!B86</f>
        <v>Зінченко Ю.В.</v>
      </c>
      <c r="C86" s="18" t="str">
        <f aca="false">вересень!C86</f>
        <v>3078</v>
      </c>
      <c r="D86" s="19" t="n">
        <f aca="false">вересень!P86</f>
        <v>582.78</v>
      </c>
      <c r="E86" s="19" t="n">
        <f aca="false">вересень!Q86</f>
        <v>0</v>
      </c>
      <c r="F86" s="20" t="n">
        <f aca="false">вересень!F86</f>
        <v>0</v>
      </c>
      <c r="G86" s="21" t="n">
        <f aca="false">вересень!G86</f>
        <v>49.3</v>
      </c>
      <c r="H86" s="21" t="n">
        <f aca="false">вересень!H86</f>
        <v>0</v>
      </c>
      <c r="I86" s="22" t="n">
        <f aca="false">вересень!I86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784.91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вересень!B87</f>
        <v>Рилова Г.П.</v>
      </c>
      <c r="C87" s="18" t="str">
        <f aca="false">вересень!C87</f>
        <v>3079</v>
      </c>
      <c r="D87" s="19" t="n">
        <f aca="false">вересень!P87</f>
        <v>123.9</v>
      </c>
      <c r="E87" s="19" t="n">
        <f aca="false">вересень!Q87</f>
        <v>0</v>
      </c>
      <c r="F87" s="20" t="n">
        <f aca="false">вересень!F87</f>
        <v>0</v>
      </c>
      <c r="G87" s="21" t="n">
        <f aca="false">вересень!G87</f>
        <v>35</v>
      </c>
      <c r="H87" s="21" t="n">
        <f aca="false">вересень!H87</f>
        <v>0</v>
      </c>
      <c r="I87" s="22" t="n">
        <f aca="false">вересень!I87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/>
      <c r="P87" s="25" t="n">
        <f aca="false">IF(D87=0,IF((N87-E87-O87)&gt;0,(N87-E87-O87),0),IF((D87+N87-O87)&gt;0,(D87+N87-O87),0))</f>
        <v>267.4</v>
      </c>
      <c r="Q87" s="25" t="n">
        <f aca="false">IF(E87=0,IF((D87+N87-O87)&lt;0,ABS(D87+N87-O87),0),IF((N87-E87-O87)&lt;0,ABS(N87-E87-O87),0))</f>
        <v>0</v>
      </c>
    </row>
    <row r="88" customFormat="false" ht="15" hidden="false" customHeight="false" outlineLevel="0" collapsed="false">
      <c r="A88" s="17" t="s">
        <v>260</v>
      </c>
      <c r="B88" s="18" t="str">
        <f aca="false">вересень!B88</f>
        <v>Ленський І.О.</v>
      </c>
      <c r="C88" s="18" t="str">
        <f aca="false">вересень!C88</f>
        <v>3080</v>
      </c>
      <c r="D88" s="19" t="n">
        <f aca="false">вересень!P88</f>
        <v>976.87</v>
      </c>
      <c r="E88" s="19" t="n">
        <f aca="false">вересень!Q88</f>
        <v>0</v>
      </c>
      <c r="F88" s="20" t="n">
        <f aca="false">вересень!F88</f>
        <v>0</v>
      </c>
      <c r="G88" s="21" t="n">
        <f aca="false">вересень!G88</f>
        <v>61.8</v>
      </c>
      <c r="H88" s="21" t="n">
        <f aca="false">вересень!H88</f>
        <v>0</v>
      </c>
      <c r="I88" s="22" t="n">
        <f aca="false">вересень!I88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/>
      <c r="P88" s="25" t="n">
        <f aca="false">IF(D88=0,IF((N88-E88-O88)&gt;0,(N88-E88-O88),0),IF((D88+N88-O88)&gt;0,(D88+N88-O88),0))</f>
        <v>1230.25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вересень!B89</f>
        <v>Слюсар О.О.</v>
      </c>
      <c r="C89" s="18" t="str">
        <f aca="false">вересень!C89</f>
        <v>3081</v>
      </c>
      <c r="D89" s="19" t="n">
        <f aca="false">вересень!P89</f>
        <v>5261.93</v>
      </c>
      <c r="E89" s="19" t="n">
        <f aca="false">вересень!Q89</f>
        <v>0</v>
      </c>
      <c r="F89" s="20" t="n">
        <f aca="false">вересень!F89</f>
        <v>0</v>
      </c>
      <c r="G89" s="21" t="n">
        <f aca="false">вересень!G89</f>
        <v>65.81</v>
      </c>
      <c r="H89" s="21" t="n">
        <f aca="false">вересень!H89</f>
        <v>0</v>
      </c>
      <c r="I89" s="22" t="n">
        <f aca="false">вересень!I89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5531.75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вересень!B90</f>
        <v>Кісельов Г.О.</v>
      </c>
      <c r="C90" s="18" t="str">
        <f aca="false">вересень!C90</f>
        <v>3082</v>
      </c>
      <c r="D90" s="19" t="n">
        <f aca="false">вересень!P90</f>
        <v>643</v>
      </c>
      <c r="E90" s="19" t="n">
        <f aca="false">вересень!Q90</f>
        <v>0</v>
      </c>
      <c r="F90" s="20" t="n">
        <f aca="false">вересень!F90</f>
        <v>0</v>
      </c>
      <c r="G90" s="21" t="n">
        <f aca="false">вересень!G90</f>
        <v>49.7</v>
      </c>
      <c r="H90" s="21" t="n">
        <f aca="false">вересень!H90</f>
        <v>0</v>
      </c>
      <c r="I90" s="22" t="n">
        <f aca="false">вересень!I90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846.77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вересень!B91</f>
        <v>Губанова Н.С.</v>
      </c>
      <c r="C91" s="18" t="str">
        <f aca="false">вересень!C91</f>
        <v>3083</v>
      </c>
      <c r="D91" s="19" t="n">
        <f aca="false">вересень!P91</f>
        <v>1980.3</v>
      </c>
      <c r="E91" s="19" t="n">
        <f aca="false">вересень!Q91</f>
        <v>0</v>
      </c>
      <c r="F91" s="20" t="n">
        <f aca="false">вересень!F91</f>
        <v>0</v>
      </c>
      <c r="G91" s="21" t="n">
        <f aca="false">вересень!G91</f>
        <v>34.5</v>
      </c>
      <c r="H91" s="21" t="n">
        <f aca="false">вересень!H91</f>
        <v>0</v>
      </c>
      <c r="I91" s="22" t="n">
        <f aca="false">вересень!I91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2121.75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вересень!B92</f>
        <v>Попова А.В.</v>
      </c>
      <c r="C92" s="18" t="str">
        <f aca="false">вересень!C92</f>
        <v>3084</v>
      </c>
      <c r="D92" s="19" t="n">
        <f aca="false">вересень!P92</f>
        <v>2301.75</v>
      </c>
      <c r="E92" s="19" t="n">
        <f aca="false">вересень!Q92</f>
        <v>0</v>
      </c>
      <c r="F92" s="20" t="n">
        <f aca="false">вересень!F92</f>
        <v>0</v>
      </c>
      <c r="G92" s="21" t="n">
        <f aca="false">вересень!G92</f>
        <v>62.4</v>
      </c>
      <c r="H92" s="21" t="n">
        <f aca="false">вересень!H92</f>
        <v>0</v>
      </c>
      <c r="I92" s="22" t="n">
        <f aca="false">вересень!I92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2557.59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вересень!B93</f>
        <v>Стародубець О.К.</v>
      </c>
      <c r="C93" s="18" t="str">
        <f aca="false">вересень!C93</f>
        <v>3085</v>
      </c>
      <c r="D93" s="19" t="n">
        <f aca="false">вересень!P93</f>
        <v>5400.06</v>
      </c>
      <c r="E93" s="19" t="n">
        <f aca="false">вересень!Q93</f>
        <v>0</v>
      </c>
      <c r="F93" s="20" t="n">
        <f aca="false">вересень!F93</f>
        <v>0</v>
      </c>
      <c r="G93" s="21" t="n">
        <f aca="false">вересень!G93</f>
        <v>66.46</v>
      </c>
      <c r="H93" s="21" t="n">
        <f aca="false">вересень!H93</f>
        <v>0</v>
      </c>
      <c r="I93" s="22" t="n">
        <f aca="false">вересень!I93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5672.55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вересень!B94</f>
        <v>Сакун Т.А.</v>
      </c>
      <c r="C94" s="18" t="str">
        <f aca="false">вересень!C94</f>
        <v>3086</v>
      </c>
      <c r="D94" s="19" t="n">
        <f aca="false">вересень!P94</f>
        <v>4281.59</v>
      </c>
      <c r="E94" s="19" t="n">
        <f aca="false">вересень!Q94</f>
        <v>0</v>
      </c>
      <c r="F94" s="20" t="n">
        <f aca="false">вересень!F94</f>
        <v>0</v>
      </c>
      <c r="G94" s="21" t="n">
        <f aca="false">вересень!G94</f>
        <v>49.73</v>
      </c>
      <c r="H94" s="21" t="n">
        <f aca="false">вересень!H94</f>
        <v>0</v>
      </c>
      <c r="I94" s="22" t="n">
        <f aca="false">вересень!I94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4485.48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вересень!B95</f>
        <v>Фатєєв Ю.О.</v>
      </c>
      <c r="C95" s="18" t="str">
        <f aca="false">вересень!C95</f>
        <v>3087</v>
      </c>
      <c r="D95" s="19" t="n">
        <f aca="false">вересень!P95</f>
        <v>5080.26</v>
      </c>
      <c r="E95" s="19" t="n">
        <f aca="false">вересень!Q95</f>
        <v>0</v>
      </c>
      <c r="F95" s="20" t="n">
        <f aca="false">вересень!F95</f>
        <v>0</v>
      </c>
      <c r="G95" s="21" t="n">
        <f aca="false">вересень!G95</f>
        <v>34.9</v>
      </c>
      <c r="H95" s="21" t="n">
        <f aca="false">вересень!H95</f>
        <v>0</v>
      </c>
      <c r="I95" s="22" t="n">
        <f aca="false">вересень!I95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5223.35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вересень!B96</f>
        <v>Лукашов Є.В.</v>
      </c>
      <c r="C96" s="18" t="str">
        <f aca="false">вересень!C96</f>
        <v>3088</v>
      </c>
      <c r="D96" s="19" t="n">
        <f aca="false">вересень!P96</f>
        <v>9725.06000000003</v>
      </c>
      <c r="E96" s="19" t="n">
        <f aca="false">вересень!Q96</f>
        <v>0</v>
      </c>
      <c r="F96" s="20" t="n">
        <f aca="false">вересень!F96</f>
        <v>0</v>
      </c>
      <c r="G96" s="21" t="n">
        <f aca="false">вересень!G96</f>
        <v>61.9</v>
      </c>
      <c r="H96" s="21" t="n">
        <f aca="false">вересень!H96</f>
        <v>0</v>
      </c>
      <c r="I96" s="22" t="n">
        <f aca="false">вересень!I96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9978.85000000003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вересень!B97</f>
        <v>Довбета В.М.</v>
      </c>
      <c r="C97" s="18" t="str">
        <f aca="false">вересень!C97</f>
        <v>3089</v>
      </c>
      <c r="D97" s="19" t="n">
        <f aca="false">вересень!P97</f>
        <v>224.240000000001</v>
      </c>
      <c r="E97" s="19" t="n">
        <f aca="false">вересень!Q97</f>
        <v>0</v>
      </c>
      <c r="F97" s="20" t="n">
        <f aca="false">вересень!F97</f>
        <v>0</v>
      </c>
      <c r="G97" s="21" t="n">
        <f aca="false">вересень!G97</f>
        <v>65.3</v>
      </c>
      <c r="H97" s="21" t="n">
        <f aca="false">вересень!H97</f>
        <v>0</v>
      </c>
      <c r="I97" s="22" t="n">
        <f aca="false">вересень!I97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/>
      <c r="P97" s="25" t="n">
        <f aca="false">IF(D97=0,IF((N97-E97-O97)&gt;0,(N97-E97-O97),0),IF((D97+N97-O97)&gt;0,(D97+N97-O97),0))</f>
        <v>491.970000000001</v>
      </c>
      <c r="Q97" s="25" t="n">
        <f aca="false">IF(E97=0,IF((D97+N97-O97)&lt;0,ABS(D97+N97-O97),0),IF((N97-E97-O97)&lt;0,ABS(N97-E97-O97),0))</f>
        <v>0</v>
      </c>
    </row>
    <row r="98" customFormat="false" ht="15" hidden="false" customHeight="false" outlineLevel="0" collapsed="false">
      <c r="A98" s="17" t="s">
        <v>290</v>
      </c>
      <c r="B98" s="18" t="str">
        <f aca="false">вересень!B98</f>
        <v>Черняк К.В.</v>
      </c>
      <c r="C98" s="18" t="str">
        <f aca="false">вересень!C98</f>
        <v>3090</v>
      </c>
      <c r="D98" s="19" t="n">
        <f aca="false">вересень!P98</f>
        <v>200.2</v>
      </c>
      <c r="E98" s="19" t="n">
        <f aca="false">вересень!Q98</f>
        <v>0</v>
      </c>
      <c r="F98" s="20" t="n">
        <f aca="false">вересень!F98</f>
        <v>0</v>
      </c>
      <c r="G98" s="21" t="n">
        <f aca="false">вересень!G98</f>
        <v>49.48</v>
      </c>
      <c r="H98" s="21" t="n">
        <f aca="false">вересень!H98</f>
        <v>0</v>
      </c>
      <c r="I98" s="22" t="n">
        <f aca="false">вересень!I98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403.07</v>
      </c>
      <c r="Q98" s="25" t="n">
        <f aca="false">IF(E98=0,IF((D98+N98-O98)&lt;0,ABS(D98+N98-O98),0),IF((N98-E98-O98)&lt;0,ABS(N98-E98-O98),0))</f>
        <v>0</v>
      </c>
    </row>
    <row r="99" customFormat="false" ht="15" hidden="false" customHeight="false" outlineLevel="0" collapsed="false">
      <c r="A99" s="17" t="s">
        <v>293</v>
      </c>
      <c r="B99" s="18" t="str">
        <f aca="false">вересень!B99</f>
        <v>Удінцева Г.А.</v>
      </c>
      <c r="C99" s="18" t="str">
        <f aca="false">вересень!C99</f>
        <v>3091</v>
      </c>
      <c r="D99" s="19" t="n">
        <f aca="false">вересень!P99</f>
        <v>573.67</v>
      </c>
      <c r="E99" s="19" t="n">
        <f aca="false">вересень!Q99</f>
        <v>0</v>
      </c>
      <c r="F99" s="20" t="n">
        <f aca="false">вересень!F99</f>
        <v>0</v>
      </c>
      <c r="G99" s="21" t="n">
        <f aca="false">вересень!G99</f>
        <v>35.1</v>
      </c>
      <c r="H99" s="21" t="n">
        <f aca="false">вересень!H99</f>
        <v>0</v>
      </c>
      <c r="I99" s="22" t="n">
        <f aca="false">вересень!I99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717.58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вересень!B100</f>
        <v>Липка Г.Ю.</v>
      </c>
      <c r="C100" s="18" t="str">
        <f aca="false">вересень!C100</f>
        <v>3092</v>
      </c>
      <c r="D100" s="19" t="n">
        <f aca="false">вересень!P100</f>
        <v>5959.76</v>
      </c>
      <c r="E100" s="19" t="n">
        <f aca="false">вересень!Q100</f>
        <v>0</v>
      </c>
      <c r="F100" s="20" t="n">
        <f aca="false">вересень!F100</f>
        <v>0</v>
      </c>
      <c r="G100" s="21" t="n">
        <f aca="false">вересень!G100</f>
        <v>63.2</v>
      </c>
      <c r="H100" s="21" t="n">
        <f aca="false">вересень!H100</f>
        <v>0</v>
      </c>
      <c r="I100" s="22" t="n">
        <f aca="false">вересень!I100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6218.88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вересень!B101</f>
        <v>Утьосов Д.М.</v>
      </c>
      <c r="C101" s="18" t="str">
        <f aca="false">вересень!C101</f>
        <v>3093</v>
      </c>
      <c r="D101" s="19" t="n">
        <f aca="false">вересень!P101</f>
        <v>77.570000000002</v>
      </c>
      <c r="E101" s="19" t="n">
        <f aca="false">вересень!Q101</f>
        <v>0</v>
      </c>
      <c r="F101" s="20" t="n">
        <f aca="false">вересень!F101</f>
        <v>0</v>
      </c>
      <c r="G101" s="21" t="n">
        <f aca="false">вересень!G101</f>
        <v>66.1</v>
      </c>
      <c r="H101" s="21" t="n">
        <f aca="false">вересень!H101</f>
        <v>0</v>
      </c>
      <c r="I101" s="22" t="n">
        <f aca="false">вересень!I101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348.580000000002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вересень!B102</f>
        <v>Стеценко Д.М.</v>
      </c>
      <c r="C102" s="18" t="str">
        <f aca="false">вересень!C102</f>
        <v>3094</v>
      </c>
      <c r="D102" s="19" t="n">
        <f aca="false">вересень!P102</f>
        <v>1837.69</v>
      </c>
      <c r="E102" s="19" t="n">
        <f aca="false">вересень!Q102</f>
        <v>0</v>
      </c>
      <c r="F102" s="20" t="n">
        <f aca="false">вересень!F102</f>
        <v>0</v>
      </c>
      <c r="G102" s="21" t="n">
        <f aca="false">вересень!G102</f>
        <v>49.8</v>
      </c>
      <c r="H102" s="21" t="n">
        <f aca="false">вересень!H102</f>
        <v>0</v>
      </c>
      <c r="I102" s="22" t="n">
        <f aca="false">вересень!I102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2041.87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вересень!B103</f>
        <v>Задніпряна О.М.</v>
      </c>
      <c r="C103" s="18" t="str">
        <f aca="false">вересень!C103</f>
        <v>3095</v>
      </c>
      <c r="D103" s="19" t="n">
        <f aca="false">вересень!P103</f>
        <v>2413.22</v>
      </c>
      <c r="E103" s="19" t="n">
        <f aca="false">вересень!Q103</f>
        <v>0</v>
      </c>
      <c r="F103" s="20" t="n">
        <f aca="false">вересень!F103</f>
        <v>0</v>
      </c>
      <c r="G103" s="21" t="n">
        <f aca="false">вересень!G103</f>
        <v>34.6</v>
      </c>
      <c r="H103" s="21" t="n">
        <f aca="false">вересень!H103</f>
        <v>0</v>
      </c>
      <c r="I103" s="22" t="n">
        <f aca="false">вересень!I103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2555.08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вересень!B104</f>
        <v>Геращенко М.Д.</v>
      </c>
      <c r="C104" s="18" t="str">
        <f aca="false">вересень!C104</f>
        <v>3096</v>
      </c>
      <c r="D104" s="19" t="n">
        <f aca="false">вересень!P104</f>
        <v>2109.24</v>
      </c>
      <c r="E104" s="19" t="n">
        <f aca="false">вересень!Q104</f>
        <v>0</v>
      </c>
      <c r="F104" s="20" t="n">
        <f aca="false">вересень!F104</f>
        <v>0</v>
      </c>
      <c r="G104" s="21" t="n">
        <f aca="false">вересень!G104</f>
        <v>62.6</v>
      </c>
      <c r="H104" s="21" t="n">
        <f aca="false">вересень!H104</f>
        <v>0</v>
      </c>
      <c r="I104" s="22" t="n">
        <f aca="false">вересень!I104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2365.9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вересень!B105</f>
        <v>Горб В.М.</v>
      </c>
      <c r="C105" s="18" t="str">
        <f aca="false">вересень!C105</f>
        <v>3097</v>
      </c>
      <c r="D105" s="19" t="n">
        <f aca="false">вересень!P105</f>
        <v>4029.91</v>
      </c>
      <c r="E105" s="19" t="n">
        <f aca="false">вересень!Q105</f>
        <v>0</v>
      </c>
      <c r="F105" s="20" t="n">
        <f aca="false">вересень!F105</f>
        <v>0</v>
      </c>
      <c r="G105" s="21" t="n">
        <f aca="false">вересень!G105</f>
        <v>65.57</v>
      </c>
      <c r="H105" s="21" t="n">
        <f aca="false">вересень!H105</f>
        <v>0</v>
      </c>
      <c r="I105" s="22" t="n">
        <f aca="false">вересень!I105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4298.75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вересень!B106</f>
        <v>Нойок Г.К.</v>
      </c>
      <c r="C106" s="18" t="str">
        <f aca="false">вересень!C106</f>
        <v>3098</v>
      </c>
      <c r="D106" s="19" t="n">
        <f aca="false">вересень!P106</f>
        <v>1851.29</v>
      </c>
      <c r="E106" s="19" t="n">
        <f aca="false">вересень!Q106</f>
        <v>0</v>
      </c>
      <c r="F106" s="20" t="n">
        <f aca="false">вересень!F106</f>
        <v>0</v>
      </c>
      <c r="G106" s="21" t="n">
        <f aca="false">вересень!G106</f>
        <v>49.8</v>
      </c>
      <c r="H106" s="21" t="n">
        <f aca="false">вересень!H106</f>
        <v>0</v>
      </c>
      <c r="I106" s="22" t="n">
        <f aca="false">вересень!I106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2055.47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вересень!B107</f>
        <v>Сафонова О.В.</v>
      </c>
      <c r="C107" s="18" t="str">
        <f aca="false">вересень!C107</f>
        <v>3099</v>
      </c>
      <c r="D107" s="19" t="n">
        <f aca="false">вересень!P107</f>
        <v>2100.53</v>
      </c>
      <c r="E107" s="19" t="n">
        <f aca="false">вересень!Q107</f>
        <v>0</v>
      </c>
      <c r="F107" s="20" t="n">
        <f aca="false">вересень!F107</f>
        <v>0</v>
      </c>
      <c r="G107" s="21" t="n">
        <f aca="false">вересень!G107</f>
        <v>34.9</v>
      </c>
      <c r="H107" s="21" t="n">
        <f aca="false">вересень!H107</f>
        <v>0</v>
      </c>
      <c r="I107" s="22" t="n">
        <f aca="false">вересень!I107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2243.62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вересень!B108</f>
        <v>Вінарська Н.П.</v>
      </c>
      <c r="C108" s="18" t="str">
        <f aca="false">вересень!C108</f>
        <v>30100</v>
      </c>
      <c r="D108" s="19" t="n">
        <f aca="false">вересень!P108</f>
        <v>5147.24</v>
      </c>
      <c r="E108" s="19" t="n">
        <f aca="false">вересень!Q108</f>
        <v>0</v>
      </c>
      <c r="F108" s="20" t="n">
        <f aca="false">вересень!F108</f>
        <v>0</v>
      </c>
      <c r="G108" s="21" t="n">
        <f aca="false">вересень!G108</f>
        <v>62.78</v>
      </c>
      <c r="H108" s="21" t="n">
        <f aca="false">вересень!H108</f>
        <v>0</v>
      </c>
      <c r="I108" s="22" t="n">
        <f aca="false">вересень!I108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5404.64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вересень!B109</f>
        <v>Чернова Н.І.</v>
      </c>
      <c r="C109" s="18" t="str">
        <f aca="false">вересень!C109</f>
        <v>30101</v>
      </c>
      <c r="D109" s="19" t="n">
        <f aca="false">вересень!P109</f>
        <v>5354.87</v>
      </c>
      <c r="E109" s="19" t="n">
        <f aca="false">вересень!Q109</f>
        <v>0</v>
      </c>
      <c r="F109" s="20" t="n">
        <f aca="false">вересень!F109</f>
        <v>0</v>
      </c>
      <c r="G109" s="21" t="n">
        <f aca="false">вересень!G109</f>
        <v>66.29</v>
      </c>
      <c r="H109" s="21" t="n">
        <f aca="false">вересень!H109</f>
        <v>0</v>
      </c>
      <c r="I109" s="22" t="n">
        <f aca="false">вересень!I109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5626.66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вересень!B110</f>
        <v>Кошева Н.П</v>
      </c>
      <c r="C110" s="18" t="str">
        <f aca="false">вересень!C110</f>
        <v>30102</v>
      </c>
      <c r="D110" s="19" t="n">
        <f aca="false">вересень!P110</f>
        <v>3714</v>
      </c>
      <c r="E110" s="19" t="n">
        <f aca="false">вересень!Q110</f>
        <v>0</v>
      </c>
      <c r="F110" s="20" t="n">
        <f aca="false">вересень!F110</f>
        <v>0</v>
      </c>
      <c r="G110" s="21" t="n">
        <f aca="false">вересень!G110</f>
        <v>50</v>
      </c>
      <c r="H110" s="21" t="n">
        <f aca="false">вересень!H110</f>
        <v>0</v>
      </c>
      <c r="I110" s="22" t="n">
        <f aca="false">вересень!I110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3919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вересень!B111</f>
        <v>Уривський Д.Б.</v>
      </c>
      <c r="C111" s="18" t="str">
        <f aca="false">вересень!C111</f>
        <v>30103</v>
      </c>
      <c r="D111" s="19" t="n">
        <f aca="false">вересень!P111</f>
        <v>2946.59</v>
      </c>
      <c r="E111" s="19" t="n">
        <f aca="false">вересень!Q111</f>
        <v>0</v>
      </c>
      <c r="F111" s="20" t="n">
        <f aca="false">вересень!F111</f>
        <v>0</v>
      </c>
      <c r="G111" s="21" t="n">
        <f aca="false">вересень!G111</f>
        <v>35</v>
      </c>
      <c r="H111" s="21" t="n">
        <f aca="false">вересень!H111</f>
        <v>0</v>
      </c>
      <c r="I111" s="22" t="n">
        <f aca="false">вересень!I111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3090.09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вересень!B112</f>
        <v>АДПСУ (Чорноморець В.М.)</v>
      </c>
      <c r="C112" s="18" t="str">
        <f aca="false">вересень!C112</f>
        <v>30104</v>
      </c>
      <c r="D112" s="19" t="n">
        <f aca="false">вересень!P112</f>
        <v>3531.91</v>
      </c>
      <c r="E112" s="19" t="n">
        <f aca="false">вересень!Q112</f>
        <v>0</v>
      </c>
      <c r="F112" s="20" t="n">
        <f aca="false">вересень!F112</f>
        <v>0</v>
      </c>
      <c r="G112" s="21" t="n">
        <f aca="false">вересень!G112</f>
        <v>61.1</v>
      </c>
      <c r="H112" s="21" t="n">
        <f aca="false">вересень!H112</f>
        <v>0</v>
      </c>
      <c r="I112" s="22" t="n">
        <f aca="false">вересень!I112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3782.42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вересень!B113</f>
        <v>Дмитренко Г.В.</v>
      </c>
      <c r="C113" s="18" t="str">
        <f aca="false">вересень!C113</f>
        <v>30105</v>
      </c>
      <c r="D113" s="19" t="n">
        <f aca="false">вересень!P113</f>
        <v>4302.42</v>
      </c>
      <c r="E113" s="19" t="n">
        <f aca="false">вересень!Q113</f>
        <v>0</v>
      </c>
      <c r="F113" s="20" t="n">
        <f aca="false">вересень!F113</f>
        <v>0</v>
      </c>
      <c r="G113" s="21" t="n">
        <f aca="false">вересень!G113</f>
        <v>64.89</v>
      </c>
      <c r="H113" s="21" t="n">
        <f aca="false">вересень!H113</f>
        <v>0</v>
      </c>
      <c r="I113" s="22" t="n">
        <f aca="false">вересень!I113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4568.47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вересень!B114</f>
        <v>Номерова Т.В.</v>
      </c>
      <c r="C114" s="18" t="str">
        <f aca="false">вересень!C114</f>
        <v>30106</v>
      </c>
      <c r="D114" s="19" t="n">
        <f aca="false">вересень!P114</f>
        <v>994.360000000001</v>
      </c>
      <c r="E114" s="19" t="n">
        <f aca="false">вересень!Q114</f>
        <v>0</v>
      </c>
      <c r="F114" s="20" t="n">
        <f aca="false">вересень!F114</f>
        <v>0</v>
      </c>
      <c r="G114" s="21" t="n">
        <f aca="false">вересень!G114</f>
        <v>49.96</v>
      </c>
      <c r="H114" s="21" t="n">
        <f aca="false">вересень!H114</f>
        <v>0</v>
      </c>
      <c r="I114" s="22" t="n">
        <f aca="false">вересень!I114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1199.2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вересень!B115</f>
        <v>Самойлова О.В.</v>
      </c>
      <c r="C115" s="18" t="str">
        <f aca="false">вересень!C115</f>
        <v>30107</v>
      </c>
      <c r="D115" s="19" t="n">
        <f aca="false">вересень!P115</f>
        <v>424.35</v>
      </c>
      <c r="E115" s="19" t="n">
        <f aca="false">вересень!Q115</f>
        <v>0</v>
      </c>
      <c r="F115" s="20" t="n">
        <f aca="false">вересень!F115</f>
        <v>0</v>
      </c>
      <c r="G115" s="21" t="n">
        <f aca="false">вересень!G115</f>
        <v>34.5</v>
      </c>
      <c r="H115" s="21" t="n">
        <f aca="false">вересень!H115</f>
        <v>0</v>
      </c>
      <c r="I115" s="22" t="n">
        <f aca="false">вересень!I115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/>
      <c r="P115" s="25" t="n">
        <f aca="false">IF(D115=0,IF((N115-E115-O115)&gt;0,(N115-E115-O115),0),IF((D115+N115-O115)&gt;0,(D115+N115-O115),0))</f>
        <v>565.8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вересень!B116</f>
        <v>Випенко О.І.</v>
      </c>
      <c r="C116" s="18" t="str">
        <f aca="false">вересень!C116</f>
        <v>30108</v>
      </c>
      <c r="D116" s="19" t="n">
        <f aca="false">вересень!P116</f>
        <v>8478.01</v>
      </c>
      <c r="E116" s="19" t="n">
        <f aca="false">вересень!Q116</f>
        <v>0</v>
      </c>
      <c r="F116" s="20" t="n">
        <f aca="false">вересень!F116</f>
        <v>0</v>
      </c>
      <c r="G116" s="21" t="n">
        <f aca="false">вересень!G116</f>
        <v>62.9</v>
      </c>
      <c r="H116" s="21" t="n">
        <f aca="false">вересень!H116</f>
        <v>0</v>
      </c>
      <c r="I116" s="22" t="n">
        <f aca="false">вересень!I116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8735.9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вересень!B117</f>
        <v>Саприкін Ю.О.</v>
      </c>
      <c r="C117" s="18" t="str">
        <f aca="false">вересень!C117</f>
        <v>40109</v>
      </c>
      <c r="D117" s="19" t="n">
        <f aca="false">вересень!P117</f>
        <v>1195.56</v>
      </c>
      <c r="E117" s="19" t="n">
        <f aca="false">вересень!Q117</f>
        <v>0</v>
      </c>
      <c r="F117" s="20" t="n">
        <f aca="false">вересень!F117</f>
        <v>0</v>
      </c>
      <c r="G117" s="21" t="n">
        <f aca="false">вересень!G117</f>
        <v>97.2</v>
      </c>
      <c r="H117" s="21" t="n">
        <f aca="false">вересень!H117</f>
        <v>0</v>
      </c>
      <c r="I117" s="22" t="n">
        <f aca="false">вересень!I117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1594.08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вересень!B118</f>
        <v>Мовчан В.М.</v>
      </c>
      <c r="C118" s="18" t="str">
        <f aca="false">вересень!C118</f>
        <v>40110</v>
      </c>
      <c r="D118" s="19" t="n">
        <f aca="false">вересень!P118</f>
        <v>598.61</v>
      </c>
      <c r="E118" s="19" t="n">
        <f aca="false">вересень!Q118</f>
        <v>0</v>
      </c>
      <c r="F118" s="20" t="n">
        <f aca="false">вересень!F118</f>
        <v>0</v>
      </c>
      <c r="G118" s="21" t="n">
        <f aca="false">вересень!G118</f>
        <v>48.75</v>
      </c>
      <c r="H118" s="21" t="n">
        <f aca="false">вересень!H118</f>
        <v>0</v>
      </c>
      <c r="I118" s="22" t="n">
        <f aca="false">вересень!I118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/>
      <c r="P118" s="25" t="n">
        <f aca="false">IF(D118=0,IF((N118-E118-O118)&gt;0,(N118-E118-O118),0),IF((D118+N118-O118)&gt;0,(D118+N118-O118),0))</f>
        <v>798.49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вересень!B119</f>
        <v>Величко Н.М.</v>
      </c>
      <c r="C119" s="18" t="str">
        <f aca="false">вересень!C119</f>
        <v>40111</v>
      </c>
      <c r="D119" s="19" t="n">
        <f aca="false">вересень!P119</f>
        <v>1443.64</v>
      </c>
      <c r="E119" s="19" t="n">
        <f aca="false">вересень!Q119</f>
        <v>0</v>
      </c>
      <c r="F119" s="20" t="n">
        <f aca="false">вересень!F119</f>
        <v>0</v>
      </c>
      <c r="G119" s="21" t="n">
        <f aca="false">вересень!G119</f>
        <v>63.8</v>
      </c>
      <c r="H119" s="21" t="n">
        <f aca="false">вересень!H119</f>
        <v>0</v>
      </c>
      <c r="I119" s="22" t="n">
        <f aca="false">вересень!I119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1705.22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вересень!B120</f>
        <v>Бухлов С.В.</v>
      </c>
      <c r="C120" s="18" t="str">
        <f aca="false">вересень!C120</f>
        <v>40112</v>
      </c>
      <c r="D120" s="19" t="n">
        <f aca="false">вересень!P120</f>
        <v>10304.43</v>
      </c>
      <c r="E120" s="19" t="n">
        <f aca="false">вересень!Q120</f>
        <v>0</v>
      </c>
      <c r="F120" s="20" t="n">
        <f aca="false">вересень!F120</f>
        <v>0</v>
      </c>
      <c r="G120" s="21" t="n">
        <f aca="false">вересень!G120</f>
        <v>62.6</v>
      </c>
      <c r="H120" s="21" t="n">
        <f aca="false">вересень!H120</f>
        <v>0</v>
      </c>
      <c r="I120" s="22" t="n">
        <f aca="false">вересень!I120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10561.09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вересень!B121</f>
        <v>Перепеліцина Т.Ю.</v>
      </c>
      <c r="C121" s="18" t="str">
        <f aca="false">вересень!C121</f>
        <v>40113</v>
      </c>
      <c r="D121" s="19" t="n">
        <f aca="false">вересень!P121</f>
        <v>211.9</v>
      </c>
      <c r="E121" s="19" t="n">
        <f aca="false">вересень!Q121</f>
        <v>0</v>
      </c>
      <c r="F121" s="20" t="n">
        <f aca="false">вересень!F121</f>
        <v>0</v>
      </c>
      <c r="G121" s="21" t="n">
        <f aca="false">вересень!G121</f>
        <v>34.7</v>
      </c>
      <c r="H121" s="21" t="n">
        <f aca="false">вересень!H121</f>
        <v>0</v>
      </c>
      <c r="I121" s="22" t="n">
        <f aca="false">вересень!I121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354.17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вересень!B122</f>
        <v>Свєтлова Т.Ю.</v>
      </c>
      <c r="C122" s="18" t="str">
        <f aca="false">вересень!C122</f>
        <v>40114</v>
      </c>
      <c r="D122" s="19" t="n">
        <f aca="false">вересень!P122</f>
        <v>1836.25</v>
      </c>
      <c r="E122" s="19" t="n">
        <f aca="false">вересень!Q122</f>
        <v>0</v>
      </c>
      <c r="F122" s="20" t="n">
        <f aca="false">вересень!F122</f>
        <v>0</v>
      </c>
      <c r="G122" s="21" t="n">
        <f aca="false">вересень!G122</f>
        <v>49.72</v>
      </c>
      <c r="H122" s="21" t="n">
        <f aca="false">вересень!H122</f>
        <v>0</v>
      </c>
      <c r="I122" s="22" t="n">
        <f aca="false">вересень!I122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2040.1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вересень!B123</f>
        <v>Маркова О.М.</v>
      </c>
      <c r="C123" s="18" t="str">
        <f aca="false">вересень!C123</f>
        <v>40115</v>
      </c>
      <c r="D123" s="19" t="n">
        <f aca="false">вересень!P123</f>
        <v>5358.2</v>
      </c>
      <c r="E123" s="19" t="n">
        <f aca="false">вересень!Q123</f>
        <v>0</v>
      </c>
      <c r="F123" s="20" t="n">
        <f aca="false">вересень!F123</f>
        <v>0</v>
      </c>
      <c r="G123" s="21" t="n">
        <f aca="false">вересень!G123</f>
        <v>65.1</v>
      </c>
      <c r="H123" s="21" t="n">
        <f aca="false">вересень!H123</f>
        <v>0</v>
      </c>
      <c r="I123" s="22" t="n">
        <f aca="false">вересень!I123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5625.11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вересень!B124</f>
        <v>Ракитська А.М.</v>
      </c>
      <c r="C124" s="18" t="str">
        <f aca="false">вересень!C124</f>
        <v>40116</v>
      </c>
      <c r="D124" s="19" t="n">
        <f aca="false">вересень!P124</f>
        <v>3749.3</v>
      </c>
      <c r="E124" s="19" t="n">
        <f aca="false">вересень!Q124</f>
        <v>0</v>
      </c>
      <c r="F124" s="20" t="n">
        <f aca="false">вересень!F124</f>
        <v>0</v>
      </c>
      <c r="G124" s="21" t="n">
        <f aca="false">вересень!G124</f>
        <v>62.18</v>
      </c>
      <c r="H124" s="21" t="n">
        <f aca="false">вересень!H124</f>
        <v>0</v>
      </c>
      <c r="I124" s="22" t="n">
        <f aca="false">вересень!I124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4004.24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вересень!B125</f>
        <v>Гусак К.С.</v>
      </c>
      <c r="C125" s="18" t="str">
        <f aca="false">вересень!C125</f>
        <v>40117</v>
      </c>
      <c r="D125" s="19" t="n">
        <f aca="false">вересень!P125</f>
        <v>2795.43</v>
      </c>
      <c r="E125" s="19" t="n">
        <f aca="false">вересень!Q125</f>
        <v>0</v>
      </c>
      <c r="F125" s="20" t="n">
        <f aca="false">вересень!F125</f>
        <v>0</v>
      </c>
      <c r="G125" s="21" t="n">
        <f aca="false">вересень!G125</f>
        <v>35.1</v>
      </c>
      <c r="H125" s="21" t="n">
        <f aca="false">вересень!H125</f>
        <v>0</v>
      </c>
      <c r="I125" s="22" t="n">
        <f aca="false">вересень!I125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2939.34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вересень!B126</f>
        <v>Пісоченко М.Г.</v>
      </c>
      <c r="C126" s="18" t="str">
        <f aca="false">вересень!C126</f>
        <v>40118</v>
      </c>
      <c r="D126" s="19" t="n">
        <f aca="false">вересень!P126</f>
        <v>408.36</v>
      </c>
      <c r="E126" s="19" t="n">
        <f aca="false">вересень!Q126</f>
        <v>0</v>
      </c>
      <c r="F126" s="20" t="n">
        <f aca="false">вересень!F126</f>
        <v>0</v>
      </c>
      <c r="G126" s="21" t="n">
        <f aca="false">вересень!G126</f>
        <v>49.8</v>
      </c>
      <c r="H126" s="21" t="n">
        <f aca="false">вересень!H126</f>
        <v>0</v>
      </c>
      <c r="I126" s="22" t="n">
        <f aca="false">вересень!I126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612.54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вересень!B127</f>
        <v>Столяр О.М.</v>
      </c>
      <c r="C127" s="18" t="str">
        <f aca="false">вересень!C127</f>
        <v>40119</v>
      </c>
      <c r="D127" s="19" t="n">
        <f aca="false">вересень!P127</f>
        <v>8909.02999999999</v>
      </c>
      <c r="E127" s="19" t="n">
        <f aca="false">вересень!Q127</f>
        <v>0</v>
      </c>
      <c r="F127" s="20" t="n">
        <f aca="false">вересень!F127</f>
        <v>0</v>
      </c>
      <c r="G127" s="21" t="n">
        <f aca="false">вересень!G127</f>
        <v>65.3</v>
      </c>
      <c r="H127" s="21" t="n">
        <f aca="false">вересень!H127</f>
        <v>0</v>
      </c>
      <c r="I127" s="22" t="n">
        <f aca="false">вересень!I127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9176.75999999999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вересень!B128</f>
        <v>Рєзніков В.П.</v>
      </c>
      <c r="C128" s="18" t="str">
        <f aca="false">вересень!C128</f>
        <v>40120</v>
      </c>
      <c r="D128" s="19" t="n">
        <f aca="false">вересень!P128</f>
        <v>754.690000000001</v>
      </c>
      <c r="E128" s="19" t="n">
        <f aca="false">вересень!Q128</f>
        <v>0</v>
      </c>
      <c r="F128" s="20" t="n">
        <f aca="false">вересень!F128</f>
        <v>0</v>
      </c>
      <c r="G128" s="21" t="n">
        <f aca="false">вересень!G128</f>
        <v>62.44</v>
      </c>
      <c r="H128" s="21" t="n">
        <f aca="false">вересень!H128</f>
        <v>0</v>
      </c>
      <c r="I128" s="22" t="n">
        <f aca="false">вересень!I128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1010.69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вересень!B129</f>
        <v>Золотоверха Я.І.</v>
      </c>
      <c r="C129" s="18" t="str">
        <f aca="false">вересень!C129</f>
        <v>40121</v>
      </c>
      <c r="D129" s="19" t="n">
        <f aca="false">вересень!P129</f>
        <v>145.96</v>
      </c>
      <c r="E129" s="19" t="n">
        <f aca="false">вересень!Q129</f>
        <v>0</v>
      </c>
      <c r="F129" s="20" t="n">
        <f aca="false">вересень!F129</f>
        <v>0</v>
      </c>
      <c r="G129" s="21" t="n">
        <f aca="false">вересень!G129</f>
        <v>35.6</v>
      </c>
      <c r="H129" s="21" t="n">
        <f aca="false">вересень!H129</f>
        <v>0</v>
      </c>
      <c r="I129" s="22" t="n">
        <f aca="false">вересень!I129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/>
      <c r="P129" s="25" t="n">
        <f aca="false">IF(D129=0,IF((N129-E129-O129)&gt;0,(N129-E129-O129),0),IF((D129+N129-O129)&gt;0,(D129+N129-O129),0))</f>
        <v>291.92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вересень!B130</f>
        <v>Бурлаков А.В.</v>
      </c>
      <c r="C130" s="18" t="str">
        <f aca="false">вересень!C130</f>
        <v>40122</v>
      </c>
      <c r="D130" s="19" t="n">
        <f aca="false">вересень!P130</f>
        <v>471.72</v>
      </c>
      <c r="E130" s="19" t="n">
        <f aca="false">вересень!Q130</f>
        <v>0</v>
      </c>
      <c r="F130" s="20" t="n">
        <f aca="false">вересень!F130</f>
        <v>0</v>
      </c>
      <c r="G130" s="21" t="n">
        <f aca="false">вересень!G130</f>
        <v>49.7</v>
      </c>
      <c r="H130" s="21" t="n">
        <f aca="false">вересень!H130</f>
        <v>0</v>
      </c>
      <c r="I130" s="22" t="n">
        <f aca="false">вересень!I130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/>
      <c r="P130" s="25" t="n">
        <f aca="false">IF(D130=0,IF((N130-E130-O130)&gt;0,(N130-E130-O130),0),IF((D130+N130-O130)&gt;0,(D130+N130-O130),0))</f>
        <v>675.49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вересень!B131</f>
        <v>Сикула О.Ю.</v>
      </c>
      <c r="C131" s="18" t="str">
        <f aca="false">вересень!C131</f>
        <v>40123</v>
      </c>
      <c r="D131" s="19" t="n">
        <f aca="false">вересень!P131</f>
        <v>4662.26</v>
      </c>
      <c r="E131" s="19" t="n">
        <f aca="false">вересень!Q131</f>
        <v>0</v>
      </c>
      <c r="F131" s="20" t="n">
        <f aca="false">вересень!F131</f>
        <v>0</v>
      </c>
      <c r="G131" s="21" t="n">
        <f aca="false">вересень!G131</f>
        <v>65.15</v>
      </c>
      <c r="H131" s="21" t="n">
        <f aca="false">вересень!H131</f>
        <v>0</v>
      </c>
      <c r="I131" s="22" t="n">
        <f aca="false">вересень!I131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4929.38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вересень!B132</f>
        <v>Арістов О.О.</v>
      </c>
      <c r="C132" s="18" t="str">
        <f aca="false">вересень!C132</f>
        <v>40124</v>
      </c>
      <c r="D132" s="19" t="n">
        <f aca="false">вересень!P132</f>
        <v>1927.35</v>
      </c>
      <c r="E132" s="19" t="n">
        <f aca="false">вересень!Q132</f>
        <v>0</v>
      </c>
      <c r="F132" s="20" t="n">
        <f aca="false">вересень!F132</f>
        <v>0</v>
      </c>
      <c r="G132" s="21" t="n">
        <f aca="false">вересень!G132</f>
        <v>63</v>
      </c>
      <c r="H132" s="21" t="n">
        <f aca="false">вересень!H132</f>
        <v>0</v>
      </c>
      <c r="I132" s="22" t="n">
        <f aca="false">вересень!I132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2185.65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вересень!B133</f>
        <v>Бондаренко Т.О.</v>
      </c>
      <c r="C133" s="18" t="str">
        <f aca="false">вересень!C133</f>
        <v>40125</v>
      </c>
      <c r="D133" s="19" t="n">
        <f aca="false">вересень!P133</f>
        <v>2374.75</v>
      </c>
      <c r="E133" s="19" t="n">
        <f aca="false">вересень!Q133</f>
        <v>0</v>
      </c>
      <c r="F133" s="20" t="n">
        <f aca="false">вересень!F133</f>
        <v>0</v>
      </c>
      <c r="G133" s="21" t="n">
        <f aca="false">вересень!G133</f>
        <v>34.7</v>
      </c>
      <c r="H133" s="21" t="n">
        <f aca="false">вересень!H133</f>
        <v>0</v>
      </c>
      <c r="I133" s="22" t="n">
        <f aca="false">вересень!I133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2517.02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вересень!B134</f>
        <v>Гайчев П.В.</v>
      </c>
      <c r="C134" s="18" t="str">
        <f aca="false">вересень!C134</f>
        <v>40126</v>
      </c>
      <c r="D134" s="19" t="n">
        <f aca="false">вересень!P134</f>
        <v>214.800000000001</v>
      </c>
      <c r="E134" s="19" t="n">
        <f aca="false">вересень!Q134</f>
        <v>0</v>
      </c>
      <c r="F134" s="20" t="n">
        <f aca="false">вересень!F134</f>
        <v>0</v>
      </c>
      <c r="G134" s="21" t="n">
        <f aca="false">вересень!G134</f>
        <v>49.2</v>
      </c>
      <c r="H134" s="21" t="n">
        <f aca="false">вересень!H134</f>
        <v>0</v>
      </c>
      <c r="I134" s="22" t="n">
        <f aca="false">вересень!I134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416.520000000001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вересень!B135</f>
        <v>Радченко О.С.</v>
      </c>
      <c r="C135" s="18" t="str">
        <f aca="false">вересень!C135</f>
        <v>40127</v>
      </c>
      <c r="D135" s="19" t="n">
        <f aca="false">вересень!P135</f>
        <v>796.259999999999</v>
      </c>
      <c r="E135" s="19" t="n">
        <f aca="false">вересень!Q135</f>
        <v>0</v>
      </c>
      <c r="F135" s="20" t="n">
        <f aca="false">вересень!F135</f>
        <v>0</v>
      </c>
      <c r="G135" s="21" t="n">
        <f aca="false">вересень!G135</f>
        <v>65.15</v>
      </c>
      <c r="H135" s="21" t="n">
        <f aca="false">вересень!H135</f>
        <v>0</v>
      </c>
      <c r="I135" s="22" t="n">
        <f aca="false">вересень!I135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1063.38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вересень!B136</f>
        <v>Шилін С.М.</v>
      </c>
      <c r="C136" s="18" t="str">
        <f aca="false">вересень!C136</f>
        <v>40128</v>
      </c>
      <c r="D136" s="19" t="n">
        <f aca="false">вересень!P136</f>
        <v>3575.45</v>
      </c>
      <c r="E136" s="19" t="n">
        <f aca="false">вересень!Q136</f>
        <v>0</v>
      </c>
      <c r="F136" s="20" t="n">
        <f aca="false">вересень!F136</f>
        <v>0</v>
      </c>
      <c r="G136" s="21" t="n">
        <f aca="false">вересень!G136</f>
        <v>62.3</v>
      </c>
      <c r="H136" s="21" t="n">
        <f aca="false">вересень!H136</f>
        <v>0</v>
      </c>
      <c r="I136" s="22" t="n">
        <f aca="false">вересень!I136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3830.88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вересень!B137</f>
        <v>Петрулевич В.М.</v>
      </c>
      <c r="C137" s="18" t="str">
        <f aca="false">вересень!C137</f>
        <v>40129</v>
      </c>
      <c r="D137" s="19" t="n">
        <f aca="false">вересень!P137</f>
        <v>2415.83</v>
      </c>
      <c r="E137" s="19" t="n">
        <f aca="false">вересень!Q137</f>
        <v>0</v>
      </c>
      <c r="F137" s="20" t="n">
        <f aca="false">вересень!F137</f>
        <v>0</v>
      </c>
      <c r="G137" s="21" t="n">
        <f aca="false">вересень!G137</f>
        <v>35.3</v>
      </c>
      <c r="H137" s="21" t="n">
        <f aca="false">вересень!H137</f>
        <v>0</v>
      </c>
      <c r="I137" s="22" t="n">
        <f aca="false">вересень!I137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2560.56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вересень!B138</f>
        <v>Кривошеєва Л.М.</v>
      </c>
      <c r="C138" s="18" t="str">
        <f aca="false">вересень!C138</f>
        <v>40130</v>
      </c>
      <c r="D138" s="19" t="n">
        <f aca="false">вересень!P138</f>
        <v>2809.32</v>
      </c>
      <c r="E138" s="19" t="n">
        <f aca="false">вересень!Q138</f>
        <v>0</v>
      </c>
      <c r="F138" s="20" t="n">
        <f aca="false">вересень!F138</f>
        <v>0</v>
      </c>
      <c r="G138" s="21" t="n">
        <f aca="false">вересень!G138</f>
        <v>49.78</v>
      </c>
      <c r="H138" s="21" t="n">
        <f aca="false">вересень!H138</f>
        <v>0</v>
      </c>
      <c r="I138" s="22" t="n">
        <f aca="false">вересень!I138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3013.42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вересень!B139</f>
        <v>Харченко І.С.</v>
      </c>
      <c r="C139" s="18" t="str">
        <f aca="false">вересень!C139</f>
        <v>40131</v>
      </c>
      <c r="D139" s="19" t="n">
        <f aca="false">вересень!P139</f>
        <v>1041.5</v>
      </c>
      <c r="E139" s="19" t="n">
        <f aca="false">вересень!Q139</f>
        <v>0</v>
      </c>
      <c r="F139" s="20" t="n">
        <f aca="false">вересень!F139</f>
        <v>0</v>
      </c>
      <c r="G139" s="21" t="n">
        <f aca="false">вересень!G139</f>
        <v>65.93</v>
      </c>
      <c r="H139" s="21" t="n">
        <f aca="false">вересень!H139</f>
        <v>0</v>
      </c>
      <c r="I139" s="22" t="n">
        <f aca="false">вересень!I139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/>
      <c r="P139" s="25" t="n">
        <f aca="false">IF(D139=0,IF((N139-E139-O139)&gt;0,(N139-E139-O139),0),IF((D139+N139-O139)&gt;0,(D139+N139-O139),0))</f>
        <v>1311.81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вересень!B140</f>
        <v>Куриленко І.О.</v>
      </c>
      <c r="C140" s="18" t="str">
        <f aca="false">вересень!C140</f>
        <v>40132</v>
      </c>
      <c r="D140" s="19" t="n">
        <f aca="false">вересень!P140</f>
        <v>5367.57</v>
      </c>
      <c r="E140" s="19" t="n">
        <f aca="false">вересень!Q140</f>
        <v>0</v>
      </c>
      <c r="F140" s="20" t="n">
        <f aca="false">вересень!F140</f>
        <v>0</v>
      </c>
      <c r="G140" s="21" t="n">
        <f aca="false">вересень!G140</f>
        <v>62.36</v>
      </c>
      <c r="H140" s="21" t="n">
        <f aca="false">вересень!H140</f>
        <v>0</v>
      </c>
      <c r="I140" s="22" t="n">
        <f aca="false">вересень!I140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5623.25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вересень!B141</f>
        <v>Єлсукова В.М.</v>
      </c>
      <c r="C141" s="18" t="str">
        <f aca="false">вересень!C141</f>
        <v>40133</v>
      </c>
      <c r="D141" s="19" t="n">
        <f aca="false">вересень!P141</f>
        <v>3022.11</v>
      </c>
      <c r="E141" s="19" t="n">
        <f aca="false">вересень!Q141</f>
        <v>0</v>
      </c>
      <c r="F141" s="20" t="n">
        <f aca="false">вересень!F141</f>
        <v>0</v>
      </c>
      <c r="G141" s="21" t="n">
        <f aca="false">вересень!G141</f>
        <v>35.1</v>
      </c>
      <c r="H141" s="21" t="n">
        <f aca="false">вересень!H141</f>
        <v>0</v>
      </c>
      <c r="I141" s="22" t="n">
        <f aca="false">вересень!I141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3166.02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вересень!B142</f>
        <v>Пімонова М.В.</v>
      </c>
      <c r="C142" s="18" t="str">
        <f aca="false">вересень!C142</f>
        <v>40134</v>
      </c>
      <c r="D142" s="19" t="n">
        <f aca="false">вересень!P142</f>
        <v>5798.1</v>
      </c>
      <c r="E142" s="19" t="n">
        <f aca="false">вересень!Q142</f>
        <v>0</v>
      </c>
      <c r="F142" s="20" t="n">
        <f aca="false">вересень!F142</f>
        <v>0</v>
      </c>
      <c r="G142" s="21" t="n">
        <f aca="false">вересень!G142</f>
        <v>49.47</v>
      </c>
      <c r="H142" s="21" t="n">
        <f aca="false">вересень!H142</f>
        <v>0</v>
      </c>
      <c r="I142" s="22" t="n">
        <f aca="false">вересень!I142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6000.93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вересень!B143</f>
        <v>Осипенко В.В.</v>
      </c>
      <c r="C143" s="18" t="str">
        <f aca="false">вересень!C143</f>
        <v>40135</v>
      </c>
      <c r="D143" s="19" t="n">
        <f aca="false">вересень!P143</f>
        <v>3497.4</v>
      </c>
      <c r="E143" s="19" t="n">
        <f aca="false">вересень!Q143</f>
        <v>0</v>
      </c>
      <c r="F143" s="20" t="n">
        <f aca="false">вересень!F143</f>
        <v>0</v>
      </c>
      <c r="G143" s="21" t="n">
        <f aca="false">вересень!G143</f>
        <v>65.65</v>
      </c>
      <c r="H143" s="21" t="n">
        <f aca="false">вересень!H143</f>
        <v>0</v>
      </c>
      <c r="I143" s="22" t="n">
        <f aca="false">вересень!I143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3766.57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вересень!B144</f>
        <v>Друзь О.О.</v>
      </c>
      <c r="C144" s="18" t="str">
        <f aca="false">вересень!C144</f>
        <v>40136</v>
      </c>
      <c r="D144" s="19" t="n">
        <f aca="false">вересень!P144</f>
        <v>4073.08</v>
      </c>
      <c r="E144" s="19" t="n">
        <f aca="false">вересень!Q144</f>
        <v>0</v>
      </c>
      <c r="F144" s="20" t="n">
        <f aca="false">вересень!F144</f>
        <v>0</v>
      </c>
      <c r="G144" s="21" t="n">
        <f aca="false">вересень!G144</f>
        <v>62.1</v>
      </c>
      <c r="H144" s="21" t="n">
        <f aca="false">вересень!H144</f>
        <v>0</v>
      </c>
      <c r="I144" s="22" t="n">
        <f aca="false">вересень!I144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4327.69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вересень!B145</f>
        <v>Вовченко Р.І.</v>
      </c>
      <c r="C145" s="18" t="str">
        <f aca="false">вересень!C145</f>
        <v>40137</v>
      </c>
      <c r="D145" s="19" t="n">
        <f aca="false">вересень!P145</f>
        <v>642.079999999999</v>
      </c>
      <c r="E145" s="19" t="n">
        <f aca="false">вересень!Q145</f>
        <v>0</v>
      </c>
      <c r="F145" s="20" t="n">
        <f aca="false">вересень!F145</f>
        <v>0</v>
      </c>
      <c r="G145" s="21" t="n">
        <f aca="false">вересень!G145</f>
        <v>35.2</v>
      </c>
      <c r="H145" s="21" t="n">
        <f aca="false">вересень!H145</f>
        <v>0</v>
      </c>
      <c r="I145" s="22" t="n">
        <f aca="false">вересень!I145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786.399999999999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вересень!B146</f>
        <v>Плакун Д.В.</v>
      </c>
      <c r="C146" s="18" t="str">
        <f aca="false">вересень!C146</f>
        <v>40138</v>
      </c>
      <c r="D146" s="19" t="n">
        <f aca="false">вересень!P146</f>
        <v>1840.99</v>
      </c>
      <c r="E146" s="19" t="n">
        <f aca="false">вересень!Q146</f>
        <v>0</v>
      </c>
      <c r="F146" s="20" t="n">
        <f aca="false">вересень!F146</f>
        <v>0</v>
      </c>
      <c r="G146" s="21" t="n">
        <f aca="false">вересень!G146</f>
        <v>49.9</v>
      </c>
      <c r="H146" s="21" t="n">
        <f aca="false">вересень!H146</f>
        <v>0</v>
      </c>
      <c r="I146" s="22" t="n">
        <f aca="false">вересень!I146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2045.58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вересень!B147</f>
        <v>Гаврилова Ю.О.</v>
      </c>
      <c r="C147" s="18" t="str">
        <f aca="false">вересень!C147</f>
        <v>40139</v>
      </c>
      <c r="D147" s="19" t="n">
        <f aca="false">вересень!P147</f>
        <v>1151.68</v>
      </c>
      <c r="E147" s="19" t="n">
        <f aca="false">вересень!Q147</f>
        <v>0</v>
      </c>
      <c r="F147" s="20" t="n">
        <f aca="false">вересень!F147</f>
        <v>0</v>
      </c>
      <c r="G147" s="21" t="n">
        <f aca="false">вересень!G147</f>
        <v>65.8</v>
      </c>
      <c r="H147" s="21" t="n">
        <f aca="false">вересень!H147</f>
        <v>0</v>
      </c>
      <c r="I147" s="22" t="n">
        <f aca="false">вересень!I147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1421.46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вересень!B148</f>
        <v>Корзун Г.М.</v>
      </c>
      <c r="C148" s="18" t="str">
        <f aca="false">вересень!C148</f>
        <v>40140</v>
      </c>
      <c r="D148" s="19" t="n">
        <f aca="false">вересень!P148</f>
        <v>1390.6</v>
      </c>
      <c r="E148" s="19" t="n">
        <f aca="false">вересень!Q148</f>
        <v>0</v>
      </c>
      <c r="F148" s="20" t="n">
        <f aca="false">вересень!F148</f>
        <v>0</v>
      </c>
      <c r="G148" s="21" t="n">
        <f aca="false">вересень!G148</f>
        <v>63.2</v>
      </c>
      <c r="H148" s="21" t="n">
        <f aca="false">вересень!H148</f>
        <v>0</v>
      </c>
      <c r="I148" s="22" t="n">
        <f aca="false">вересень!I148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1649.72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вересень!B149</f>
        <v>Бондаренко Л.Л.</v>
      </c>
      <c r="C149" s="18" t="str">
        <f aca="false">вересень!C149</f>
        <v>40141</v>
      </c>
      <c r="D149" s="19" t="n">
        <f aca="false">вересень!P149</f>
        <v>142.56</v>
      </c>
      <c r="E149" s="19" t="n">
        <f aca="false">вересень!Q149</f>
        <v>0</v>
      </c>
      <c r="F149" s="20" t="n">
        <f aca="false">вересень!F149</f>
        <v>0</v>
      </c>
      <c r="G149" s="21" t="n">
        <f aca="false">вересень!G149</f>
        <v>34.9</v>
      </c>
      <c r="H149" s="21" t="n">
        <f aca="false">вересень!H149</f>
        <v>0</v>
      </c>
      <c r="I149" s="22" t="n">
        <f aca="false">вересень!I149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285.65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вересень!B150</f>
        <v>Капелюш Н.А.</v>
      </c>
      <c r="C150" s="18" t="str">
        <f aca="false">вересень!C150</f>
        <v>40142</v>
      </c>
      <c r="D150" s="19" t="n">
        <f aca="false">вересень!P150</f>
        <v>3926.16</v>
      </c>
      <c r="E150" s="19" t="n">
        <f aca="false">вересень!Q150</f>
        <v>0</v>
      </c>
      <c r="F150" s="20" t="n">
        <f aca="false">вересень!F150</f>
        <v>0</v>
      </c>
      <c r="G150" s="21" t="n">
        <f aca="false">вересень!G150</f>
        <v>50.4</v>
      </c>
      <c r="H150" s="21" t="n">
        <f aca="false">вересень!H150</f>
        <v>0</v>
      </c>
      <c r="I150" s="22" t="n">
        <f aca="false">вересень!I150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4132.8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вересень!B151</f>
        <v>Кістрінь Л.П.</v>
      </c>
      <c r="C151" s="18" t="str">
        <f aca="false">вересень!C151</f>
        <v>40143</v>
      </c>
      <c r="D151" s="19" t="n">
        <f aca="false">вересень!P151</f>
        <v>6401.13</v>
      </c>
      <c r="E151" s="19" t="n">
        <f aca="false">вересень!Q151</f>
        <v>0</v>
      </c>
      <c r="F151" s="20" t="n">
        <f aca="false">вересень!F151</f>
        <v>0</v>
      </c>
      <c r="G151" s="21" t="n">
        <f aca="false">вересень!G151</f>
        <v>65.2</v>
      </c>
      <c r="H151" s="21" t="n">
        <f aca="false">вересень!H151</f>
        <v>0</v>
      </c>
      <c r="I151" s="22" t="n">
        <f aca="false">вересень!I151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6668.45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вересень!B152</f>
        <v>Козьміна І.В.</v>
      </c>
      <c r="C152" s="18" t="str">
        <f aca="false">вересень!C152</f>
        <v>50144</v>
      </c>
      <c r="D152" s="19" t="n">
        <f aca="false">вересень!P152</f>
        <v>1058.96</v>
      </c>
      <c r="E152" s="19" t="n">
        <f aca="false">вересень!Q152</f>
        <v>0</v>
      </c>
      <c r="F152" s="20" t="n">
        <f aca="false">вересень!F152</f>
        <v>0</v>
      </c>
      <c r="G152" s="21" t="n">
        <f aca="false">вересень!G152</f>
        <v>64.57</v>
      </c>
      <c r="H152" s="21" t="n">
        <f aca="false">вересень!H152</f>
        <v>0</v>
      </c>
      <c r="I152" s="22" t="n">
        <f aca="false">вересень!I152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1323.7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вересень!B153</f>
        <v>Чала С.С.</v>
      </c>
      <c r="C153" s="18" t="str">
        <f aca="false">вересень!C153</f>
        <v>50145</v>
      </c>
      <c r="D153" s="19" t="n">
        <f aca="false">вересень!P153</f>
        <v>5649.12</v>
      </c>
      <c r="E153" s="19" t="n">
        <f aca="false">вересень!Q153</f>
        <v>0</v>
      </c>
      <c r="F153" s="20" t="n">
        <f aca="false">вересень!F153</f>
        <v>0</v>
      </c>
      <c r="G153" s="21" t="n">
        <f aca="false">вересень!G153</f>
        <v>48.7</v>
      </c>
      <c r="H153" s="21" t="n">
        <f aca="false">вересень!H153</f>
        <v>0</v>
      </c>
      <c r="I153" s="22" t="n">
        <f aca="false">вересень!I153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5848.79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вересень!B154</f>
        <v>Свєтайлова І.М.</v>
      </c>
      <c r="C154" s="18" t="str">
        <f aca="false">вересень!C154</f>
        <v>50146</v>
      </c>
      <c r="D154" s="19" t="n">
        <f aca="false">вересень!P154</f>
        <v>2878.2</v>
      </c>
      <c r="E154" s="19" t="n">
        <f aca="false">вересень!Q154</f>
        <v>0</v>
      </c>
      <c r="F154" s="20" t="n">
        <f aca="false">вересень!F154</f>
        <v>0</v>
      </c>
      <c r="G154" s="21" t="n">
        <f aca="false">вересень!G154</f>
        <v>35.1</v>
      </c>
      <c r="H154" s="21" t="n">
        <f aca="false">вересень!H154</f>
        <v>0</v>
      </c>
      <c r="I154" s="22" t="n">
        <f aca="false">вересень!I154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3022.11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вересень!B155</f>
        <v>Неделько Д.І.</v>
      </c>
      <c r="C155" s="18" t="str">
        <f aca="false">вересень!C155</f>
        <v>50147</v>
      </c>
      <c r="D155" s="19" t="n">
        <f aca="false">вересень!P155</f>
        <v>658.92</v>
      </c>
      <c r="E155" s="19" t="n">
        <f aca="false">вересень!Q155</f>
        <v>0</v>
      </c>
      <c r="F155" s="20" t="n">
        <f aca="false">вересень!F155</f>
        <v>0</v>
      </c>
      <c r="G155" s="21" t="n">
        <f aca="false">вересень!G155</f>
        <v>53.57</v>
      </c>
      <c r="H155" s="21" t="n">
        <f aca="false">вересень!H155</f>
        <v>0</v>
      </c>
      <c r="I155" s="22" t="n">
        <f aca="false">вересень!I155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878.56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вересень!B156</f>
        <v>Самойленко Л.К.</v>
      </c>
      <c r="C156" s="18" t="str">
        <f aca="false">вересень!C156</f>
        <v>50148</v>
      </c>
      <c r="D156" s="19" t="n">
        <f aca="false">вересень!P156</f>
        <v>0</v>
      </c>
      <c r="E156" s="19" t="n">
        <f aca="false">вересень!Q156</f>
        <v>756.789999999999</v>
      </c>
      <c r="F156" s="20" t="n">
        <f aca="false">вересень!F156</f>
        <v>0</v>
      </c>
      <c r="G156" s="21" t="n">
        <f aca="false">вересень!G156</f>
        <v>65.7</v>
      </c>
      <c r="H156" s="21" t="n">
        <f aca="false">вересень!H156</f>
        <v>0</v>
      </c>
      <c r="I156" s="22" t="n">
        <f aca="false">вересень!I156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/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487.419999999999</v>
      </c>
    </row>
    <row r="157" customFormat="false" ht="15" hidden="false" customHeight="false" outlineLevel="0" collapsed="false">
      <c r="A157" s="17" t="s">
        <v>467</v>
      </c>
      <c r="B157" s="18" t="str">
        <f aca="false">вересень!B157</f>
        <v>Павлов Ю.В.</v>
      </c>
      <c r="C157" s="18" t="str">
        <f aca="false">вересень!C157</f>
        <v>50149</v>
      </c>
      <c r="D157" s="19" t="n">
        <f aca="false">вересень!P157</f>
        <v>3386.68</v>
      </c>
      <c r="E157" s="19" t="n">
        <f aca="false">вересень!Q157</f>
        <v>0</v>
      </c>
      <c r="F157" s="20" t="n">
        <f aca="false">вересень!F157</f>
        <v>0</v>
      </c>
      <c r="G157" s="21" t="n">
        <f aca="false">вересень!G157</f>
        <v>49.78</v>
      </c>
      <c r="H157" s="21" t="n">
        <f aca="false">вересень!H157</f>
        <v>0</v>
      </c>
      <c r="I157" s="22" t="n">
        <f aca="false">вересень!I157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3590.78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вересень!B158</f>
        <v>Коваленко Т.М.</v>
      </c>
      <c r="C158" s="18" t="str">
        <f aca="false">вересень!C158</f>
        <v>50150</v>
      </c>
      <c r="D158" s="19" t="n">
        <f aca="false">вересень!P158</f>
        <v>287</v>
      </c>
      <c r="E158" s="19" t="n">
        <f aca="false">вересень!Q158</f>
        <v>0</v>
      </c>
      <c r="F158" s="20" t="n">
        <f aca="false">вересень!F158</f>
        <v>0</v>
      </c>
      <c r="G158" s="21" t="n">
        <f aca="false">вересень!G158</f>
        <v>35</v>
      </c>
      <c r="H158" s="21" t="n">
        <f aca="false">вересень!H158</f>
        <v>0</v>
      </c>
      <c r="I158" s="22" t="n">
        <f aca="false">вересень!I158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430.5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вересень!B159</f>
        <v>Рощенко Л.Б.</v>
      </c>
      <c r="C159" s="18" t="str">
        <f aca="false">вересень!C159</f>
        <v>50151</v>
      </c>
      <c r="D159" s="19" t="n">
        <f aca="false">вересень!P159</f>
        <v>3022.66</v>
      </c>
      <c r="E159" s="19" t="n">
        <f aca="false">вересень!Q159</f>
        <v>0</v>
      </c>
      <c r="F159" s="20" t="n">
        <f aca="false">вересень!F159</f>
        <v>0</v>
      </c>
      <c r="G159" s="21" t="n">
        <f aca="false">вересень!G159</f>
        <v>62.08</v>
      </c>
      <c r="H159" s="21" t="n">
        <f aca="false">вересень!H159</f>
        <v>0</v>
      </c>
      <c r="I159" s="22" t="n">
        <f aca="false">вересень!I159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3277.19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вересень!B160</f>
        <v>Галушко С.Т.</v>
      </c>
      <c r="C160" s="18" t="str">
        <f aca="false">вересень!C160</f>
        <v>50152</v>
      </c>
      <c r="D160" s="19" t="n">
        <f aca="false">вересень!P160</f>
        <v>540.06</v>
      </c>
      <c r="E160" s="19" t="n">
        <f aca="false">вересень!Q160</f>
        <v>0</v>
      </c>
      <c r="F160" s="20" t="n">
        <f aca="false">вересень!F160</f>
        <v>0</v>
      </c>
      <c r="G160" s="21" t="n">
        <f aca="false">вересень!G160</f>
        <v>65.86</v>
      </c>
      <c r="H160" s="21" t="n">
        <f aca="false">вересень!H160</f>
        <v>0</v>
      </c>
      <c r="I160" s="22" t="n">
        <f aca="false">вересень!I160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/>
      <c r="P160" s="25" t="n">
        <f aca="false">IF(D160=0,IF((N160-E160-O160)&gt;0,(N160-E160-O160),0),IF((D160+N160-O160)&gt;0,(D160+N160-O160),0))</f>
        <v>810.09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вересень!B161</f>
        <v>Наумова Л.Я.</v>
      </c>
      <c r="C161" s="18" t="str">
        <f aca="false">вересень!C161</f>
        <v>50153</v>
      </c>
      <c r="D161" s="19" t="n">
        <f aca="false">вересень!P161</f>
        <v>344.800000000001</v>
      </c>
      <c r="E161" s="19" t="n">
        <f aca="false">вересень!Q161</f>
        <v>0</v>
      </c>
      <c r="F161" s="20" t="n">
        <f aca="false">вересень!F161</f>
        <v>0</v>
      </c>
      <c r="G161" s="21" t="n">
        <f aca="false">вересень!G161</f>
        <v>49.95</v>
      </c>
      <c r="H161" s="21" t="n">
        <f aca="false">вересень!H161</f>
        <v>0</v>
      </c>
      <c r="I161" s="22" t="n">
        <f aca="false">вересень!I161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549.600000000001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вересень!B162</f>
        <v>Грєк В.С.</v>
      </c>
      <c r="C162" s="18" t="str">
        <f aca="false">вересень!C162</f>
        <v>50154</v>
      </c>
      <c r="D162" s="19" t="n">
        <f aca="false">вересень!P162</f>
        <v>1106.37</v>
      </c>
      <c r="E162" s="19" t="n">
        <f aca="false">вересень!Q162</f>
        <v>0</v>
      </c>
      <c r="F162" s="20" t="n">
        <f aca="false">вересень!F162</f>
        <v>0</v>
      </c>
      <c r="G162" s="21" t="n">
        <f aca="false">вересень!G162</f>
        <v>33.9</v>
      </c>
      <c r="H162" s="21" t="n">
        <f aca="false">вересень!H162</f>
        <v>0</v>
      </c>
      <c r="I162" s="22" t="n">
        <f aca="false">вересень!I162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1245.36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вересень!B163</f>
        <v>Пермінов О.А.</v>
      </c>
      <c r="C163" s="18" t="str">
        <f aca="false">вересень!C163</f>
        <v>50155</v>
      </c>
      <c r="D163" s="19" t="n">
        <f aca="false">вересень!P163</f>
        <v>1508.68</v>
      </c>
      <c r="E163" s="19" t="n">
        <f aca="false">вересень!Q163</f>
        <v>0</v>
      </c>
      <c r="F163" s="20" t="n">
        <f aca="false">вересень!F163</f>
        <v>0</v>
      </c>
      <c r="G163" s="21" t="n">
        <f aca="false">вересень!G163</f>
        <v>62.43</v>
      </c>
      <c r="H163" s="21" t="n">
        <f aca="false">вересень!H163</f>
        <v>0</v>
      </c>
      <c r="I163" s="22" t="n">
        <f aca="false">вересень!I163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1764.64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вересень!B164</f>
        <v>Рябчук Л.П.</v>
      </c>
      <c r="C164" s="18" t="str">
        <f aca="false">вересень!C164</f>
        <v>50156</v>
      </c>
      <c r="D164" s="19" t="n">
        <f aca="false">вересень!P164</f>
        <v>2976.48</v>
      </c>
      <c r="E164" s="19" t="n">
        <f aca="false">вересень!Q164</f>
        <v>0</v>
      </c>
      <c r="F164" s="20" t="n">
        <f aca="false">вересень!F164</f>
        <v>0</v>
      </c>
      <c r="G164" s="21" t="n">
        <f aca="false">вересень!G164</f>
        <v>64.8</v>
      </c>
      <c r="H164" s="21" t="n">
        <f aca="false">вересень!H164</f>
        <v>0</v>
      </c>
      <c r="I164" s="22" t="n">
        <f aca="false">вересень!I164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3242.16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вересень!B165</f>
        <v>Копасова Л.Б.</v>
      </c>
      <c r="C165" s="18" t="str">
        <f aca="false">вересень!C165</f>
        <v>50157</v>
      </c>
      <c r="D165" s="19" t="n">
        <f aca="false">вересень!P165</f>
        <v>2234.46</v>
      </c>
      <c r="E165" s="19" t="n">
        <f aca="false">вересень!Q165</f>
        <v>0</v>
      </c>
      <c r="F165" s="20" t="n">
        <f aca="false">вересень!F165</f>
        <v>0</v>
      </c>
      <c r="G165" s="21" t="n">
        <f aca="false">вересень!G165</f>
        <v>49.4</v>
      </c>
      <c r="H165" s="21" t="n">
        <f aca="false">вересень!H165</f>
        <v>0</v>
      </c>
      <c r="I165" s="22" t="n">
        <f aca="false">вересень!I165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2437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вересень!B166</f>
        <v>Киричинська Г.Я.</v>
      </c>
      <c r="C166" s="18" t="str">
        <f aca="false">вересень!C166</f>
        <v>50158</v>
      </c>
      <c r="D166" s="19" t="n">
        <f aca="false">вересень!P166</f>
        <v>1739.58</v>
      </c>
      <c r="E166" s="19" t="n">
        <f aca="false">вересень!Q166</f>
        <v>0</v>
      </c>
      <c r="F166" s="20" t="n">
        <f aca="false">вересень!F166</f>
        <v>0</v>
      </c>
      <c r="G166" s="21" t="n">
        <f aca="false">вересень!G166</f>
        <v>35.1</v>
      </c>
      <c r="H166" s="21" t="n">
        <f aca="false">вересень!H166</f>
        <v>0</v>
      </c>
      <c r="I166" s="22" t="n">
        <f aca="false">вересень!I166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1883.49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вересень!B167</f>
        <v>Бутрій К.В.</v>
      </c>
      <c r="C167" s="18" t="str">
        <f aca="false">вересень!C167</f>
        <v>50159</v>
      </c>
      <c r="D167" s="19" t="n">
        <f aca="false">вересень!P167</f>
        <v>2968.13</v>
      </c>
      <c r="E167" s="19" t="n">
        <f aca="false">вересень!Q167</f>
        <v>0</v>
      </c>
      <c r="F167" s="20" t="n">
        <f aca="false">вересень!F167</f>
        <v>0</v>
      </c>
      <c r="G167" s="21" t="n">
        <f aca="false">вересень!G167</f>
        <v>62.4</v>
      </c>
      <c r="H167" s="21" t="n">
        <f aca="false">вересень!H167</f>
        <v>0</v>
      </c>
      <c r="I167" s="22" t="n">
        <f aca="false">вересень!I167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3223.97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вересень!B168</f>
        <v>Кузьома Г.І.</v>
      </c>
      <c r="C168" s="18" t="str">
        <f aca="false">вересень!C168</f>
        <v>50160</v>
      </c>
      <c r="D168" s="19" t="n">
        <f aca="false">вересень!P168</f>
        <v>965.230000000001</v>
      </c>
      <c r="E168" s="19" t="n">
        <f aca="false">вересень!Q168</f>
        <v>0</v>
      </c>
      <c r="F168" s="20" t="n">
        <f aca="false">вересень!F168</f>
        <v>0</v>
      </c>
      <c r="G168" s="21" t="n">
        <f aca="false">вересень!G168</f>
        <v>65.5</v>
      </c>
      <c r="H168" s="21" t="n">
        <f aca="false">вересень!H168</f>
        <v>0</v>
      </c>
      <c r="I168" s="22" t="n">
        <f aca="false">вересень!I168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1233.78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вересень!B169</f>
        <v>Павленко В.М.</v>
      </c>
      <c r="C169" s="18" t="str">
        <f aca="false">вересень!C169</f>
        <v>50161</v>
      </c>
      <c r="D169" s="19" t="n">
        <f aca="false">вересень!P169</f>
        <v>4299.75</v>
      </c>
      <c r="E169" s="19" t="n">
        <f aca="false">вересень!Q169</f>
        <v>0</v>
      </c>
      <c r="F169" s="20" t="n">
        <f aca="false">вересень!F169</f>
        <v>0</v>
      </c>
      <c r="G169" s="21" t="n">
        <f aca="false">вересень!G169</f>
        <v>49.94</v>
      </c>
      <c r="H169" s="21" t="n">
        <f aca="false">вересень!H169</f>
        <v>0</v>
      </c>
      <c r="I169" s="22" t="n">
        <f aca="false">вересень!I169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4504.5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вересень!B170</f>
        <v>Качуровська С.А.</v>
      </c>
      <c r="C170" s="18" t="str">
        <f aca="false">вересень!C170</f>
        <v>50162</v>
      </c>
      <c r="D170" s="19" t="n">
        <f aca="false">вересень!P170</f>
        <v>256.16</v>
      </c>
      <c r="E170" s="19" t="n">
        <f aca="false">вересень!Q170</f>
        <v>0</v>
      </c>
      <c r="F170" s="20" t="n">
        <f aca="false">вересень!F170</f>
        <v>0</v>
      </c>
      <c r="G170" s="21" t="n">
        <f aca="false">вересень!G170</f>
        <v>35</v>
      </c>
      <c r="H170" s="21" t="n">
        <f aca="false">вересень!H170</f>
        <v>0</v>
      </c>
      <c r="I170" s="22" t="n">
        <f aca="false">вересень!I170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/>
      <c r="P170" s="25" t="n">
        <f aca="false">IF(D170=0,IF((N170-E170-O170)&gt;0,(N170-E170-O170),0),IF((D170+N170-O170)&gt;0,(D170+N170-O170),0))</f>
        <v>399.66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вересень!B171</f>
        <v>Білецький Б.Г.</v>
      </c>
      <c r="C171" s="18" t="str">
        <f aca="false">вересень!C171</f>
        <v>50163</v>
      </c>
      <c r="D171" s="19" t="n">
        <f aca="false">вересень!P171</f>
        <v>767.04</v>
      </c>
      <c r="E171" s="19" t="n">
        <f aca="false">вересень!Q171</f>
        <v>0</v>
      </c>
      <c r="F171" s="20" t="n">
        <f aca="false">вересень!F171</f>
        <v>0</v>
      </c>
      <c r="G171" s="21" t="n">
        <f aca="false">вересень!G171</f>
        <v>62.36</v>
      </c>
      <c r="H171" s="21" t="n">
        <f aca="false">вересень!H171</f>
        <v>0</v>
      </c>
      <c r="I171" s="22" t="n">
        <f aca="false">вересень!I171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/>
      <c r="P171" s="25" t="n">
        <f aca="false">IF(D171=0,IF((N171-E171-O171)&gt;0,(N171-E171-O171),0),IF((D171+N171-O171)&gt;0,(D171+N171-O171),0))</f>
        <v>1022.72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вересень!B172</f>
        <v>Кузнєцова В.В.</v>
      </c>
      <c r="C172" s="18" t="str">
        <f aca="false">вересень!C172</f>
        <v>50164</v>
      </c>
      <c r="D172" s="19" t="n">
        <f aca="false">вересень!P172</f>
        <v>2959.96</v>
      </c>
      <c r="E172" s="19" t="n">
        <f aca="false">вересень!Q172</f>
        <v>0</v>
      </c>
      <c r="F172" s="20" t="n">
        <f aca="false">вересень!F172</f>
        <v>0</v>
      </c>
      <c r="G172" s="21" t="n">
        <f aca="false">вересень!G172</f>
        <v>65.63</v>
      </c>
      <c r="H172" s="21" t="n">
        <f aca="false">вересень!H172</f>
        <v>0</v>
      </c>
      <c r="I172" s="22" t="n">
        <f aca="false">вересень!I172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3229.04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вересень!B173</f>
        <v>Сидоренко Б.Й.</v>
      </c>
      <c r="C173" s="18" t="str">
        <f aca="false">вересень!C173</f>
        <v>50165</v>
      </c>
      <c r="D173" s="19" t="n">
        <f aca="false">вересень!P173</f>
        <v>10665.29</v>
      </c>
      <c r="E173" s="19" t="n">
        <f aca="false">вересень!Q173</f>
        <v>0</v>
      </c>
      <c r="F173" s="20" t="n">
        <f aca="false">вересень!F173</f>
        <v>0</v>
      </c>
      <c r="G173" s="21" t="n">
        <f aca="false">вересень!G173</f>
        <v>49.8</v>
      </c>
      <c r="H173" s="21" t="n">
        <f aca="false">вересень!H173</f>
        <v>0</v>
      </c>
      <c r="I173" s="22" t="n">
        <f aca="false">вересень!I173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10869.47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вересень!B174</f>
        <v>Кузнєцова О.А.</v>
      </c>
      <c r="C174" s="18" t="str">
        <f aca="false">вересень!C174</f>
        <v>50166</v>
      </c>
      <c r="D174" s="19" t="n">
        <f aca="false">вересень!P174</f>
        <v>1435</v>
      </c>
      <c r="E174" s="19" t="n">
        <f aca="false">вересень!Q174</f>
        <v>0</v>
      </c>
      <c r="F174" s="20" t="n">
        <f aca="false">вересень!F174</f>
        <v>0</v>
      </c>
      <c r="G174" s="21" t="n">
        <f aca="false">вересень!G174</f>
        <v>35</v>
      </c>
      <c r="H174" s="21" t="n">
        <f aca="false">вересень!H174</f>
        <v>0</v>
      </c>
      <c r="I174" s="22" t="n">
        <f aca="false">вересень!I174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1578.5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вересень!B175</f>
        <v>Васильєва О.Г.</v>
      </c>
      <c r="C175" s="18" t="str">
        <f aca="false">вересень!C175</f>
        <v>50167</v>
      </c>
      <c r="D175" s="19" t="n">
        <f aca="false">вересень!P175</f>
        <v>5295.46</v>
      </c>
      <c r="E175" s="19" t="n">
        <f aca="false">вересень!Q175</f>
        <v>0</v>
      </c>
      <c r="F175" s="20" t="n">
        <f aca="false">вересень!F175</f>
        <v>0</v>
      </c>
      <c r="G175" s="21" t="n">
        <f aca="false">вересень!G175</f>
        <v>61.7</v>
      </c>
      <c r="H175" s="21" t="n">
        <f aca="false">вересень!H175</f>
        <v>0</v>
      </c>
      <c r="I175" s="22" t="n">
        <f aca="false">вересень!I175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5548.43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вересень!B176</f>
        <v>Кудінова Л.М.</v>
      </c>
      <c r="C176" s="18" t="str">
        <f aca="false">вересень!C176</f>
        <v>50168</v>
      </c>
      <c r="D176" s="19" t="n">
        <f aca="false">вересень!P176</f>
        <v>1663.07</v>
      </c>
      <c r="E176" s="19" t="n">
        <f aca="false">вересень!Q176</f>
        <v>0</v>
      </c>
      <c r="F176" s="20" t="n">
        <f aca="false">вересень!F176</f>
        <v>0</v>
      </c>
      <c r="G176" s="21" t="n">
        <f aca="false">вересень!G176</f>
        <v>65.58</v>
      </c>
      <c r="H176" s="21" t="n">
        <f aca="false">вересень!H176</f>
        <v>0</v>
      </c>
      <c r="I176" s="22" t="n">
        <f aca="false">вересень!I176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1931.95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вересень!B177</f>
        <v>Спільний І.В.</v>
      </c>
      <c r="C177" s="18" t="str">
        <f aca="false">вересень!C177</f>
        <v>50169</v>
      </c>
      <c r="D177" s="19" t="n">
        <f aca="false">вересень!P177</f>
        <v>174.82</v>
      </c>
      <c r="E177" s="19" t="n">
        <f aca="false">вересень!Q177</f>
        <v>0</v>
      </c>
      <c r="F177" s="20" t="n">
        <f aca="false">вересень!F177</f>
        <v>0</v>
      </c>
      <c r="G177" s="21" t="n">
        <f aca="false">вересень!G177</f>
        <v>49.5</v>
      </c>
      <c r="H177" s="21" t="n">
        <f aca="false">вересень!H177</f>
        <v>0</v>
      </c>
      <c r="I177" s="22" t="n">
        <f aca="false">вересень!I177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377.77</v>
      </c>
      <c r="Q177" s="25" t="n">
        <f aca="false">IF(E177=0,IF((D177+N177-O177)&lt;0,ABS(D177+N177-O177),0),IF((N177-E177-O177)&lt;0,ABS(N177-E177-O177),0))</f>
        <v>0</v>
      </c>
    </row>
    <row r="178" customFormat="false" ht="15" hidden="false" customHeight="false" outlineLevel="0" collapsed="false">
      <c r="A178" s="17" t="s">
        <v>530</v>
      </c>
      <c r="B178" s="18" t="str">
        <f aca="false">вересень!B178</f>
        <v>Кружаліна Т.А.</v>
      </c>
      <c r="C178" s="18" t="str">
        <f aca="false">вересень!C178</f>
        <v>50170</v>
      </c>
      <c r="D178" s="19" t="n">
        <f aca="false">вересень!P178</f>
        <v>363.460000000001</v>
      </c>
      <c r="E178" s="19" t="n">
        <f aca="false">вересень!Q178</f>
        <v>0</v>
      </c>
      <c r="F178" s="20" t="n">
        <f aca="false">вересень!F178</f>
        <v>0</v>
      </c>
      <c r="G178" s="21" t="n">
        <f aca="false">вересень!G178</f>
        <v>35.1</v>
      </c>
      <c r="H178" s="21" t="n">
        <f aca="false">вересень!H178</f>
        <v>0</v>
      </c>
      <c r="I178" s="22" t="n">
        <f aca="false">вересень!I178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507.370000000001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вересень!B179</f>
        <v>Григоренко Н.Е.</v>
      </c>
      <c r="C179" s="18" t="str">
        <f aca="false">вересень!C179</f>
        <v>50171</v>
      </c>
      <c r="D179" s="19" t="n">
        <f aca="false">вересень!P179</f>
        <v>1705.27</v>
      </c>
      <c r="E179" s="19" t="n">
        <f aca="false">вересень!Q179</f>
        <v>0</v>
      </c>
      <c r="F179" s="20" t="n">
        <f aca="false">вересень!F179</f>
        <v>0</v>
      </c>
      <c r="G179" s="21" t="n">
        <f aca="false">вересень!G179</f>
        <v>62.91</v>
      </c>
      <c r="H179" s="21" t="n">
        <f aca="false">вересень!H179</f>
        <v>0</v>
      </c>
      <c r="I179" s="22" t="n">
        <f aca="false">вересень!I179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1963.2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вересень!B180</f>
        <v>Бондарчук В.В.</v>
      </c>
      <c r="C180" s="18" t="str">
        <f aca="false">вересень!C180</f>
        <v>50172</v>
      </c>
      <c r="D180" s="19" t="n">
        <f aca="false">вересень!P180</f>
        <v>9.09494701772928E-013</v>
      </c>
      <c r="E180" s="19" t="n">
        <f aca="false">вересень!Q180</f>
        <v>0</v>
      </c>
      <c r="F180" s="20" t="n">
        <f aca="false">вересень!F180</f>
        <v>0</v>
      </c>
      <c r="G180" s="21" t="n">
        <f aca="false">вересень!G180</f>
        <v>66.03</v>
      </c>
      <c r="H180" s="21" t="n">
        <f aca="false">вересень!H180</f>
        <v>0</v>
      </c>
      <c r="I180" s="22" t="n">
        <f aca="false">вересень!I180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270.720000000001</v>
      </c>
      <c r="Q180" s="25" t="n">
        <f aca="false">IF(E180=0,IF((D180+N180-O180)&lt;0,ABS(D180+N180-O180),0),IF((N180-E180-O180)&lt;0,ABS(N180-E180-O180),0))</f>
        <v>0</v>
      </c>
    </row>
    <row r="181" customFormat="false" ht="15" hidden="false" customHeight="false" outlineLevel="0" collapsed="false">
      <c r="A181" s="17" t="s">
        <v>539</v>
      </c>
      <c r="B181" s="18" t="str">
        <f aca="false">вересень!B181</f>
        <v>Рябініна Н.І.</v>
      </c>
      <c r="C181" s="18" t="str">
        <f aca="false">вересень!C181</f>
        <v>50173</v>
      </c>
      <c r="D181" s="19" t="n">
        <f aca="false">вересень!P181</f>
        <v>1091.8</v>
      </c>
      <c r="E181" s="19" t="n">
        <f aca="false">вересень!Q181</f>
        <v>0</v>
      </c>
      <c r="F181" s="20" t="n">
        <f aca="false">вересень!F181</f>
        <v>0</v>
      </c>
      <c r="G181" s="21" t="n">
        <f aca="false">вересень!G181</f>
        <v>49.9</v>
      </c>
      <c r="H181" s="21" t="n">
        <f aca="false">вересень!H181</f>
        <v>0</v>
      </c>
      <c r="I181" s="22" t="n">
        <f aca="false">вересень!I181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/>
      <c r="P181" s="25" t="n">
        <f aca="false">IF(D181=0,IF((N181-E181-O181)&gt;0,(N181-E181-O181),0),IF((D181+N181-O181)&gt;0,(D181+N181-O181),0))</f>
        <v>1296.39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вересень!B182</f>
        <v>Шапіро В.І.</v>
      </c>
      <c r="C182" s="18" t="str">
        <f aca="false">вересень!C182</f>
        <v>50174</v>
      </c>
      <c r="D182" s="19" t="n">
        <f aca="false">вересень!P182</f>
        <v>429.51</v>
      </c>
      <c r="E182" s="19" t="n">
        <f aca="false">вересень!Q182</f>
        <v>0</v>
      </c>
      <c r="F182" s="20" t="n">
        <f aca="false">вересень!F182</f>
        <v>0</v>
      </c>
      <c r="G182" s="21" t="n">
        <f aca="false">вересень!G182</f>
        <v>34.92</v>
      </c>
      <c r="H182" s="21" t="n">
        <f aca="false">вересень!H182</f>
        <v>0</v>
      </c>
      <c r="I182" s="22" t="n">
        <f aca="false">вересень!I182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/>
      <c r="P182" s="25" t="n">
        <f aca="false">IF(D182=0,IF((N182-E182-O182)&gt;0,(N182-E182-O182),0),IF((D182+N182-O182)&gt;0,(D182+N182-O182),0))</f>
        <v>572.68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вересень!B183</f>
        <v>Крамаренко О.О.</v>
      </c>
      <c r="C183" s="18" t="str">
        <f aca="false">вересень!C183</f>
        <v>50175</v>
      </c>
      <c r="D183" s="19" t="n">
        <f aca="false">вересень!P183</f>
        <v>2070.71</v>
      </c>
      <c r="E183" s="19" t="n">
        <f aca="false">вересень!Q183</f>
        <v>0</v>
      </c>
      <c r="F183" s="20" t="n">
        <f aca="false">вересень!F183</f>
        <v>0</v>
      </c>
      <c r="G183" s="21" t="n">
        <f aca="false">вересень!G183</f>
        <v>61.91</v>
      </c>
      <c r="H183" s="21" t="n">
        <f aca="false">вересень!H183</f>
        <v>0</v>
      </c>
      <c r="I183" s="22" t="n">
        <f aca="false">вересень!I183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2324.54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вересень!B184</f>
        <v>Свиридов В.Ф.</v>
      </c>
      <c r="C184" s="18" t="str">
        <f aca="false">вересень!C184</f>
        <v>50176</v>
      </c>
      <c r="D184" s="19" t="n">
        <f aca="false">вересень!P184</f>
        <v>4861.87</v>
      </c>
      <c r="E184" s="19" t="n">
        <f aca="false">вересень!Q184</f>
        <v>0</v>
      </c>
      <c r="F184" s="20" t="n">
        <f aca="false">вересень!F184</f>
        <v>0</v>
      </c>
      <c r="G184" s="21" t="n">
        <f aca="false">вересень!G184</f>
        <v>65.15</v>
      </c>
      <c r="H184" s="21" t="n">
        <f aca="false">вересень!H184</f>
        <v>0</v>
      </c>
      <c r="I184" s="22" t="n">
        <f aca="false">вересень!I184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5128.99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вересень!B185</f>
        <v>Домацький В.А.</v>
      </c>
      <c r="C185" s="18" t="str">
        <f aca="false">вересень!C185</f>
        <v>50177</v>
      </c>
      <c r="D185" s="19" t="n">
        <f aca="false">вересень!P185</f>
        <v>3484.98</v>
      </c>
      <c r="E185" s="19" t="n">
        <f aca="false">вересень!Q185</f>
        <v>0</v>
      </c>
      <c r="F185" s="20" t="n">
        <f aca="false">вересень!F185</f>
        <v>0</v>
      </c>
      <c r="G185" s="21" t="n">
        <f aca="false">вересень!G185</f>
        <v>50</v>
      </c>
      <c r="H185" s="21" t="n">
        <f aca="false">вересень!H185</f>
        <v>0</v>
      </c>
      <c r="I185" s="22" t="n">
        <f aca="false">вересень!I185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3689.98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вересень!B186</f>
        <v>Шаповалова І.А.</v>
      </c>
      <c r="C186" s="18" t="str">
        <f aca="false">вересень!C186</f>
        <v>50178</v>
      </c>
      <c r="D186" s="19" t="n">
        <f aca="false">вересень!P186</f>
        <v>2301.84</v>
      </c>
      <c r="E186" s="19" t="n">
        <f aca="false">вересень!Q186</f>
        <v>0</v>
      </c>
      <c r="F186" s="20" t="n">
        <f aca="false">вересень!F186</f>
        <v>0</v>
      </c>
      <c r="G186" s="21" t="n">
        <f aca="false">вересень!G186</f>
        <v>35.1</v>
      </c>
      <c r="H186" s="21" t="n">
        <f aca="false">вересень!H186</f>
        <v>0</v>
      </c>
      <c r="I186" s="22" t="n">
        <f aca="false">вересень!I186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2445.75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вересень!B187</f>
        <v>Кононенко О.В.</v>
      </c>
      <c r="C187" s="18" t="str">
        <f aca="false">вересень!C187</f>
        <v>50179</v>
      </c>
      <c r="D187" s="19" t="n">
        <f aca="false">вересень!P187</f>
        <v>5320.37</v>
      </c>
      <c r="E187" s="19" t="n">
        <f aca="false">вересень!Q187</f>
        <v>0</v>
      </c>
      <c r="F187" s="20" t="n">
        <f aca="false">вересень!F187</f>
        <v>0</v>
      </c>
      <c r="G187" s="21" t="n">
        <f aca="false">вересень!G187</f>
        <v>61.8</v>
      </c>
      <c r="H187" s="21" t="n">
        <f aca="false">вересень!H187</f>
        <v>0</v>
      </c>
      <c r="I187" s="22" t="n">
        <f aca="false">вересень!I187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5573.75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вересень!B188</f>
        <v>Овчаренко Т.І.</v>
      </c>
      <c r="C188" s="18" t="str">
        <f aca="false">вересень!C188</f>
        <v>60180</v>
      </c>
      <c r="D188" s="19" t="n">
        <f aca="false">вересень!P188</f>
        <v>679.78</v>
      </c>
      <c r="E188" s="19" t="n">
        <f aca="false">вересень!Q188</f>
        <v>0</v>
      </c>
      <c r="F188" s="20" t="n">
        <f aca="false">вересень!F188</f>
        <v>0</v>
      </c>
      <c r="G188" s="21" t="n">
        <f aca="false">вересень!G188</f>
        <v>71.06</v>
      </c>
      <c r="H188" s="21" t="n">
        <f aca="false">вересень!H188</f>
        <v>0</v>
      </c>
      <c r="I188" s="22" t="n">
        <f aca="false">вересень!I188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971.13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вересень!B189</f>
        <v>Попукайло О.Г.</v>
      </c>
      <c r="C189" s="18" t="str">
        <f aca="false">вересень!C189</f>
        <v>60181</v>
      </c>
      <c r="D189" s="19" t="n">
        <f aca="false">вересень!P189</f>
        <v>1813.68</v>
      </c>
      <c r="E189" s="19" t="n">
        <f aca="false">вересень!Q189</f>
        <v>0</v>
      </c>
      <c r="F189" s="20" t="n">
        <f aca="false">вересень!F189</f>
        <v>0</v>
      </c>
      <c r="G189" s="21" t="n">
        <f aca="false">вересень!G189</f>
        <v>49.15</v>
      </c>
      <c r="H189" s="21" t="n">
        <f aca="false">вересень!H189</f>
        <v>0</v>
      </c>
      <c r="I189" s="22" t="n">
        <f aca="false">вересень!I189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2015.2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вересень!B190</f>
        <v>Онищенко А.В.</v>
      </c>
      <c r="C190" s="18" t="str">
        <f aca="false">вересень!C190</f>
        <v>60182</v>
      </c>
      <c r="D190" s="19" t="n">
        <f aca="false">вересень!P190</f>
        <v>2027.53</v>
      </c>
      <c r="E190" s="19" t="n">
        <f aca="false">вересень!Q190</f>
        <v>0</v>
      </c>
      <c r="F190" s="20" t="n">
        <f aca="false">вересень!F190</f>
        <v>0</v>
      </c>
      <c r="G190" s="21" t="n">
        <f aca="false">вересень!G190</f>
        <v>53.72</v>
      </c>
      <c r="H190" s="21" t="n">
        <f aca="false">вересень!H190</f>
        <v>0</v>
      </c>
      <c r="I190" s="22" t="n">
        <f aca="false">вересень!I190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2247.78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вересень!B191</f>
        <v>Соколова О.О.</v>
      </c>
      <c r="C191" s="18" t="str">
        <f aca="false">вересень!C191</f>
        <v>60183</v>
      </c>
      <c r="D191" s="19" t="n">
        <f aca="false">вересень!P191</f>
        <v>0</v>
      </c>
      <c r="E191" s="19" t="n">
        <f aca="false">вересень!Q191</f>
        <v>1150.16</v>
      </c>
      <c r="F191" s="20" t="n">
        <f aca="false">вересень!F191</f>
        <v>0</v>
      </c>
      <c r="G191" s="21" t="n">
        <f aca="false">вересень!G191</f>
        <v>68.97</v>
      </c>
      <c r="H191" s="21" t="n">
        <f aca="false">вересень!H191</f>
        <v>0</v>
      </c>
      <c r="I191" s="22" t="n">
        <f aca="false">вересень!I191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867.380000000001</v>
      </c>
    </row>
    <row r="192" customFormat="false" ht="15" hidden="false" customHeight="false" outlineLevel="0" collapsed="false">
      <c r="A192" s="17" t="s">
        <v>572</v>
      </c>
      <c r="B192" s="18" t="str">
        <f aca="false">вересень!B192</f>
        <v>Ільіна В.П.</v>
      </c>
      <c r="C192" s="18" t="str">
        <f aca="false">вересень!C192</f>
        <v>60184</v>
      </c>
      <c r="D192" s="19" t="n">
        <f aca="false">вересень!P192</f>
        <v>5928.47</v>
      </c>
      <c r="E192" s="19" t="n">
        <f aca="false">вересень!Q192</f>
        <v>0</v>
      </c>
      <c r="F192" s="20" t="n">
        <f aca="false">вересень!F192</f>
        <v>0</v>
      </c>
      <c r="G192" s="21" t="n">
        <f aca="false">вересень!G192</f>
        <v>49.86</v>
      </c>
      <c r="H192" s="21" t="n">
        <f aca="false">вересень!H192</f>
        <v>0</v>
      </c>
      <c r="I192" s="22" t="n">
        <f aca="false">вересень!I192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6132.9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вересень!B193</f>
        <v>Чешок Г.К.</v>
      </c>
      <c r="C193" s="18" t="str">
        <f aca="false">вересень!C193</f>
        <v>60185</v>
      </c>
      <c r="D193" s="19" t="n">
        <f aca="false">вересень!P193</f>
        <v>5149.14</v>
      </c>
      <c r="E193" s="19" t="n">
        <f aca="false">вересень!Q193</f>
        <v>0</v>
      </c>
      <c r="F193" s="20" t="n">
        <f aca="false">вересень!F193</f>
        <v>0</v>
      </c>
      <c r="G193" s="21" t="n">
        <f aca="false">вересень!G193</f>
        <v>60.86</v>
      </c>
      <c r="H193" s="21" t="n">
        <f aca="false">вересень!H193</f>
        <v>0</v>
      </c>
      <c r="I193" s="22" t="n">
        <f aca="false">вересень!I193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5398.67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вересень!B194</f>
        <v>Бердников В.А.</v>
      </c>
      <c r="C194" s="18" t="str">
        <f aca="false">вересень!C194</f>
        <v>60186</v>
      </c>
      <c r="D194" s="19" t="n">
        <f aca="false">вересень!P194</f>
        <v>3012.75</v>
      </c>
      <c r="E194" s="19" t="n">
        <f aca="false">вересень!Q194</f>
        <v>0</v>
      </c>
      <c r="F194" s="20" t="n">
        <f aca="false">вересень!F194</f>
        <v>0</v>
      </c>
      <c r="G194" s="21" t="n">
        <f aca="false">вересень!G194</f>
        <v>66.75</v>
      </c>
      <c r="H194" s="21" t="n">
        <f aca="false">вересень!H194</f>
        <v>0</v>
      </c>
      <c r="I194" s="22" t="n">
        <f aca="false">вересень!I194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3286.43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вересень!B195</f>
        <v>Щербак Н.В.</v>
      </c>
      <c r="C195" s="18" t="str">
        <f aca="false">вересень!C195</f>
        <v>60187</v>
      </c>
      <c r="D195" s="19" t="n">
        <f aca="false">вересень!P195</f>
        <v>5052.47</v>
      </c>
      <c r="E195" s="19" t="n">
        <f aca="false">вересень!Q195</f>
        <v>0</v>
      </c>
      <c r="F195" s="20" t="n">
        <f aca="false">вересень!F195</f>
        <v>0</v>
      </c>
      <c r="G195" s="21" t="n">
        <f aca="false">вересень!G195</f>
        <v>72.49</v>
      </c>
      <c r="H195" s="21" t="n">
        <f aca="false">вересень!H195</f>
        <v>0</v>
      </c>
      <c r="I195" s="22" t="n">
        <f aca="false">вересень!I195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5349.68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вересень!B196</f>
        <v>Рожков Ю.М.</v>
      </c>
      <c r="C196" s="18" t="str">
        <f aca="false">вересень!C196</f>
        <v>60188</v>
      </c>
      <c r="D196" s="19" t="n">
        <f aca="false">вересень!P196</f>
        <v>1809.32</v>
      </c>
      <c r="E196" s="19" t="n">
        <f aca="false">вересень!Q196</f>
        <v>0</v>
      </c>
      <c r="F196" s="20" t="n">
        <f aca="false">вересень!F196</f>
        <v>0</v>
      </c>
      <c r="G196" s="21" t="n">
        <f aca="false">вересень!G196</f>
        <v>49.8</v>
      </c>
      <c r="H196" s="21" t="n">
        <f aca="false">вересень!H196</f>
        <v>0</v>
      </c>
      <c r="I196" s="22" t="n">
        <f aca="false">вересень!I196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2013.5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вересень!B197</f>
        <v>Кобець В.В.</v>
      </c>
      <c r="C197" s="18" t="str">
        <f aca="false">вересень!C197</f>
        <v>60189</v>
      </c>
      <c r="D197" s="19" t="n">
        <f aca="false">вересень!P197</f>
        <v>3335.91</v>
      </c>
      <c r="E197" s="19" t="n">
        <f aca="false">вересень!Q197</f>
        <v>0</v>
      </c>
      <c r="F197" s="20" t="n">
        <f aca="false">вересень!F197</f>
        <v>0</v>
      </c>
      <c r="G197" s="21" t="n">
        <f aca="false">вересень!G197</f>
        <v>62.36</v>
      </c>
      <c r="H197" s="21" t="n">
        <f aca="false">вересень!H197</f>
        <v>0</v>
      </c>
      <c r="I197" s="22" t="n">
        <f aca="false">вересень!I197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3591.59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вересень!B198</f>
        <v>Щерба Л.О.</v>
      </c>
      <c r="C198" s="18" t="str">
        <f aca="false">вересень!C198</f>
        <v>60190</v>
      </c>
      <c r="D198" s="19" t="n">
        <f aca="false">вересень!P198</f>
        <v>4158.05</v>
      </c>
      <c r="E198" s="19" t="n">
        <f aca="false">вересень!Q198</f>
        <v>0</v>
      </c>
      <c r="F198" s="20" t="n">
        <f aca="false">вересень!F198</f>
        <v>0</v>
      </c>
      <c r="G198" s="21" t="n">
        <f aca="false">вересень!G198</f>
        <v>68.5</v>
      </c>
      <c r="H198" s="21" t="n">
        <f aca="false">вересень!H198</f>
        <v>0</v>
      </c>
      <c r="I198" s="22" t="n">
        <f aca="false">вересень!I198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4438.9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вересень!B199</f>
        <v>Сапунова І.В.</v>
      </c>
      <c r="C199" s="18" t="str">
        <f aca="false">вересень!C199</f>
        <v>60191</v>
      </c>
      <c r="D199" s="19" t="n">
        <f aca="false">вересень!P199</f>
        <v>3216.88</v>
      </c>
      <c r="E199" s="19" t="n">
        <f aca="false">вересень!Q199</f>
        <v>0</v>
      </c>
      <c r="F199" s="20" t="n">
        <f aca="false">вересень!F199</f>
        <v>0</v>
      </c>
      <c r="G199" s="21" t="n">
        <f aca="false">вересень!G199</f>
        <v>70.42</v>
      </c>
      <c r="H199" s="21" t="n">
        <f aca="false">вересень!H199</f>
        <v>0</v>
      </c>
      <c r="I199" s="22" t="n">
        <f aca="false">вересень!I199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3505.6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вересень!B200</f>
        <v>Саввідіс В.О.</v>
      </c>
      <c r="C200" s="18" t="str">
        <f aca="false">вересень!C200</f>
        <v>60192</v>
      </c>
      <c r="D200" s="19" t="n">
        <f aca="false">вересень!P200</f>
        <v>4576.95</v>
      </c>
      <c r="E200" s="19" t="n">
        <f aca="false">вересень!Q200</f>
        <v>0</v>
      </c>
      <c r="F200" s="20" t="n">
        <f aca="false">вересень!F200</f>
        <v>0</v>
      </c>
      <c r="G200" s="21" t="n">
        <f aca="false">вересень!G200</f>
        <v>49.7</v>
      </c>
      <c r="H200" s="21" t="n">
        <f aca="false">вересень!H200</f>
        <v>0</v>
      </c>
      <c r="I200" s="22" t="n">
        <f aca="false">вересень!I200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4780.72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вересень!B201</f>
        <v>Кашина Г.І.</v>
      </c>
      <c r="C201" s="18" t="str">
        <f aca="false">вересень!C201</f>
        <v>60193</v>
      </c>
      <c r="D201" s="19" t="n">
        <f aca="false">вересень!P201</f>
        <v>5133.2</v>
      </c>
      <c r="E201" s="19" t="n">
        <f aca="false">вересень!Q201</f>
        <v>0</v>
      </c>
      <c r="F201" s="20" t="n">
        <f aca="false">вересень!F201</f>
        <v>0</v>
      </c>
      <c r="G201" s="21" t="n">
        <f aca="false">вересень!G201</f>
        <v>62.6</v>
      </c>
      <c r="H201" s="21" t="n">
        <f aca="false">вересень!H201</f>
        <v>0</v>
      </c>
      <c r="I201" s="22" t="n">
        <f aca="false">вересень!I201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5389.86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вересень!B202</f>
        <v>Фадеєва Є.А.</v>
      </c>
      <c r="C202" s="18" t="str">
        <f aca="false">вересень!C202</f>
        <v>60194</v>
      </c>
      <c r="D202" s="19" t="n">
        <f aca="false">вересень!P202</f>
        <v>4618.24</v>
      </c>
      <c r="E202" s="19" t="n">
        <f aca="false">вересень!Q202</f>
        <v>0</v>
      </c>
      <c r="F202" s="20" t="n">
        <f aca="false">вересень!F202</f>
        <v>0</v>
      </c>
      <c r="G202" s="21" t="n">
        <f aca="false">вересень!G202</f>
        <v>70.4</v>
      </c>
      <c r="H202" s="21" t="n">
        <f aca="false">вересень!H202</f>
        <v>0</v>
      </c>
      <c r="I202" s="22" t="n">
        <f aca="false">вересень!I202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4906.88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вересень!B203</f>
        <v>Бойко О.А.</v>
      </c>
      <c r="C203" s="18" t="str">
        <f aca="false">вересень!C203</f>
        <v>60195</v>
      </c>
      <c r="D203" s="19" t="n">
        <f aca="false">вересень!P203</f>
        <v>4883.79</v>
      </c>
      <c r="E203" s="19" t="n">
        <f aca="false">вересень!Q203</f>
        <v>0</v>
      </c>
      <c r="F203" s="20" t="n">
        <f aca="false">вересень!F203</f>
        <v>0</v>
      </c>
      <c r="G203" s="21" t="n">
        <f aca="false">вересень!G203</f>
        <v>70.2</v>
      </c>
      <c r="H203" s="21" t="n">
        <f aca="false">вересень!H203</f>
        <v>0</v>
      </c>
      <c r="I203" s="22" t="n">
        <f aca="false">вересень!I203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5171.61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вересень!B204</f>
        <v>Дудник І.А.</v>
      </c>
      <c r="C204" s="18" t="str">
        <f aca="false">вересень!C204</f>
        <v>60196</v>
      </c>
      <c r="D204" s="19" t="n">
        <f aca="false">вересень!P204</f>
        <v>3532.02</v>
      </c>
      <c r="E204" s="19" t="n">
        <f aca="false">вересень!Q204</f>
        <v>0</v>
      </c>
      <c r="F204" s="20" t="n">
        <f aca="false">вересень!F204</f>
        <v>0</v>
      </c>
      <c r="G204" s="21" t="n">
        <f aca="false">вересень!G204</f>
        <v>49.94</v>
      </c>
      <c r="H204" s="21" t="n">
        <f aca="false">вересень!H204</f>
        <v>0</v>
      </c>
      <c r="I204" s="22" t="n">
        <f aca="false">вересень!I204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3736.77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вересень!B205</f>
        <v>Лебедєва Т.В.</v>
      </c>
      <c r="C205" s="18" t="str">
        <f aca="false">вересень!C205</f>
        <v>60197</v>
      </c>
      <c r="D205" s="19" t="n">
        <f aca="false">вересень!P205</f>
        <v>3060.59</v>
      </c>
      <c r="E205" s="19" t="n">
        <f aca="false">вересень!Q205</f>
        <v>0</v>
      </c>
      <c r="F205" s="20" t="n">
        <f aca="false">вересень!F205</f>
        <v>0</v>
      </c>
      <c r="G205" s="21" t="n">
        <f aca="false">вересень!G205</f>
        <v>62.3</v>
      </c>
      <c r="H205" s="21" t="n">
        <f aca="false">вересень!H205</f>
        <v>0</v>
      </c>
      <c r="I205" s="22" t="n">
        <f aca="false">вересень!I205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3316.02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вересень!B206</f>
        <v>Криницький Л.С.</v>
      </c>
      <c r="C206" s="18" t="str">
        <f aca="false">вересень!C206</f>
        <v>60198</v>
      </c>
      <c r="D206" s="19" t="n">
        <f aca="false">вересень!P206</f>
        <v>1.13686837721616E-013</v>
      </c>
      <c r="E206" s="19" t="n">
        <f aca="false">вересень!Q206</f>
        <v>0</v>
      </c>
      <c r="F206" s="20" t="n">
        <f aca="false">вересень!F206</f>
        <v>0</v>
      </c>
      <c r="G206" s="21" t="n">
        <f aca="false">вересень!G206</f>
        <v>67.61</v>
      </c>
      <c r="H206" s="21" t="n">
        <f aca="false">вересень!H206</f>
        <v>0</v>
      </c>
      <c r="I206" s="22" t="n">
        <f aca="false">вересень!I206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277.2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вересень!B207</f>
        <v>Сафонов В.В.</v>
      </c>
      <c r="C207" s="18" t="str">
        <f aca="false">вересень!C207</f>
        <v>60199</v>
      </c>
      <c r="D207" s="19" t="n">
        <f aca="false">вересень!P207</f>
        <v>4514.78</v>
      </c>
      <c r="E207" s="19" t="n">
        <f aca="false">вересень!Q207</f>
        <v>0</v>
      </c>
      <c r="F207" s="20" t="n">
        <f aca="false">вересень!F207</f>
        <v>0</v>
      </c>
      <c r="G207" s="21" t="n">
        <f aca="false">вересень!G207</f>
        <v>70.38</v>
      </c>
      <c r="H207" s="21" t="n">
        <f aca="false">вересень!H207</f>
        <v>0</v>
      </c>
      <c r="I207" s="22" t="n">
        <f aca="false">вересень!I207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4803.34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вересень!B208</f>
        <v>Мільковська Р.Г.</v>
      </c>
      <c r="C208" s="18" t="str">
        <f aca="false">вересень!C208</f>
        <v>60200</v>
      </c>
      <c r="D208" s="19" t="n">
        <f aca="false">вересень!P208</f>
        <v>3310.13</v>
      </c>
      <c r="E208" s="19" t="n">
        <f aca="false">вересень!Q208</f>
        <v>0</v>
      </c>
      <c r="F208" s="20" t="n">
        <f aca="false">вересень!F208</f>
        <v>0</v>
      </c>
      <c r="G208" s="21" t="n">
        <f aca="false">вересень!G208</f>
        <v>49.88</v>
      </c>
      <c r="H208" s="21" t="n">
        <f aca="false">вересень!H208</f>
        <v>0</v>
      </c>
      <c r="I208" s="22" t="n">
        <f aca="false">вересень!I208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3514.64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вересень!B209</f>
        <v>Заранкін С.М.</v>
      </c>
      <c r="C209" s="18" t="str">
        <f aca="false">вересень!C209</f>
        <v>60201</v>
      </c>
      <c r="D209" s="19" t="n">
        <f aca="false">вересень!P209</f>
        <v>3257.76</v>
      </c>
      <c r="E209" s="19" t="n">
        <f aca="false">вересень!Q209</f>
        <v>0</v>
      </c>
      <c r="F209" s="20" t="n">
        <f aca="false">вересень!F209</f>
        <v>0</v>
      </c>
      <c r="G209" s="21" t="n">
        <f aca="false">вересень!G209</f>
        <v>62.02</v>
      </c>
      <c r="H209" s="21" t="n">
        <f aca="false">вересень!H209</f>
        <v>0</v>
      </c>
      <c r="I209" s="22" t="n">
        <f aca="false">вересень!I209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3512.04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вересень!B210</f>
        <v>Сіянко О.М.</v>
      </c>
      <c r="C210" s="18" t="str">
        <f aca="false">вересень!C210</f>
        <v>60202</v>
      </c>
      <c r="D210" s="19" t="n">
        <f aca="false">вересень!P210</f>
        <v>4141.15</v>
      </c>
      <c r="E210" s="19" t="n">
        <f aca="false">вересень!Q210</f>
        <v>0</v>
      </c>
      <c r="F210" s="20" t="n">
        <f aca="false">вересень!F210</f>
        <v>0</v>
      </c>
      <c r="G210" s="21" t="n">
        <f aca="false">вересень!G210</f>
        <v>67.6</v>
      </c>
      <c r="H210" s="21" t="n">
        <f aca="false">вересень!H210</f>
        <v>0</v>
      </c>
      <c r="I210" s="22" t="n">
        <f aca="false">вересень!I210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4418.31</v>
      </c>
      <c r="Q210" s="25" t="n">
        <f aca="false">IF(E210=0,IF((D210+N210-O210)&lt;0,ABS(D210+N210-O210),0),IF((N210-E210-O210)&lt;0,ABS(N210-E210-O210),0))</f>
        <v>0</v>
      </c>
    </row>
    <row r="211" customFormat="false" ht="14.25" hidden="false" customHeight="true" outlineLevel="0" collapsed="false">
      <c r="A211" s="17" t="s">
        <v>629</v>
      </c>
      <c r="B211" s="18" t="str">
        <f aca="false">вересень!B211</f>
        <v>Осипов В.В.</v>
      </c>
      <c r="C211" s="18" t="str">
        <f aca="false">вересень!C211</f>
        <v>60203</v>
      </c>
      <c r="D211" s="19" t="n">
        <f aca="false">вересень!P211</f>
        <v>6063.12000000001</v>
      </c>
      <c r="E211" s="19" t="n">
        <f aca="false">вересень!Q211</f>
        <v>0</v>
      </c>
      <c r="F211" s="20" t="n">
        <f aca="false">вересень!F211</f>
        <v>0</v>
      </c>
      <c r="G211" s="21" t="n">
        <f aca="false">вересень!G211</f>
        <v>70.42</v>
      </c>
      <c r="H211" s="21" t="n">
        <f aca="false">вересень!H211</f>
        <v>0</v>
      </c>
      <c r="I211" s="22" t="n">
        <f aca="false">вересень!I211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6351.84000000001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вересень!B212</f>
        <v>Перепьолкін А.Л.</v>
      </c>
      <c r="C212" s="18" t="str">
        <f aca="false">вересень!C212</f>
        <v>60204</v>
      </c>
      <c r="D212" s="19" t="n">
        <f aca="false">вересень!P212</f>
        <v>785.46</v>
      </c>
      <c r="E212" s="19" t="n">
        <f aca="false">вересень!Q212</f>
        <v>0</v>
      </c>
      <c r="F212" s="20" t="n">
        <f aca="false">вересень!F212</f>
        <v>0</v>
      </c>
      <c r="G212" s="21" t="n">
        <f aca="false">вересень!G212</f>
        <v>49.8</v>
      </c>
      <c r="H212" s="21" t="n">
        <f aca="false">вересень!H212</f>
        <v>0</v>
      </c>
      <c r="I212" s="22" t="n">
        <f aca="false">вересень!I212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/>
      <c r="P212" s="25" t="n">
        <f aca="false">IF(D212=0,IF((N212-E212-O212)&gt;0,(N212-E212-O212),0),IF((D212+N212-O212)&gt;0,(D212+N212-O212),0))</f>
        <v>989.64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вересень!B213</f>
        <v>Синегрибова В.В.</v>
      </c>
      <c r="C213" s="18" t="str">
        <f aca="false">вересень!C213</f>
        <v>60205</v>
      </c>
      <c r="D213" s="19" t="n">
        <f aca="false">вересень!P213</f>
        <v>5614.63</v>
      </c>
      <c r="E213" s="19" t="n">
        <f aca="false">вересень!Q213</f>
        <v>0</v>
      </c>
      <c r="F213" s="20" t="n">
        <f aca="false">вересень!F213</f>
        <v>0</v>
      </c>
      <c r="G213" s="21" t="n">
        <f aca="false">вересень!G213</f>
        <v>62.7</v>
      </c>
      <c r="H213" s="21" t="n">
        <f aca="false">вересень!H213</f>
        <v>0</v>
      </c>
      <c r="I213" s="22" t="n">
        <f aca="false">вересень!I213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5871.7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вересень!B214</f>
        <v>Юдін М.В.</v>
      </c>
      <c r="C214" s="18" t="str">
        <f aca="false">вересень!C214</f>
        <v>60206</v>
      </c>
      <c r="D214" s="19" t="n">
        <f aca="false">вересень!P214</f>
        <v>482.8</v>
      </c>
      <c r="E214" s="19" t="n">
        <f aca="false">вересень!Q214</f>
        <v>0</v>
      </c>
      <c r="F214" s="20" t="n">
        <f aca="false">вересень!F214</f>
        <v>0</v>
      </c>
      <c r="G214" s="21" t="n">
        <f aca="false">вересень!G214</f>
        <v>68</v>
      </c>
      <c r="H214" s="21" t="n">
        <f aca="false">вересень!H214</f>
        <v>0</v>
      </c>
      <c r="I214" s="22" t="n">
        <f aca="false">вересень!I214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/>
      <c r="P214" s="25" t="n">
        <f aca="false">IF(D214=0,IF((N214-E214-O214)&gt;0,(N214-E214-O214),0),IF((D214+N214-O214)&gt;0,(D214+N214-O214),0))</f>
        <v>761.6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вересень!B215</f>
        <v>Сергєєва Н.О.</v>
      </c>
      <c r="C215" s="18" t="str">
        <f aca="false">вересень!C215</f>
        <v>60207</v>
      </c>
      <c r="D215" s="19" t="n">
        <f aca="false">вересень!P215</f>
        <v>484.350000000001</v>
      </c>
      <c r="E215" s="19" t="n">
        <f aca="false">вересень!Q215</f>
        <v>0</v>
      </c>
      <c r="F215" s="20" t="n">
        <f aca="false">вересень!F215</f>
        <v>0</v>
      </c>
      <c r="G215" s="21" t="n">
        <f aca="false">вересень!G215</f>
        <v>72.1</v>
      </c>
      <c r="H215" s="21" t="n">
        <f aca="false">вересень!H215</f>
        <v>0</v>
      </c>
      <c r="I215" s="22" t="n">
        <f aca="false">вересень!I215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/>
      <c r="P215" s="25" t="n">
        <f aca="false">IF(D215=0,IF((N215-E215-O215)&gt;0,(N215-E215-O215),0),IF((D215+N215-O215)&gt;0,(D215+N215-O215),0))</f>
        <v>779.960000000001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вересень!B216</f>
        <v>Рева І.П.</v>
      </c>
      <c r="C216" s="18" t="str">
        <f aca="false">вересень!C216</f>
        <v>60208</v>
      </c>
      <c r="D216" s="19" t="n">
        <f aca="false">вересень!P216</f>
        <v>2638.55</v>
      </c>
      <c r="E216" s="19" t="n">
        <f aca="false">вересень!Q216</f>
        <v>0</v>
      </c>
      <c r="F216" s="20" t="n">
        <f aca="false">вересень!F216</f>
        <v>0</v>
      </c>
      <c r="G216" s="21" t="n">
        <f aca="false">вересень!G216</f>
        <v>49.72</v>
      </c>
      <c r="H216" s="21" t="n">
        <f aca="false">вересень!H216</f>
        <v>0</v>
      </c>
      <c r="I216" s="22" t="n">
        <f aca="false">вересень!I216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2842.4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вересень!B217</f>
        <v>Почапський Ю.Т.</v>
      </c>
      <c r="C217" s="18" t="str">
        <f aca="false">вересень!C217</f>
        <v>60209</v>
      </c>
      <c r="D217" s="19" t="n">
        <f aca="false">вересень!P217</f>
        <v>758.69</v>
      </c>
      <c r="E217" s="19" t="n">
        <f aca="false">вересень!Q217</f>
        <v>0</v>
      </c>
      <c r="F217" s="20" t="n">
        <f aca="false">вересень!F217</f>
        <v>0</v>
      </c>
      <c r="G217" s="21" t="n">
        <f aca="false">вересень!G217</f>
        <v>62.39</v>
      </c>
      <c r="H217" s="21" t="n">
        <f aca="false">вересень!H217</f>
        <v>0</v>
      </c>
      <c r="I217" s="22" t="n">
        <f aca="false">вересень!I217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/>
      <c r="P217" s="25" t="n">
        <f aca="false">IF(D217=0,IF((N217-E217-O217)&gt;0,(N217-E217-O217),0),IF((D217+N217-O217)&gt;0,(D217+N217-O217),0))</f>
        <v>1014.49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вересень!B218</f>
        <v>Васильченко М.П.</v>
      </c>
      <c r="C218" s="18" t="str">
        <f aca="false">вересень!C218</f>
        <v>60210</v>
      </c>
      <c r="D218" s="19" t="n">
        <f aca="false">вересень!P218</f>
        <v>5247.12</v>
      </c>
      <c r="E218" s="19" t="n">
        <f aca="false">вересень!Q218</f>
        <v>0</v>
      </c>
      <c r="F218" s="20" t="n">
        <f aca="false">вересень!F218</f>
        <v>0</v>
      </c>
      <c r="G218" s="21" t="n">
        <f aca="false">вересень!G218</f>
        <v>67.47</v>
      </c>
      <c r="H218" s="21" t="n">
        <f aca="false">вересень!H218</f>
        <v>0</v>
      </c>
      <c r="I218" s="22" t="n">
        <f aca="false">вересень!I218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5523.75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вересень!B219</f>
        <v>Черненко Т.А.</v>
      </c>
      <c r="C219" s="18" t="str">
        <f aca="false">вересень!C219</f>
        <v>60211</v>
      </c>
      <c r="D219" s="19" t="n">
        <f aca="false">вересень!P219</f>
        <v>4780.6</v>
      </c>
      <c r="E219" s="19" t="n">
        <f aca="false">вересень!Q219</f>
        <v>0</v>
      </c>
      <c r="F219" s="20" t="n">
        <f aca="false">вересень!F219</f>
        <v>0</v>
      </c>
      <c r="G219" s="21" t="n">
        <f aca="false">вересень!G219</f>
        <v>70.41</v>
      </c>
      <c r="H219" s="21" t="n">
        <f aca="false">вересень!H219</f>
        <v>0</v>
      </c>
      <c r="I219" s="22" t="n">
        <f aca="false">вересень!I219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5069.28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вересень!B220</f>
        <v>Сиротенко Я.О.</v>
      </c>
      <c r="C220" s="18" t="str">
        <f aca="false">вересень!C220</f>
        <v>60212</v>
      </c>
      <c r="D220" s="19" t="n">
        <f aca="false">вересень!P220</f>
        <v>2993.42</v>
      </c>
      <c r="E220" s="19" t="n">
        <f aca="false">вересень!Q220</f>
        <v>0</v>
      </c>
      <c r="F220" s="20" t="n">
        <f aca="false">вересень!F220</f>
        <v>0</v>
      </c>
      <c r="G220" s="21" t="n">
        <f aca="false">вересень!G220</f>
        <v>49.73</v>
      </c>
      <c r="H220" s="21" t="n">
        <f aca="false">вересень!H220</f>
        <v>0</v>
      </c>
      <c r="I220" s="22" t="n">
        <f aca="false">вересень!I220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3197.31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вересень!B221</f>
        <v>Корнюшенко О.О.</v>
      </c>
      <c r="C221" s="18" t="str">
        <f aca="false">вересень!C221</f>
        <v>60213</v>
      </c>
      <c r="D221" s="28" t="n">
        <f aca="false">вересень!P221</f>
        <v>6661.4</v>
      </c>
      <c r="E221" s="29" t="n">
        <f aca="false">вересень!Q221</f>
        <v>0</v>
      </c>
      <c r="F221" s="20" t="n">
        <f aca="false">вересень!F221</f>
        <v>0</v>
      </c>
      <c r="G221" s="21" t="n">
        <f aca="false">вересень!G221</f>
        <v>62</v>
      </c>
      <c r="H221" s="21" t="n">
        <f aca="false">вересень!H221</f>
        <v>0</v>
      </c>
      <c r="I221" s="22" t="n">
        <f aca="false">вересень!I221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6915.6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537683.42</v>
      </c>
      <c r="E222" s="33" t="n">
        <f aca="false">SUM(E7:E221)</f>
        <v>4553.07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0</v>
      </c>
      <c r="P222" s="39" t="n">
        <f aca="false">SUM(P7:P221)</f>
        <v>584170.21</v>
      </c>
      <c r="Q222" s="33" t="n">
        <f aca="false">SUM(Q7:Q221)</f>
        <v>3264.87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533130.35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580905.34</v>
      </c>
      <c r="Q223" s="41"/>
      <c r="V223" s="42"/>
    </row>
    <row r="224" customFormat="false" ht="15" hidden="false" customHeight="false" outlineLevel="0" collapsed="false">
      <c r="V224" s="26"/>
    </row>
    <row r="233" customFormat="false" ht="15" hidden="false" customHeight="false" outlineLevel="0" collapsed="false">
      <c r="J233" s="53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56">
      <formula>0</formula>
    </cfRule>
    <cfRule type="cellIs" priority="3" operator="equal" aboveAverage="0" equalAverage="0" bottom="0" percent="0" rank="0" text="" dxfId="57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58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59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60">
      <formula>0</formula>
    </cfRule>
  </conditionalFormatting>
  <conditionalFormatting sqref="K9:K10">
    <cfRule type="cellIs" priority="7" operator="equal" aboveAverage="0" equalAverage="0" bottom="0" percent="0" rank="0" text="" dxfId="61">
      <formula>0</formula>
    </cfRule>
  </conditionalFormatting>
  <conditionalFormatting sqref="K7:K221">
    <cfRule type="cellIs" priority="8" operator="equal" aboveAverage="0" equalAverage="0" bottom="0" percent="0" rank="0" text="" dxfId="62">
      <formula>0</formula>
    </cfRule>
  </conditionalFormatting>
  <conditionalFormatting sqref="L9:L10">
    <cfRule type="cellIs" priority="9" operator="equal" aboveAverage="0" equalAverage="0" bottom="0" percent="0" rank="0" text="" dxfId="63">
      <formula>0</formula>
    </cfRule>
  </conditionalFormatting>
  <conditionalFormatting sqref="L7:L221">
    <cfRule type="cellIs" priority="10" operator="equal" aboveAverage="0" equalAverage="0" bottom="0" percent="0" rank="0" text="" dxfId="64">
      <formula>0</formula>
    </cfRule>
  </conditionalFormatting>
  <conditionalFormatting sqref="L2:L5 M4:M89 N2:Q89 L7:L221 M6:Q221 D2:K221">
    <cfRule type="cellIs" priority="11" operator="equal" aboveAverage="0" equalAverage="0" bottom="0" percent="0" rank="0" text="" dxfId="65">
      <formula>0</formula>
    </cfRule>
  </conditionalFormatting>
  <printOptions headings="false" gridLines="false" gridLinesSet="true" horizontalCentered="true" verticalCentered="false"/>
  <pageMargins left="0.118055555555556" right="0.118055555555556" top="0.354166666666667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2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18.29"/>
    <col collapsed="false" customWidth="true" hidden="false" outlineLevel="0" max="3" min="3" style="0" width="7.42"/>
    <col collapsed="false" customWidth="true" hidden="false" outlineLevel="0" max="6" min="6" style="0" width="5.42"/>
    <col collapsed="false" customWidth="true" hidden="false" outlineLevel="0" max="7" min="7" style="0" width="7.42"/>
    <col collapsed="false" customWidth="true" hidden="false" outlineLevel="0" max="8" min="8" style="0" width="6.43"/>
    <col collapsed="false" customWidth="true" hidden="false" outlineLevel="0" max="9" min="9" style="2" width="6.71"/>
    <col collapsed="false" customWidth="true" hidden="false" outlineLevel="0" max="11" min="11" style="0" width="8.29"/>
    <col collapsed="false" customWidth="true" hidden="false" outlineLevel="0" max="12" min="12" style="0" width="7.71"/>
    <col collapsed="false" customWidth="true" hidden="false" outlineLevel="0" max="13" min="13" style="0" width="6.57"/>
    <col collapsed="false" customWidth="true" hidden="false" outlineLevel="0" max="17" min="16" style="0" width="9.29"/>
  </cols>
  <sheetData>
    <row r="1" customFormat="false" ht="24.75" hidden="false" customHeight="true" outlineLevel="0" collapsed="false">
      <c r="A1" s="1" t="s">
        <v>0</v>
      </c>
      <c r="B1" s="1"/>
      <c r="C1" s="1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673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3.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/>
    <row r="6" customFormat="false" ht="55.55" hidden="false" customHeight="fals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жовтень!B7</f>
        <v>Бережний В.М.</v>
      </c>
      <c r="C7" s="18" t="str">
        <f aca="false">жовтень!C7</f>
        <v>1001</v>
      </c>
      <c r="D7" s="19" t="n">
        <f aca="false">жовтень!P7</f>
        <v>1685.93</v>
      </c>
      <c r="E7" s="19" t="n">
        <f aca="false">жовтень!Q7</f>
        <v>0</v>
      </c>
      <c r="F7" s="20" t="n">
        <f aca="false">жовтень!F7</f>
        <v>0</v>
      </c>
      <c r="G7" s="21" t="n">
        <f aca="false">жовтень!G7</f>
        <v>64.26</v>
      </c>
      <c r="H7" s="21" t="n">
        <f aca="false">жовтень!H7</f>
        <v>0</v>
      </c>
      <c r="I7" s="22" t="n">
        <f aca="false">жовтень!I7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1949.4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жовтень!B8</f>
        <v>Старикова Т.О.</v>
      </c>
      <c r="C8" s="18" t="str">
        <f aca="false">жовтень!C8</f>
        <v>1002</v>
      </c>
      <c r="D8" s="19" t="n">
        <f aca="false">жовтень!P8</f>
        <v>4321.16</v>
      </c>
      <c r="E8" s="19" t="n">
        <f aca="false">жовтень!Q8</f>
        <v>0</v>
      </c>
      <c r="F8" s="20" t="n">
        <f aca="false">жовтень!F8</f>
        <v>0</v>
      </c>
      <c r="G8" s="21" t="n">
        <f aca="false">жовтень!G8</f>
        <v>48.71</v>
      </c>
      <c r="H8" s="21" t="n">
        <f aca="false">жовтень!H8</f>
        <v>0</v>
      </c>
      <c r="I8" s="22" t="n">
        <f aca="false">жовтень!I8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4520.87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жовтень!B9</f>
        <v>Мазур Т.В.</v>
      </c>
      <c r="C9" s="18" t="str">
        <f aca="false">жовтень!C9</f>
        <v>1003</v>
      </c>
      <c r="D9" s="19" t="n">
        <f aca="false">жовтень!P9</f>
        <v>440</v>
      </c>
      <c r="E9" s="19" t="n">
        <f aca="false">жовтень!Q9</f>
        <v>0</v>
      </c>
      <c r="F9" s="20" t="n">
        <f aca="false">жовтень!F9</f>
        <v>0</v>
      </c>
      <c r="G9" s="21" t="n">
        <f aca="false">жовтень!G9</f>
        <v>35</v>
      </c>
      <c r="H9" s="21" t="n">
        <f aca="false">жовтень!H9</f>
        <v>0</v>
      </c>
      <c r="I9" s="22" t="n">
        <f aca="false">жовтень!I9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583.5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жовтень!B10</f>
        <v>Сокол О.В.</v>
      </c>
      <c r="C10" s="18" t="str">
        <f aca="false">жовтень!C10</f>
        <v>1004</v>
      </c>
      <c r="D10" s="19" t="n">
        <f aca="false">жовтень!P10</f>
        <v>505.09</v>
      </c>
      <c r="E10" s="19" t="n">
        <f aca="false">жовтень!Q10</f>
        <v>0</v>
      </c>
      <c r="F10" s="20" t="n">
        <f aca="false">жовтень!F10</f>
        <v>0</v>
      </c>
      <c r="G10" s="21" t="n">
        <f aca="false">жовтень!G10</f>
        <v>61.6</v>
      </c>
      <c r="H10" s="21" t="n">
        <f aca="false">жовтень!H10</f>
        <v>0</v>
      </c>
      <c r="I10" s="22" t="n">
        <f aca="false">жовтень!I10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/>
      <c r="P10" s="25" t="n">
        <f aca="false">IF(D10=0,IF((N10-E10-O10)&gt;0,(N10-E10-O10),0),IF((D10+N10-O10)&gt;0,(D10+N10-O10),0))</f>
        <v>757.65</v>
      </c>
      <c r="Q10" s="25" t="n">
        <f aca="false">IF(E10=0,IF((D10+N10-O10)&lt;0,ABS(D10+N10-O10),0),IF((N10-E10-O10)&lt;0,ABS(N10-E10-O10),0))</f>
        <v>0</v>
      </c>
    </row>
    <row r="11" customFormat="false" ht="15" hidden="false" customHeight="false" outlineLevel="0" collapsed="false">
      <c r="A11" s="17" t="s">
        <v>31</v>
      </c>
      <c r="B11" s="18" t="str">
        <f aca="false">жовтень!B11</f>
        <v>Семко Л.І.</v>
      </c>
      <c r="C11" s="18" t="str">
        <f aca="false">жовтень!C11</f>
        <v>1005</v>
      </c>
      <c r="D11" s="19" t="n">
        <f aca="false">жовтень!P11</f>
        <v>322.930000000001</v>
      </c>
      <c r="E11" s="19" t="n">
        <f aca="false">жовтень!Q11</f>
        <v>0</v>
      </c>
      <c r="F11" s="20" t="n">
        <f aca="false">жовтень!F11</f>
        <v>0</v>
      </c>
      <c r="G11" s="21" t="n">
        <f aca="false">жовтень!G11</f>
        <v>28.34</v>
      </c>
      <c r="H11" s="21" t="n">
        <f aca="false">жовтень!H11</f>
        <v>0</v>
      </c>
      <c r="I11" s="22" t="n">
        <f aca="false">жовтень!I11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439.120000000001</v>
      </c>
      <c r="Q11" s="25" t="n">
        <f aca="false">IF(E11=0,IF((D11+N11-O11)&lt;0,ABS(D11+N11-O11),0),IF((N11-E11-O11)&lt;0,ABS(N11-E11-O11),0))</f>
        <v>0</v>
      </c>
    </row>
    <row r="12" customFormat="false" ht="15" hidden="false" customHeight="false" outlineLevel="0" collapsed="false">
      <c r="A12" s="17" t="s">
        <v>31</v>
      </c>
      <c r="B12" s="18" t="str">
        <f aca="false">жовтень!B12</f>
        <v>Гаркуша Н.І.</v>
      </c>
      <c r="C12" s="18" t="str">
        <f aca="false">жовтень!C12</f>
        <v>1005-а</v>
      </c>
      <c r="D12" s="19" t="n">
        <f aca="false">жовтень!P12</f>
        <v>801.200000000001</v>
      </c>
      <c r="E12" s="19" t="n">
        <f aca="false">жовтень!Q12</f>
        <v>0</v>
      </c>
      <c r="F12" s="20" t="n">
        <f aca="false">жовтень!F12</f>
        <v>0</v>
      </c>
      <c r="G12" s="21" t="n">
        <f aca="false">жовтень!G12</f>
        <v>36.66</v>
      </c>
      <c r="H12" s="21" t="n">
        <f aca="false">жовтень!H12</f>
        <v>0</v>
      </c>
      <c r="I12" s="22" t="n">
        <f aca="false">жовтень!I12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951.510000000001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жовтень!B13</f>
        <v>Андріяшев В.М</v>
      </c>
      <c r="C13" s="18" t="str">
        <f aca="false">жовтень!C13</f>
        <v>1006</v>
      </c>
      <c r="D13" s="19" t="n">
        <f aca="false">жовтень!P13</f>
        <v>435.88</v>
      </c>
      <c r="E13" s="19" t="n">
        <f aca="false">жовтень!Q13</f>
        <v>0</v>
      </c>
      <c r="F13" s="20" t="n">
        <f aca="false">жовтень!F13</f>
        <v>0</v>
      </c>
      <c r="G13" s="21" t="n">
        <f aca="false">жовтень!G13</f>
        <v>49.8</v>
      </c>
      <c r="H13" s="21" t="n">
        <f aca="false">жовтень!H13</f>
        <v>0</v>
      </c>
      <c r="I13" s="22" t="n">
        <f aca="false">жовтень!I13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640.06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жовтень!B14</f>
        <v>Старчикова О.М.</v>
      </c>
      <c r="C14" s="18" t="str">
        <f aca="false">жовтень!C14</f>
        <v>1007</v>
      </c>
      <c r="D14" s="19" t="n">
        <f aca="false">жовтень!P14</f>
        <v>422.54</v>
      </c>
      <c r="E14" s="19" t="n">
        <f aca="false">жовтень!Q14</f>
        <v>0</v>
      </c>
      <c r="F14" s="20" t="n">
        <f aca="false">жовтень!F14</f>
        <v>0</v>
      </c>
      <c r="G14" s="21" t="n">
        <f aca="false">жовтень!G14</f>
        <v>34.65</v>
      </c>
      <c r="H14" s="21" t="n">
        <f aca="false">жовтень!H14</f>
        <v>0</v>
      </c>
      <c r="I14" s="22" t="n">
        <f aca="false">жовтень!I14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/>
      <c r="P14" s="25" t="n">
        <f aca="false">IF(D14=0,IF((N14-E14-O14)&gt;0,(N14-E14-O14),0),IF((D14+N14-O14)&gt;0,(D14+N14-O14),0))</f>
        <v>564.61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жовтень!B15</f>
        <v>Безер Т.М</v>
      </c>
      <c r="C15" s="18" t="str">
        <f aca="false">жовтень!C15</f>
        <v>1008</v>
      </c>
      <c r="D15" s="19" t="n">
        <f aca="false">жовтень!P15</f>
        <v>733.95</v>
      </c>
      <c r="E15" s="19" t="n">
        <f aca="false">жовтень!Q15</f>
        <v>0</v>
      </c>
      <c r="F15" s="20" t="n">
        <f aca="false">жовтень!F15</f>
        <v>0</v>
      </c>
      <c r="G15" s="21" t="n">
        <f aca="false">жовтень!G15</f>
        <v>62.14</v>
      </c>
      <c r="H15" s="21" t="n">
        <f aca="false">жовтень!H15</f>
        <v>0</v>
      </c>
      <c r="I15" s="22" t="n">
        <f aca="false">жовтень!I15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988.72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жовтень!B16</f>
        <v>Решетило М.М</v>
      </c>
      <c r="C16" s="18" t="str">
        <f aca="false">жовтень!C16</f>
        <v>1009</v>
      </c>
      <c r="D16" s="19" t="n">
        <f aca="false">жовтень!P16</f>
        <v>802.56</v>
      </c>
      <c r="E16" s="19" t="n">
        <f aca="false">жовтень!Q16</f>
        <v>0</v>
      </c>
      <c r="F16" s="20" t="n">
        <f aca="false">жовтень!F16</f>
        <v>0</v>
      </c>
      <c r="G16" s="21" t="n">
        <f aca="false">жовтень!G16</f>
        <v>65.16</v>
      </c>
      <c r="H16" s="21" t="n">
        <f aca="false">жовтень!H16</f>
        <v>0</v>
      </c>
      <c r="I16" s="22" t="n">
        <f aca="false">жовтень!I16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1069.72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жовтень!B17</f>
        <v>Фесенко О.В.</v>
      </c>
      <c r="C17" s="18" t="str">
        <f aca="false">жовтень!C17</f>
        <v>1010</v>
      </c>
      <c r="D17" s="19" t="n">
        <f aca="false">жовтень!P17</f>
        <v>3636.03</v>
      </c>
      <c r="E17" s="19" t="n">
        <f aca="false">жовтень!Q17</f>
        <v>0</v>
      </c>
      <c r="F17" s="20" t="n">
        <f aca="false">жовтень!F17</f>
        <v>0</v>
      </c>
      <c r="G17" s="21" t="n">
        <f aca="false">жовтень!G17</f>
        <v>50.1</v>
      </c>
      <c r="H17" s="21" t="n">
        <f aca="false">жовтень!H17</f>
        <v>0</v>
      </c>
      <c r="I17" s="22" t="n">
        <f aca="false">жовтень!I17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3841.44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жовтень!B18</f>
        <v>Петренко О.М.</v>
      </c>
      <c r="C18" s="18" t="str">
        <f aca="false">жовтень!C18</f>
        <v>1011</v>
      </c>
      <c r="D18" s="19" t="n">
        <f aca="false">жовтень!P18</f>
        <v>1295.88</v>
      </c>
      <c r="E18" s="19" t="n">
        <f aca="false">жовтень!Q18</f>
        <v>0</v>
      </c>
      <c r="F18" s="20" t="n">
        <f aca="false">жовтень!F18</f>
        <v>0</v>
      </c>
      <c r="G18" s="21" t="n">
        <f aca="false">жовтень!G18</f>
        <v>35.2</v>
      </c>
      <c r="H18" s="21" t="n">
        <f aca="false">жовтень!H18</f>
        <v>0</v>
      </c>
      <c r="I18" s="22" t="n">
        <f aca="false">жовтень!I18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1440.2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жовтень!B19</f>
        <v>Зеленюк А.Д</v>
      </c>
      <c r="C19" s="18" t="str">
        <f aca="false">жовтень!C19</f>
        <v>1012</v>
      </c>
      <c r="D19" s="19" t="n">
        <f aca="false">жовтень!P19</f>
        <v>5487.21</v>
      </c>
      <c r="E19" s="19" t="n">
        <f aca="false">жовтень!Q19</f>
        <v>0</v>
      </c>
      <c r="F19" s="20" t="n">
        <f aca="false">жовтень!F19</f>
        <v>0</v>
      </c>
      <c r="G19" s="21" t="n">
        <f aca="false">жовтень!G19</f>
        <v>62.78</v>
      </c>
      <c r="H19" s="21" t="n">
        <f aca="false">жовтень!H19</f>
        <v>0</v>
      </c>
      <c r="I19" s="22" t="n">
        <f aca="false">жовтень!I19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5744.61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жовтень!B20</f>
        <v>Вовк І.В</v>
      </c>
      <c r="C20" s="18" t="str">
        <f aca="false">жовтень!C20</f>
        <v>1013</v>
      </c>
      <c r="D20" s="19" t="n">
        <f aca="false">жовтень!P20</f>
        <v>3294.27</v>
      </c>
      <c r="E20" s="19" t="n">
        <f aca="false">жовтень!Q20</f>
        <v>0</v>
      </c>
      <c r="F20" s="20" t="n">
        <f aca="false">жовтень!F20</f>
        <v>0</v>
      </c>
      <c r="G20" s="21" t="n">
        <f aca="false">жовтень!G20</f>
        <v>28.23</v>
      </c>
      <c r="H20" s="21" t="n">
        <f aca="false">жовтень!H20</f>
        <v>0</v>
      </c>
      <c r="I20" s="22" t="n">
        <f aca="false">жовтень!I20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3410.01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жовтень!B21</f>
        <v>Романовський В.М</v>
      </c>
      <c r="C21" s="18" t="str">
        <f aca="false">жовтень!C21</f>
        <v>1013-а</v>
      </c>
      <c r="D21" s="19" t="n">
        <f aca="false">жовтень!P21</f>
        <v>4809.3</v>
      </c>
      <c r="E21" s="19" t="n">
        <f aca="false">жовтень!Q21</f>
        <v>0</v>
      </c>
      <c r="F21" s="20" t="n">
        <f aca="false">жовтень!F21</f>
        <v>0</v>
      </c>
      <c r="G21" s="21" t="n">
        <f aca="false">жовтень!G21</f>
        <v>37.84</v>
      </c>
      <c r="H21" s="21" t="n">
        <f aca="false">жовтень!H21</f>
        <v>0</v>
      </c>
      <c r="I21" s="22" t="n">
        <f aca="false">жовтень!I21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4964.44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жовтень!B22</f>
        <v>Ряба Л.І</v>
      </c>
      <c r="C22" s="18" t="str">
        <f aca="false">жовтень!C22</f>
        <v>1014</v>
      </c>
      <c r="D22" s="19" t="n">
        <f aca="false">жовтень!P22</f>
        <v>1030.08</v>
      </c>
      <c r="E22" s="19" t="n">
        <f aca="false">жовтень!Q22</f>
        <v>0</v>
      </c>
      <c r="F22" s="20" t="n">
        <f aca="false">жовтень!F22</f>
        <v>0</v>
      </c>
      <c r="G22" s="21" t="n">
        <f aca="false">жовтень!G22</f>
        <v>49.24</v>
      </c>
      <c r="H22" s="21" t="n">
        <f aca="false">жовтень!H22</f>
        <v>0</v>
      </c>
      <c r="I22" s="22" t="n">
        <f aca="false">жовтень!I22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1231.96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жовтень!B23</f>
        <v>Кас'янова О.А.</v>
      </c>
      <c r="C23" s="18" t="str">
        <f aca="false">жовтень!C23</f>
        <v>1015</v>
      </c>
      <c r="D23" s="19" t="n">
        <f aca="false">жовтень!P23</f>
        <v>2348.14</v>
      </c>
      <c r="E23" s="19" t="n">
        <f aca="false">жовтень!Q23</f>
        <v>0</v>
      </c>
      <c r="F23" s="20" t="n">
        <f aca="false">жовтень!F23</f>
        <v>0</v>
      </c>
      <c r="G23" s="21" t="n">
        <f aca="false">жовтень!G23</f>
        <v>35.1</v>
      </c>
      <c r="H23" s="21" t="n">
        <f aca="false">жовтень!H23</f>
        <v>0</v>
      </c>
      <c r="I23" s="22" t="n">
        <f aca="false">жовтень!I23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2492.05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жовтень!B24</f>
        <v>Корякіна М.В.</v>
      </c>
      <c r="C24" s="18" t="str">
        <f aca="false">жовтень!C24</f>
        <v>1016</v>
      </c>
      <c r="D24" s="19" t="n">
        <f aca="false">жовтень!P24</f>
        <v>1268.95</v>
      </c>
      <c r="E24" s="19" t="n">
        <f aca="false">жовтень!Q24</f>
        <v>0</v>
      </c>
      <c r="F24" s="20" t="n">
        <f aca="false">жовтень!F24</f>
        <v>0</v>
      </c>
      <c r="G24" s="21" t="n">
        <f aca="false">жовтень!G24</f>
        <v>61.9</v>
      </c>
      <c r="H24" s="21" t="n">
        <f aca="false">жовтень!H24</f>
        <v>0</v>
      </c>
      <c r="I24" s="22" t="n">
        <f aca="false">жовтень!I24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1522.74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жовтень!B25</f>
        <v>Сокерчак А.В.</v>
      </c>
      <c r="C25" s="18" t="str">
        <f aca="false">жовтень!C25</f>
        <v>1017</v>
      </c>
      <c r="D25" s="19" t="n">
        <f aca="false">жовтень!P25</f>
        <v>1902.81</v>
      </c>
      <c r="E25" s="19" t="n">
        <f aca="false">жовтень!Q25</f>
        <v>0</v>
      </c>
      <c r="F25" s="20" t="n">
        <f aca="false">жовтень!F25</f>
        <v>0</v>
      </c>
      <c r="G25" s="21" t="n">
        <f aca="false">жовтень!G25</f>
        <v>66.3</v>
      </c>
      <c r="H25" s="21" t="n">
        <f aca="false">жовтень!H25</f>
        <v>0</v>
      </c>
      <c r="I25" s="22" t="n">
        <f aca="false">жовтень!I25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2174.64</v>
      </c>
      <c r="Q25" s="25" t="n">
        <f aca="false">IF(E25=0,IF((D25+N25-O25)&lt;0,ABS(D25+N25-O25),0),IF((N25-E25-O25)&lt;0,ABS(N25-E25-O25),0))</f>
        <v>0</v>
      </c>
    </row>
    <row r="26" customFormat="false" ht="15" hidden="false" customHeight="false" outlineLevel="0" collapsed="false">
      <c r="A26" s="17" t="s">
        <v>74</v>
      </c>
      <c r="B26" s="18" t="str">
        <f aca="false">жовтень!B26</f>
        <v>Кравченко В.А</v>
      </c>
      <c r="C26" s="18" t="str">
        <f aca="false">жовтень!C26</f>
        <v>1018</v>
      </c>
      <c r="D26" s="19" t="n">
        <f aca="false">жовтень!P26</f>
        <v>282.49</v>
      </c>
      <c r="E26" s="19" t="n">
        <f aca="false">жовтень!Q26</f>
        <v>0</v>
      </c>
      <c r="F26" s="20" t="n">
        <f aca="false">жовтень!F26</f>
        <v>0</v>
      </c>
      <c r="G26" s="21" t="n">
        <f aca="false">жовтень!G26</f>
        <v>51.48</v>
      </c>
      <c r="H26" s="21" t="n">
        <f aca="false">жовтень!H26</f>
        <v>0</v>
      </c>
      <c r="I26" s="22" t="n">
        <f aca="false">жовтень!I26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493.56</v>
      </c>
      <c r="Q26" s="25" t="n">
        <f aca="false">IF(E26=0,IF((D26+N26-O26)&lt;0,ABS(D26+N26-O26),0),IF((N26-E26-O26)&lt;0,ABS(N26-E26-O26),0))</f>
        <v>0</v>
      </c>
    </row>
    <row r="27" customFormat="false" ht="15" hidden="false" customHeight="false" outlineLevel="0" collapsed="false">
      <c r="A27" s="17" t="s">
        <v>77</v>
      </c>
      <c r="B27" s="18" t="str">
        <f aca="false">жовтень!B27</f>
        <v>Чичикало А.С</v>
      </c>
      <c r="C27" s="18" t="str">
        <f aca="false">жовтень!C27</f>
        <v>1019</v>
      </c>
      <c r="D27" s="19" t="n">
        <f aca="false">жовтень!P27</f>
        <v>687.48</v>
      </c>
      <c r="E27" s="19" t="n">
        <f aca="false">жовтень!Q27</f>
        <v>0</v>
      </c>
      <c r="F27" s="20" t="n">
        <f aca="false">жовтень!F27</f>
        <v>0</v>
      </c>
      <c r="G27" s="21" t="n">
        <f aca="false">жовтень!G27</f>
        <v>35.1</v>
      </c>
      <c r="H27" s="21" t="n">
        <f aca="false">жовтень!H27</f>
        <v>0</v>
      </c>
      <c r="I27" s="22" t="n">
        <f aca="false">жовтень!I27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831.39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жовтень!B28</f>
        <v>Сільващук А.А</v>
      </c>
      <c r="C28" s="18" t="str">
        <f aca="false">жовтень!C28</f>
        <v>1020</v>
      </c>
      <c r="D28" s="19" t="n">
        <f aca="false">жовтень!P28</f>
        <v>514.139999999999</v>
      </c>
      <c r="E28" s="19" t="n">
        <f aca="false">жовтень!Q28</f>
        <v>0</v>
      </c>
      <c r="F28" s="20" t="n">
        <f aca="false">жовтень!F28</f>
        <v>0</v>
      </c>
      <c r="G28" s="21" t="n">
        <f aca="false">жовтень!G28</f>
        <v>62.7</v>
      </c>
      <c r="H28" s="21" t="n">
        <f aca="false">жовтень!H28</f>
        <v>0</v>
      </c>
      <c r="I28" s="22" t="n">
        <f aca="false">жовтень!I28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771.209999999999</v>
      </c>
      <c r="Q28" s="25" t="n">
        <f aca="false">IF(E28=0,IF((D28+N28-O28)&lt;0,ABS(D28+N28-O28),0),IF((N28-E28-O28)&lt;0,ABS(N28-E28-O28),0))</f>
        <v>0</v>
      </c>
    </row>
    <row r="29" customFormat="false" ht="15" hidden="false" customHeight="false" outlineLevel="0" collapsed="false">
      <c r="A29" s="17" t="s">
        <v>83</v>
      </c>
      <c r="B29" s="18" t="str">
        <f aca="false">жовтень!B29</f>
        <v>Стеценко Г.М</v>
      </c>
      <c r="C29" s="18" t="str">
        <f aca="false">жовтень!C29</f>
        <v>1021</v>
      </c>
      <c r="D29" s="19" t="n">
        <f aca="false">жовтень!P29</f>
        <v>1981.83</v>
      </c>
      <c r="E29" s="19" t="n">
        <f aca="false">жовтень!Q29</f>
        <v>0</v>
      </c>
      <c r="F29" s="20" t="n">
        <f aca="false">жовтень!F29</f>
        <v>0</v>
      </c>
      <c r="G29" s="21" t="n">
        <f aca="false">жовтень!G29</f>
        <v>65.32</v>
      </c>
      <c r="H29" s="21" t="n">
        <f aca="false">жовтень!H29</f>
        <v>0</v>
      </c>
      <c r="I29" s="22" t="n">
        <f aca="false">жовтень!I29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/>
      <c r="P29" s="25" t="n">
        <f aca="false">IF(D29=0,IF((N29-E29-O29)&gt;0,(N29-E29-O29),0),IF((D29+N29-O29)&gt;0,(D29+N29-O29),0))</f>
        <v>2249.64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жовтень!B30</f>
        <v>Кирдячкіна П.А</v>
      </c>
      <c r="C30" s="18" t="str">
        <f aca="false">жовтень!C30</f>
        <v>1022</v>
      </c>
      <c r="D30" s="19" t="n">
        <f aca="false">жовтень!P30</f>
        <v>1537.86</v>
      </c>
      <c r="E30" s="19" t="n">
        <f aca="false">жовтень!Q30</f>
        <v>0</v>
      </c>
      <c r="F30" s="20" t="n">
        <f aca="false">жовтень!F30</f>
        <v>0</v>
      </c>
      <c r="G30" s="21" t="n">
        <f aca="false">жовтень!G30</f>
        <v>49.7</v>
      </c>
      <c r="H30" s="21" t="n">
        <f aca="false">жовтень!H30</f>
        <v>0</v>
      </c>
      <c r="I30" s="22" t="n">
        <f aca="false">жовтень!I30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1741.63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жовтень!B31</f>
        <v>Фоміченко Л.А</v>
      </c>
      <c r="C31" s="18" t="str">
        <f aca="false">жовтень!C31</f>
        <v>1023</v>
      </c>
      <c r="D31" s="19" t="n">
        <f aca="false">жовтень!P31</f>
        <v>1439.1</v>
      </c>
      <c r="E31" s="19" t="n">
        <f aca="false">жовтень!Q31</f>
        <v>0</v>
      </c>
      <c r="F31" s="20" t="n">
        <f aca="false">жовтень!F31</f>
        <v>0</v>
      </c>
      <c r="G31" s="21" t="n">
        <f aca="false">жовтень!G31</f>
        <v>35.1</v>
      </c>
      <c r="H31" s="21" t="n">
        <f aca="false">жовтень!H31</f>
        <v>0</v>
      </c>
      <c r="I31" s="22" t="n">
        <f aca="false">жовтень!I31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1583.01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жовтень!B32</f>
        <v>Сердюк А.Г</v>
      </c>
      <c r="C32" s="18" t="str">
        <f aca="false">жовтень!C32</f>
        <v>1024</v>
      </c>
      <c r="D32" s="19" t="n">
        <f aca="false">жовтень!P32</f>
        <v>1783.31</v>
      </c>
      <c r="E32" s="19" t="n">
        <f aca="false">жовтень!Q32</f>
        <v>0</v>
      </c>
      <c r="F32" s="20" t="n">
        <f aca="false">жовтень!F32</f>
        <v>0</v>
      </c>
      <c r="G32" s="21" t="n">
        <f aca="false">жовтень!G32</f>
        <v>62.31</v>
      </c>
      <c r="H32" s="21" t="n">
        <f aca="false">жовтень!H32</f>
        <v>0</v>
      </c>
      <c r="I32" s="22" t="n">
        <f aca="false">жовтень!I32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/>
      <c r="P32" s="25" t="n">
        <f aca="false">IF(D32=0,IF((N32-E32-O32)&gt;0,(N32-E32-O32),0),IF((D32+N32-O32)&gt;0,(D32+N32-O32),0))</f>
        <v>2038.78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жовтень!B33</f>
        <v>Михальченко Г.М</v>
      </c>
      <c r="C33" s="18" t="str">
        <f aca="false">жовтень!C33</f>
        <v>1025</v>
      </c>
      <c r="D33" s="19" t="n">
        <f aca="false">жовтень!P33</f>
        <v>5454.08</v>
      </c>
      <c r="E33" s="19" t="n">
        <f aca="false">жовтень!Q33</f>
        <v>0</v>
      </c>
      <c r="F33" s="20" t="n">
        <f aca="false">жовтень!F33</f>
        <v>0</v>
      </c>
      <c r="G33" s="21" t="n">
        <f aca="false">жовтень!G33</f>
        <v>65.04</v>
      </c>
      <c r="H33" s="21" t="n">
        <f aca="false">жовтень!H33</f>
        <v>0</v>
      </c>
      <c r="I33" s="22" t="n">
        <f aca="false">жовтень!I33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5720.74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жовтень!B34</f>
        <v>Замуховська Я.С</v>
      </c>
      <c r="C34" s="18" t="str">
        <f aca="false">жовтень!C34</f>
        <v>1026</v>
      </c>
      <c r="D34" s="19" t="n">
        <f aca="false">жовтень!P34</f>
        <v>3078.77</v>
      </c>
      <c r="E34" s="19" t="n">
        <f aca="false">жовтень!Q34</f>
        <v>0</v>
      </c>
      <c r="F34" s="20" t="n">
        <f aca="false">жовтень!F34</f>
        <v>0</v>
      </c>
      <c r="G34" s="21" t="n">
        <f aca="false">жовтень!G34</f>
        <v>49.8</v>
      </c>
      <c r="H34" s="21" t="n">
        <f aca="false">жовтень!H34</f>
        <v>0</v>
      </c>
      <c r="I34" s="22" t="n">
        <f aca="false">жовтень!I34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3282.95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жовтень!B35</f>
        <v>Мержиєвська Г.К</v>
      </c>
      <c r="C35" s="18" t="str">
        <f aca="false">жовтень!C35</f>
        <v>1027</v>
      </c>
      <c r="D35" s="19" t="n">
        <f aca="false">жовтень!P35</f>
        <v>0</v>
      </c>
      <c r="E35" s="19" t="n">
        <f aca="false">жовтень!Q35</f>
        <v>39.1</v>
      </c>
      <c r="F35" s="20" t="n">
        <f aca="false">жовтень!F35</f>
        <v>0</v>
      </c>
      <c r="G35" s="21" t="n">
        <f aca="false">жовтень!G35</f>
        <v>35.17</v>
      </c>
      <c r="H35" s="21" t="n">
        <f aca="false">жовтень!H35</f>
        <v>0</v>
      </c>
      <c r="I35" s="22" t="n">
        <f aca="false">жовтень!I35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/>
      <c r="P35" s="25" t="n">
        <f aca="false">IF(D35=0,IF((N35-E35-O35)&gt;0,(N35-E35-O35),0),IF((D35+N35-O35)&gt;0,(D35+N35-O35),0))</f>
        <v>105.1</v>
      </c>
      <c r="Q35" s="25" t="n">
        <f aca="false">IF(E35=0,IF((D35+N35-O35)&lt;0,ABS(D35+N35-O35),0),IF((N35-E35-O35)&lt;0,ABS(N35-E35-O35),0))</f>
        <v>0</v>
      </c>
    </row>
    <row r="36" customFormat="false" ht="15" hidden="false" customHeight="false" outlineLevel="0" collapsed="false">
      <c r="A36" s="17" t="s">
        <v>104</v>
      </c>
      <c r="B36" s="18" t="str">
        <f aca="false">жовтень!B36</f>
        <v>Кулакова Л.В.</v>
      </c>
      <c r="C36" s="18" t="str">
        <f aca="false">жовтень!C36</f>
        <v>1028</v>
      </c>
      <c r="D36" s="19" t="n">
        <f aca="false">жовтень!P36</f>
        <v>2534.61</v>
      </c>
      <c r="E36" s="19" t="n">
        <f aca="false">жовтень!Q36</f>
        <v>0</v>
      </c>
      <c r="F36" s="20" t="n">
        <f aca="false">жовтень!F36</f>
        <v>0</v>
      </c>
      <c r="G36" s="21" t="n">
        <f aca="false">жовтень!G36</f>
        <v>62.47</v>
      </c>
      <c r="H36" s="21" t="n">
        <f aca="false">жовтень!H36</f>
        <v>0</v>
      </c>
      <c r="I36" s="22" t="n">
        <f aca="false">жовтень!I36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2790.74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жовтень!B37</f>
        <v>Бочаров В.Л.</v>
      </c>
      <c r="C37" s="18" t="str">
        <f aca="false">жовтень!C37</f>
        <v>1029</v>
      </c>
      <c r="D37" s="19" t="n">
        <f aca="false">жовтень!P37</f>
        <v>4174.44</v>
      </c>
      <c r="E37" s="19" t="n">
        <f aca="false">жовтень!Q37</f>
        <v>0</v>
      </c>
      <c r="F37" s="20" t="n">
        <f aca="false">жовтень!F37</f>
        <v>0</v>
      </c>
      <c r="G37" s="21" t="n">
        <f aca="false">жовтень!G37</f>
        <v>65.75</v>
      </c>
      <c r="H37" s="21" t="n">
        <f aca="false">жовтень!H37</f>
        <v>0</v>
      </c>
      <c r="I37" s="22" t="n">
        <f aca="false">жовтень!I37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4444.02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жовтень!B38</f>
        <v>Лучков В.Л.</v>
      </c>
      <c r="C38" s="18" t="str">
        <f aca="false">жовтень!C38</f>
        <v>1030</v>
      </c>
      <c r="D38" s="19" t="n">
        <f aca="false">жовтень!P38</f>
        <v>4270.53</v>
      </c>
      <c r="E38" s="19" t="n">
        <f aca="false">жовтень!Q38</f>
        <v>0</v>
      </c>
      <c r="F38" s="20" t="n">
        <f aca="false">жовтень!F38</f>
        <v>0</v>
      </c>
      <c r="G38" s="21" t="n">
        <f aca="false">жовтень!G38</f>
        <v>49.7</v>
      </c>
      <c r="H38" s="21" t="n">
        <f aca="false">жовтень!H38</f>
        <v>0</v>
      </c>
      <c r="I38" s="22" t="n">
        <f aca="false">жовтень!I38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4474.3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жовтень!B39</f>
        <v>Кашкар Т.М.</v>
      </c>
      <c r="C39" s="18" t="str">
        <f aca="false">жовтень!C39</f>
        <v>1031</v>
      </c>
      <c r="D39" s="19" t="n">
        <f aca="false">жовтень!P39</f>
        <v>287.82</v>
      </c>
      <c r="E39" s="19" t="n">
        <f aca="false">жовтень!Q39</f>
        <v>0</v>
      </c>
      <c r="F39" s="20" t="n">
        <f aca="false">жовтень!F39</f>
        <v>0</v>
      </c>
      <c r="G39" s="21" t="n">
        <f aca="false">жовтень!G39</f>
        <v>35.1</v>
      </c>
      <c r="H39" s="21" t="n">
        <f aca="false">жовтень!H39</f>
        <v>0</v>
      </c>
      <c r="I39" s="22" t="n">
        <f aca="false">жовтень!I39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431.73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жовтень!B40</f>
        <v>Стецюк Н.П.</v>
      </c>
      <c r="C40" s="18" t="str">
        <f aca="false">жовтень!C40</f>
        <v>1032</v>
      </c>
      <c r="D40" s="19" t="n">
        <f aca="false">жовтень!P40</f>
        <v>4297.57</v>
      </c>
      <c r="E40" s="19" t="n">
        <f aca="false">жовтень!Q40</f>
        <v>0</v>
      </c>
      <c r="F40" s="20" t="n">
        <f aca="false">жовтень!F40</f>
        <v>0</v>
      </c>
      <c r="G40" s="21" t="n">
        <f aca="false">жовтень!G40</f>
        <v>61.9</v>
      </c>
      <c r="H40" s="21" t="n">
        <f aca="false">жовтень!H40</f>
        <v>0</v>
      </c>
      <c r="I40" s="22" t="n">
        <f aca="false">жовтень!I40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4551.36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жовтень!B41</f>
        <v>Маханько В.О.</v>
      </c>
      <c r="C41" s="18" t="str">
        <f aca="false">жовтень!C41</f>
        <v>1033</v>
      </c>
      <c r="D41" s="19" t="n">
        <f aca="false">жовтень!P41</f>
        <v>2575.99</v>
      </c>
      <c r="E41" s="19" t="n">
        <f aca="false">жовтень!Q41</f>
        <v>0</v>
      </c>
      <c r="F41" s="20" t="n">
        <f aca="false">жовтень!F41</f>
        <v>0</v>
      </c>
      <c r="G41" s="21" t="n">
        <f aca="false">жовтень!G41</f>
        <v>65.53</v>
      </c>
      <c r="H41" s="21" t="n">
        <f aca="false">жовтень!H41</f>
        <v>0</v>
      </c>
      <c r="I41" s="22" t="n">
        <f aca="false">жовтень!I41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2844.66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жовтень!B42</f>
        <v>Реуцька Р.С.</v>
      </c>
      <c r="C42" s="18" t="str">
        <f aca="false">жовтень!C42</f>
        <v>1034</v>
      </c>
      <c r="D42" s="19" t="n">
        <f aca="false">жовтень!P42</f>
        <v>2963.44</v>
      </c>
      <c r="E42" s="19" t="n">
        <f aca="false">жовтень!Q42</f>
        <v>0</v>
      </c>
      <c r="F42" s="20" t="n">
        <f aca="false">жовтень!F42</f>
        <v>0</v>
      </c>
      <c r="G42" s="21" t="n">
        <f aca="false">жовтень!G42</f>
        <v>49.7</v>
      </c>
      <c r="H42" s="21" t="n">
        <f aca="false">жовтень!H42</f>
        <v>0</v>
      </c>
      <c r="I42" s="22" t="n">
        <f aca="false">жовтень!I42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3167.21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жовтень!B43</f>
        <v>Колесникова Р.Г.</v>
      </c>
      <c r="C43" s="18" t="str">
        <f aca="false">жовтень!C43</f>
        <v>1035</v>
      </c>
      <c r="D43" s="19" t="n">
        <f aca="false">жовтень!P43</f>
        <v>1335.4</v>
      </c>
      <c r="E43" s="19" t="n">
        <f aca="false">жовтень!Q43</f>
        <v>0</v>
      </c>
      <c r="F43" s="20" t="n">
        <f aca="false">жовтень!F43</f>
        <v>0</v>
      </c>
      <c r="G43" s="21" t="n">
        <f aca="false">жовтень!G43</f>
        <v>35.1</v>
      </c>
      <c r="H43" s="21" t="n">
        <f aca="false">жовтень!H43</f>
        <v>0</v>
      </c>
      <c r="I43" s="22" t="n">
        <f aca="false">жовтень!I43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1479.31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жовтень!B44</f>
        <v>Кучеренко М.М.</v>
      </c>
      <c r="C44" s="18" t="str">
        <f aca="false">жовтень!C44</f>
        <v>1036</v>
      </c>
      <c r="D44" s="19" t="n">
        <f aca="false">жовтень!P44</f>
        <v>4624.93</v>
      </c>
      <c r="E44" s="19" t="n">
        <f aca="false">жовтень!Q44</f>
        <v>0</v>
      </c>
      <c r="F44" s="20" t="n">
        <f aca="false">жовтень!F44</f>
        <v>0</v>
      </c>
      <c r="G44" s="21" t="n">
        <f aca="false">жовтень!G44</f>
        <v>61.88</v>
      </c>
      <c r="H44" s="21" t="n">
        <f aca="false">жовтень!H44</f>
        <v>0</v>
      </c>
      <c r="I44" s="22" t="n">
        <f aca="false">жовтень!I44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4878.64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жовтень!B45</f>
        <v>Гурова О.М.</v>
      </c>
      <c r="C45" s="18" t="str">
        <f aca="false">жовтень!C45</f>
        <v>2037</v>
      </c>
      <c r="D45" s="19" t="n">
        <f aca="false">жовтень!P45</f>
        <v>193.61</v>
      </c>
      <c r="E45" s="19" t="n">
        <f aca="false">жовтень!Q45</f>
        <v>0</v>
      </c>
      <c r="F45" s="20" t="n">
        <f aca="false">жовтень!F45</f>
        <v>0</v>
      </c>
      <c r="G45" s="21" t="n">
        <f aca="false">жовтень!G45</f>
        <v>62.2</v>
      </c>
      <c r="H45" s="21" t="n">
        <f aca="false">жовтень!H45</f>
        <v>0</v>
      </c>
      <c r="I45" s="22" t="n">
        <f aca="false">жовтень!I45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448.63</v>
      </c>
      <c r="Q45" s="25" t="n">
        <f aca="false">IF(E45=0,IF((D45+N45-O45)&lt;0,ABS(D45+N45-O45),0),IF((N45-E45-O45)&lt;0,ABS(N45-E45-O45),0))</f>
        <v>0</v>
      </c>
    </row>
    <row r="46" customFormat="false" ht="15" hidden="false" customHeight="false" outlineLevel="0" collapsed="false">
      <c r="A46" s="17" t="s">
        <v>134</v>
      </c>
      <c r="B46" s="18" t="str">
        <f aca="false">жовтень!B46</f>
        <v>Федорова В.І.</v>
      </c>
      <c r="C46" s="18" t="str">
        <f aca="false">жовтень!C46</f>
        <v>2038</v>
      </c>
      <c r="D46" s="19" t="n">
        <f aca="false">жовтень!P46</f>
        <v>557.9</v>
      </c>
      <c r="E46" s="19" t="n">
        <f aca="false">жовтень!Q46</f>
        <v>0</v>
      </c>
      <c r="F46" s="20" t="n">
        <f aca="false">жовтень!F46</f>
        <v>0</v>
      </c>
      <c r="G46" s="21" t="n">
        <f aca="false">жовтень!G46</f>
        <v>34.9</v>
      </c>
      <c r="H46" s="21" t="n">
        <f aca="false">жовтень!H46</f>
        <v>0</v>
      </c>
      <c r="I46" s="22" t="n">
        <f aca="false">жовтень!I46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700.99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жовтень!B47</f>
        <v>Лаптєв В.І.</v>
      </c>
      <c r="C47" s="18" t="str">
        <f aca="false">жовтень!C47</f>
        <v>2039</v>
      </c>
      <c r="D47" s="19" t="n">
        <f aca="false">жовтень!P47</f>
        <v>600.140000000001</v>
      </c>
      <c r="E47" s="19" t="n">
        <f aca="false">жовтень!Q47</f>
        <v>0</v>
      </c>
      <c r="F47" s="20" t="n">
        <f aca="false">жовтень!F47</f>
        <v>0</v>
      </c>
      <c r="G47" s="21" t="n">
        <f aca="false">жовтень!G47</f>
        <v>48.8</v>
      </c>
      <c r="H47" s="21" t="n">
        <f aca="false">жовтень!H47</f>
        <v>0</v>
      </c>
      <c r="I47" s="22" t="n">
        <f aca="false">жовтень!I47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/>
      <c r="P47" s="25" t="n">
        <f aca="false">IF(D47=0,IF((N47-E47-O47)&gt;0,(N47-E47-O47),0),IF((D47+N47-O47)&gt;0,(D47+N47-O47),0))</f>
        <v>800.220000000001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жовтень!B48</f>
        <v>Тимощук О.Є.</v>
      </c>
      <c r="C48" s="18" t="str">
        <f aca="false">жовтень!C48</f>
        <v>2040</v>
      </c>
      <c r="D48" s="19" t="n">
        <f aca="false">жовтень!P48</f>
        <v>1173.57</v>
      </c>
      <c r="E48" s="19" t="n">
        <f aca="false">жовтень!Q48</f>
        <v>0</v>
      </c>
      <c r="F48" s="20" t="n">
        <f aca="false">жовтень!F48</f>
        <v>0</v>
      </c>
      <c r="G48" s="21" t="n">
        <f aca="false">жовтень!G48</f>
        <v>57.3</v>
      </c>
      <c r="H48" s="21" t="n">
        <f aca="false">жовтень!H48</f>
        <v>0</v>
      </c>
      <c r="I48" s="22" t="n">
        <f aca="false">жовтень!I48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/>
      <c r="P48" s="25" t="n">
        <f aca="false">IF(D48=0,IF((N48-E48-O48)&gt;0,(N48-E48-O48),0),IF((D48+N48-O48)&gt;0,(D48+N48-O48),0))</f>
        <v>1408.5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жовтень!B49</f>
        <v>Котяш О.В.</v>
      </c>
      <c r="C49" s="18" t="str">
        <f aca="false">жовтень!C49</f>
        <v>2041</v>
      </c>
      <c r="D49" s="19" t="n">
        <f aca="false">жовтень!P49</f>
        <v>4409.87</v>
      </c>
      <c r="E49" s="19" t="n">
        <f aca="false">жовтень!Q49</f>
        <v>0</v>
      </c>
      <c r="F49" s="20" t="n">
        <f aca="false">жовтень!F49</f>
        <v>0</v>
      </c>
      <c r="G49" s="21" t="n">
        <f aca="false">жовтень!G49</f>
        <v>63.3</v>
      </c>
      <c r="H49" s="21" t="n">
        <f aca="false">жовтень!H49</f>
        <v>0</v>
      </c>
      <c r="I49" s="22" t="n">
        <f aca="false">жовтень!I49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4669.4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жовтень!B50</f>
        <v>Токовило-Паращенко Л.П.</v>
      </c>
      <c r="C50" s="18" t="str">
        <f aca="false">жовтень!C50</f>
        <v>2042</v>
      </c>
      <c r="D50" s="19" t="n">
        <f aca="false">жовтень!P50</f>
        <v>1634.27</v>
      </c>
      <c r="E50" s="19" t="n">
        <f aca="false">жовтень!Q50</f>
        <v>0</v>
      </c>
      <c r="F50" s="20" t="n">
        <f aca="false">жовтень!F50</f>
        <v>0</v>
      </c>
      <c r="G50" s="21" t="n">
        <f aca="false">жовтень!G50</f>
        <v>35.68</v>
      </c>
      <c r="H50" s="21" t="n">
        <f aca="false">жовтень!H50</f>
        <v>0</v>
      </c>
      <c r="I50" s="22" t="n">
        <f aca="false">жовтень!I50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1780.56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жовтень!B51</f>
        <v>Бєлая К.В.</v>
      </c>
      <c r="C51" s="18" t="str">
        <f aca="false">жовтень!C51</f>
        <v>2043</v>
      </c>
      <c r="D51" s="19" t="n">
        <f aca="false">жовтень!P51</f>
        <v>816.720000000001</v>
      </c>
      <c r="E51" s="19" t="n">
        <f aca="false">жовтень!Q51</f>
        <v>0</v>
      </c>
      <c r="F51" s="20" t="n">
        <f aca="false">жовтень!F51</f>
        <v>0</v>
      </c>
      <c r="G51" s="21" t="n">
        <f aca="false">жовтень!G51</f>
        <v>49.8</v>
      </c>
      <c r="H51" s="21" t="n">
        <f aca="false">жовтень!H51</f>
        <v>0</v>
      </c>
      <c r="I51" s="22" t="n">
        <f aca="false">жовтень!I51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1020.9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жовтень!B52</f>
        <v>Стадник О.Ф.</v>
      </c>
      <c r="C52" s="18" t="str">
        <f aca="false">жовтень!C52</f>
        <v>2044</v>
      </c>
      <c r="D52" s="19" t="n">
        <f aca="false">жовтень!P52</f>
        <v>4104.33</v>
      </c>
      <c r="E52" s="19" t="n">
        <f aca="false">жовтень!Q52</f>
        <v>0</v>
      </c>
      <c r="F52" s="20" t="n">
        <f aca="false">жовтень!F52</f>
        <v>0</v>
      </c>
      <c r="G52" s="21" t="n">
        <f aca="false">жовтень!G52</f>
        <v>65.9</v>
      </c>
      <c r="H52" s="21" t="n">
        <f aca="false">жовтень!H52</f>
        <v>0</v>
      </c>
      <c r="I52" s="22" t="n">
        <f aca="false">жовтень!I52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4374.52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жовтень!B53</f>
        <v>Ляшенко В.М.</v>
      </c>
      <c r="C53" s="18" t="str">
        <f aca="false">жовтень!C53</f>
        <v>2045</v>
      </c>
      <c r="D53" s="19" t="n">
        <f aca="false">жовтень!P53</f>
        <v>1016.8</v>
      </c>
      <c r="E53" s="19" t="n">
        <f aca="false">жовтень!Q53</f>
        <v>0</v>
      </c>
      <c r="F53" s="20" t="n">
        <f aca="false">жовтень!F53</f>
        <v>0</v>
      </c>
      <c r="G53" s="21" t="n">
        <f aca="false">жовтень!G53</f>
        <v>62</v>
      </c>
      <c r="H53" s="21" t="n">
        <f aca="false">жовтень!H53</f>
        <v>0</v>
      </c>
      <c r="I53" s="22" t="n">
        <f aca="false">жовтень!I53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1271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жовтень!B54</f>
        <v>Смоленська Т.О.</v>
      </c>
      <c r="C54" s="18" t="str">
        <f aca="false">жовтень!C54</f>
        <v>2046</v>
      </c>
      <c r="D54" s="19" t="n">
        <f aca="false">жовтень!P54</f>
        <v>2439.1</v>
      </c>
      <c r="E54" s="19" t="n">
        <f aca="false">жовтень!Q54</f>
        <v>0</v>
      </c>
      <c r="F54" s="20" t="n">
        <f aca="false">жовтень!F54</f>
        <v>0</v>
      </c>
      <c r="G54" s="21" t="n">
        <f aca="false">жовтень!G54</f>
        <v>35.1</v>
      </c>
      <c r="H54" s="21" t="n">
        <f aca="false">жовтень!H54</f>
        <v>0</v>
      </c>
      <c r="I54" s="22" t="n">
        <f aca="false">жовтень!I54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2583.01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жовтень!B55</f>
        <v>Дудка І.В.</v>
      </c>
      <c r="C55" s="18" t="str">
        <f aca="false">жовтень!C55</f>
        <v>2047</v>
      </c>
      <c r="D55" s="19" t="n">
        <f aca="false">жовтень!P55</f>
        <v>1220.16</v>
      </c>
      <c r="E55" s="19" t="n">
        <f aca="false">жовтень!Q55</f>
        <v>0</v>
      </c>
      <c r="F55" s="20" t="n">
        <f aca="false">жовтень!F55</f>
        <v>0</v>
      </c>
      <c r="G55" s="21" t="n">
        <f aca="false">жовтень!G55</f>
        <v>49.6</v>
      </c>
      <c r="H55" s="21" t="n">
        <f aca="false">жовтень!H55</f>
        <v>0</v>
      </c>
      <c r="I55" s="22" t="n">
        <f aca="false">жовтень!I55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1423.52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жовтень!B56</f>
        <v>Буланова Л.І.</v>
      </c>
      <c r="C56" s="18" t="str">
        <f aca="false">жовтень!C56</f>
        <v>2048</v>
      </c>
      <c r="D56" s="19" t="n">
        <f aca="false">жовтень!P56</f>
        <v>1089.6</v>
      </c>
      <c r="E56" s="19" t="n">
        <f aca="false">жовтень!Q56</f>
        <v>0</v>
      </c>
      <c r="F56" s="20" t="n">
        <f aca="false">жовтень!F56</f>
        <v>0</v>
      </c>
      <c r="G56" s="21" t="n">
        <f aca="false">жовтень!G56</f>
        <v>66.44</v>
      </c>
      <c r="H56" s="21" t="n">
        <f aca="false">жовтень!H56</f>
        <v>0</v>
      </c>
      <c r="I56" s="22" t="n">
        <f aca="false">жовтень!I56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1362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жовтень!B57</f>
        <v>Шалімова О.О.</v>
      </c>
      <c r="C57" s="18" t="str">
        <f aca="false">жовтень!C57</f>
        <v>2049</v>
      </c>
      <c r="D57" s="19" t="n">
        <f aca="false">жовтень!P57</f>
        <v>4306.37</v>
      </c>
      <c r="E57" s="19" t="n">
        <f aca="false">жовтень!Q57</f>
        <v>0</v>
      </c>
      <c r="F57" s="20" t="n">
        <f aca="false">жовтень!F57</f>
        <v>0</v>
      </c>
      <c r="G57" s="21" t="n">
        <f aca="false">жовтень!G57</f>
        <v>62.1</v>
      </c>
      <c r="H57" s="21" t="n">
        <f aca="false">жовтень!H57</f>
        <v>0</v>
      </c>
      <c r="I57" s="22" t="n">
        <f aca="false">жовтень!I57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4560.98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жовтень!B58</f>
        <v>Андросик О.О.</v>
      </c>
      <c r="C58" s="18" t="str">
        <f aca="false">жовтень!C58</f>
        <v>2050</v>
      </c>
      <c r="D58" s="19" t="n">
        <f aca="false">жовтень!P58</f>
        <v>572.36</v>
      </c>
      <c r="E58" s="19" t="n">
        <f aca="false">жовтень!Q58</f>
        <v>0</v>
      </c>
      <c r="F58" s="20" t="n">
        <f aca="false">жовтень!F58</f>
        <v>0</v>
      </c>
      <c r="G58" s="21" t="n">
        <f aca="false">жовтень!G58</f>
        <v>34.9</v>
      </c>
      <c r="H58" s="21" t="n">
        <f aca="false">жовтень!H58</f>
        <v>0</v>
      </c>
      <c r="I58" s="22" t="n">
        <f aca="false">жовтень!I58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715.45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жовтень!B59</f>
        <v>Токар Є.А.</v>
      </c>
      <c r="C59" s="18" t="str">
        <f aca="false">жовтень!C59</f>
        <v>2051</v>
      </c>
      <c r="D59" s="19" t="n">
        <f aca="false">жовтень!P59</f>
        <v>3576.15</v>
      </c>
      <c r="E59" s="19" t="n">
        <f aca="false">жовтень!Q59</f>
        <v>0</v>
      </c>
      <c r="F59" s="20" t="n">
        <f aca="false">жовтень!F59</f>
        <v>0</v>
      </c>
      <c r="G59" s="21" t="n">
        <f aca="false">жовтень!G59</f>
        <v>49.22</v>
      </c>
      <c r="H59" s="21" t="n">
        <f aca="false">жовтень!H59</f>
        <v>0</v>
      </c>
      <c r="I59" s="22" t="n">
        <f aca="false">жовтень!I59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3777.95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жовтень!B60</f>
        <v>Констанчук І.В.</v>
      </c>
      <c r="C60" s="18" t="str">
        <f aca="false">жовтень!C60</f>
        <v>2052</v>
      </c>
      <c r="D60" s="19" t="n">
        <f aca="false">жовтень!P60</f>
        <v>4529.91</v>
      </c>
      <c r="E60" s="19" t="n">
        <f aca="false">жовтень!Q60</f>
        <v>0</v>
      </c>
      <c r="F60" s="20" t="n">
        <f aca="false">жовтень!F60</f>
        <v>0</v>
      </c>
      <c r="G60" s="21" t="n">
        <f aca="false">жовтень!G60</f>
        <v>65.5</v>
      </c>
      <c r="H60" s="21" t="n">
        <f aca="false">жовтень!H60</f>
        <v>0</v>
      </c>
      <c r="I60" s="22" t="n">
        <f aca="false">жовтень!I60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4798.46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жовтень!B61</f>
        <v>Гончаров В.В.</v>
      </c>
      <c r="C61" s="18" t="str">
        <f aca="false">жовтень!C61</f>
        <v>2053</v>
      </c>
      <c r="D61" s="19" t="n">
        <f aca="false">жовтень!P61</f>
        <v>0</v>
      </c>
      <c r="E61" s="19" t="n">
        <f aca="false">жовтень!Q61</f>
        <v>513.639999999998</v>
      </c>
      <c r="F61" s="20" t="n">
        <f aca="false">жовтень!F61</f>
        <v>0</v>
      </c>
      <c r="G61" s="21" t="n">
        <f aca="false">жовтень!G61</f>
        <v>62.64</v>
      </c>
      <c r="H61" s="21" t="n">
        <f aca="false">жовтень!H61</f>
        <v>0</v>
      </c>
      <c r="I61" s="22" t="n">
        <f aca="false">жовтень!I61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0</v>
      </c>
      <c r="Q61" s="25" t="n">
        <f aca="false">IF(E61=0,IF((D61+N61-O61)&lt;0,ABS(D61+N61-O61),0),IF((N61-E61-O61)&lt;0,ABS(N61-E61-O61),0))</f>
        <v>256.819999999998</v>
      </c>
    </row>
    <row r="62" customFormat="false" ht="15" hidden="false" customHeight="false" outlineLevel="0" collapsed="false">
      <c r="A62" s="17" t="s">
        <v>182</v>
      </c>
      <c r="B62" s="18" t="str">
        <f aca="false">жовтень!B62</f>
        <v>Ляхомський В.О.</v>
      </c>
      <c r="C62" s="18" t="str">
        <f aca="false">жовтень!C62</f>
        <v>2054</v>
      </c>
      <c r="D62" s="19" t="n">
        <f aca="false">жовтень!P62</f>
        <v>1292.29</v>
      </c>
      <c r="E62" s="19" t="n">
        <f aca="false">жовтень!Q62</f>
        <v>0</v>
      </c>
      <c r="F62" s="20" t="n">
        <f aca="false">жовтень!F62</f>
        <v>0</v>
      </c>
      <c r="G62" s="21" t="n">
        <f aca="false">жовтень!G62</f>
        <v>34.9</v>
      </c>
      <c r="H62" s="21" t="n">
        <f aca="false">жовтень!H62</f>
        <v>0</v>
      </c>
      <c r="I62" s="22" t="n">
        <f aca="false">жовтень!I62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1435.38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жовтень!B63</f>
        <v>Крамаренко В.П.</v>
      </c>
      <c r="C63" s="18" t="str">
        <f aca="false">жовтень!C63</f>
        <v>2055</v>
      </c>
      <c r="D63" s="19" t="n">
        <f aca="false">жовтень!P63</f>
        <v>3477.34</v>
      </c>
      <c r="E63" s="19" t="n">
        <f aca="false">жовтень!Q63</f>
        <v>0</v>
      </c>
      <c r="F63" s="20" t="n">
        <f aca="false">жовтень!F63</f>
        <v>0</v>
      </c>
      <c r="G63" s="21" t="n">
        <f aca="false">жовтень!G63</f>
        <v>49.79</v>
      </c>
      <c r="H63" s="21" t="n">
        <f aca="false">жовтень!H63</f>
        <v>0</v>
      </c>
      <c r="I63" s="22" t="n">
        <f aca="false">жовтень!I63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3681.48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жовтень!B64</f>
        <v>Родзик С.Г.</v>
      </c>
      <c r="C64" s="18" t="str">
        <f aca="false">жовтень!C64</f>
        <v>2056</v>
      </c>
      <c r="D64" s="19" t="n">
        <f aca="false">жовтень!P64</f>
        <v>1824.85</v>
      </c>
      <c r="E64" s="19" t="n">
        <f aca="false">жовтень!Q64</f>
        <v>0</v>
      </c>
      <c r="F64" s="20" t="n">
        <f aca="false">жовтень!F64</f>
        <v>0</v>
      </c>
      <c r="G64" s="21" t="n">
        <f aca="false">жовтень!G64</f>
        <v>65.2</v>
      </c>
      <c r="H64" s="21" t="n">
        <f aca="false">жовтень!H64</f>
        <v>0</v>
      </c>
      <c r="I64" s="22" t="n">
        <f aca="false">жовтень!I64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2092.17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жовтень!B65</f>
        <v>Никоненко Н.С.</v>
      </c>
      <c r="C65" s="18" t="str">
        <f aca="false">жовтень!C65</f>
        <v>2057</v>
      </c>
      <c r="D65" s="19" t="n">
        <f aca="false">жовтень!P65</f>
        <v>3446.56</v>
      </c>
      <c r="E65" s="19" t="n">
        <f aca="false">жовтень!Q65</f>
        <v>0</v>
      </c>
      <c r="F65" s="20" t="n">
        <f aca="false">жовтень!F65</f>
        <v>0</v>
      </c>
      <c r="G65" s="21" t="n">
        <f aca="false">жовтень!G65</f>
        <v>61.88</v>
      </c>
      <c r="H65" s="21" t="n">
        <f aca="false">жовтень!H65</f>
        <v>0</v>
      </c>
      <c r="I65" s="22" t="n">
        <f aca="false">жовтень!I65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3700.27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жовтень!B66</f>
        <v>Чепок О.В.</v>
      </c>
      <c r="C66" s="18" t="str">
        <f aca="false">жовтень!C66</f>
        <v>2058</v>
      </c>
      <c r="D66" s="19" t="n">
        <f aca="false">жовтень!P66</f>
        <v>4052.91</v>
      </c>
      <c r="E66" s="19" t="n">
        <f aca="false">жовтень!Q66</f>
        <v>0</v>
      </c>
      <c r="F66" s="20" t="n">
        <f aca="false">жовтень!F66</f>
        <v>0</v>
      </c>
      <c r="G66" s="21" t="n">
        <f aca="false">жовтень!G66</f>
        <v>35</v>
      </c>
      <c r="H66" s="21" t="n">
        <f aca="false">жовтень!H66</f>
        <v>0</v>
      </c>
      <c r="I66" s="22" t="n">
        <f aca="false">жовтень!I66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4196.41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жовтень!B67</f>
        <v>Горошенко Л.С.</v>
      </c>
      <c r="C67" s="18" t="str">
        <f aca="false">жовтень!C67</f>
        <v>2059</v>
      </c>
      <c r="D67" s="19" t="n">
        <f aca="false">жовтень!P67</f>
        <v>0</v>
      </c>
      <c r="E67" s="19" t="n">
        <f aca="false">жовтень!Q67</f>
        <v>1357.33</v>
      </c>
      <c r="F67" s="20" t="n">
        <f aca="false">жовтень!F67</f>
        <v>0</v>
      </c>
      <c r="G67" s="21" t="n">
        <f aca="false">жовтень!G67</f>
        <v>49.3</v>
      </c>
      <c r="H67" s="21" t="n">
        <f aca="false">жовтень!H67</f>
        <v>0</v>
      </c>
      <c r="I67" s="22" t="n">
        <f aca="false">жовтень!I67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/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1155.2</v>
      </c>
    </row>
    <row r="68" customFormat="false" ht="15" hidden="false" customHeight="false" outlineLevel="0" collapsed="false">
      <c r="A68" s="17" t="s">
        <v>200</v>
      </c>
      <c r="B68" s="18" t="str">
        <f aca="false">жовтень!B68</f>
        <v>Неграчева Л.Г.</v>
      </c>
      <c r="C68" s="18" t="str">
        <f aca="false">жовтень!C68</f>
        <v>2060</v>
      </c>
      <c r="D68" s="19" t="n">
        <f aca="false">жовтень!P68</f>
        <v>621.379999999999</v>
      </c>
      <c r="E68" s="19" t="n">
        <f aca="false">жовтень!Q68</f>
        <v>0</v>
      </c>
      <c r="F68" s="20" t="n">
        <f aca="false">жовтень!F68</f>
        <v>0</v>
      </c>
      <c r="G68" s="21" t="n">
        <f aca="false">жовтень!G68</f>
        <v>66.6</v>
      </c>
      <c r="H68" s="21" t="n">
        <f aca="false">жовтень!H68</f>
        <v>0</v>
      </c>
      <c r="I68" s="22" t="n">
        <f aca="false">жовтень!I68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894.439999999999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жовтень!B69</f>
        <v>Брежнєв О.В.</v>
      </c>
      <c r="C69" s="18" t="str">
        <f aca="false">жовтень!C69</f>
        <v>2061</v>
      </c>
      <c r="D69" s="19" t="n">
        <f aca="false">жовтень!P69</f>
        <v>3807.78</v>
      </c>
      <c r="E69" s="19" t="n">
        <f aca="false">жовтень!Q69</f>
        <v>0</v>
      </c>
      <c r="F69" s="20" t="n">
        <f aca="false">жовтень!F69</f>
        <v>0</v>
      </c>
      <c r="G69" s="21" t="n">
        <f aca="false">жовтень!G69</f>
        <v>61.88</v>
      </c>
      <c r="H69" s="21" t="n">
        <f aca="false">жовтень!H69</f>
        <v>0</v>
      </c>
      <c r="I69" s="22" t="n">
        <f aca="false">жовтень!I69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4061.49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жовтень!B70</f>
        <v>Горбатюк К.О.</v>
      </c>
      <c r="C70" s="18" t="str">
        <f aca="false">жовтень!C70</f>
        <v>2062</v>
      </c>
      <c r="D70" s="19" t="n">
        <f aca="false">жовтень!P70</f>
        <v>2280.48</v>
      </c>
      <c r="E70" s="19" t="n">
        <f aca="false">жовтень!Q70</f>
        <v>0</v>
      </c>
      <c r="F70" s="20" t="n">
        <f aca="false">жовтень!F70</f>
        <v>0</v>
      </c>
      <c r="G70" s="21" t="n">
        <f aca="false">жовтень!G70</f>
        <v>34.96</v>
      </c>
      <c r="H70" s="21" t="n">
        <f aca="false">жовтень!H70</f>
        <v>0</v>
      </c>
      <c r="I70" s="22" t="n">
        <f aca="false">жовтень!I70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2423.82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жовтень!B71</f>
        <v>Божик М.О.</v>
      </c>
      <c r="C71" s="18" t="str">
        <f aca="false">жовтень!C71</f>
        <v>2063</v>
      </c>
      <c r="D71" s="19" t="n">
        <f aca="false">жовтень!P71</f>
        <v>1039.2</v>
      </c>
      <c r="E71" s="19" t="n">
        <f aca="false">жовтень!Q71</f>
        <v>0</v>
      </c>
      <c r="F71" s="20" t="n">
        <f aca="false">жовтень!F71</f>
        <v>0</v>
      </c>
      <c r="G71" s="21" t="n">
        <f aca="false">жовтень!G71</f>
        <v>50.03</v>
      </c>
      <c r="H71" s="21" t="n">
        <f aca="false">жовтень!H71</f>
        <v>0</v>
      </c>
      <c r="I71" s="22" t="n">
        <f aca="false">жовтень!I71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1244.32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жовтень!B72</f>
        <v>Зайченко С.Л</v>
      </c>
      <c r="C72" s="18" t="str">
        <f aca="false">жовтень!C72</f>
        <v>2064</v>
      </c>
      <c r="D72" s="19" t="n">
        <f aca="false">жовтень!P72</f>
        <v>5579.85</v>
      </c>
      <c r="E72" s="19" t="n">
        <f aca="false">жовтень!Q72</f>
        <v>0</v>
      </c>
      <c r="F72" s="20" t="n">
        <f aca="false">жовтень!F72</f>
        <v>0</v>
      </c>
      <c r="G72" s="21" t="n">
        <f aca="false">жовтень!G72</f>
        <v>65.15</v>
      </c>
      <c r="H72" s="21" t="n">
        <f aca="false">жовтень!H72</f>
        <v>0</v>
      </c>
      <c r="I72" s="22" t="n">
        <f aca="false">жовтень!I72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5846.97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жовтень!B73</f>
        <v>Бессараб Н.Г.</v>
      </c>
      <c r="C73" s="18" t="str">
        <f aca="false">жовтень!C73</f>
        <v>2065</v>
      </c>
      <c r="D73" s="19" t="n">
        <f aca="false">жовтень!P73</f>
        <v>188.49</v>
      </c>
      <c r="E73" s="19" t="n">
        <f aca="false">жовтень!Q73</f>
        <v>0</v>
      </c>
      <c r="F73" s="20" t="n">
        <f aca="false">жовтень!F73</f>
        <v>0</v>
      </c>
      <c r="G73" s="21" t="n">
        <f aca="false">жовтень!G73</f>
        <v>63.41</v>
      </c>
      <c r="H73" s="21" t="n">
        <f aca="false">жовтень!H73</f>
        <v>0</v>
      </c>
      <c r="I73" s="22" t="n">
        <f aca="false">жовтень!I73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/>
      <c r="P73" s="25" t="n">
        <f aca="false">IF(D73=0,IF((N73-E73-O73)&gt;0,(N73-E73-O73),0),IF((D73+N73-O73)&gt;0,(D73+N73-O73),0))</f>
        <v>448.47</v>
      </c>
      <c r="Q73" s="25" t="n">
        <f aca="false">IF(E73=0,IF((D73+N73-O73)&lt;0,ABS(D73+N73-O73),0),IF((N73-E73-O73)&lt;0,ABS(N73-E73-O73),0))</f>
        <v>0</v>
      </c>
    </row>
    <row r="74" customFormat="false" ht="15" hidden="false" customHeight="false" outlineLevel="0" collapsed="false">
      <c r="A74" s="17" t="s">
        <v>218</v>
      </c>
      <c r="B74" s="18" t="str">
        <f aca="false">жовтень!B74</f>
        <v>Прохорова С.І.</v>
      </c>
      <c r="C74" s="18" t="str">
        <f aca="false">жовтень!C74</f>
        <v>2066</v>
      </c>
      <c r="D74" s="19" t="n">
        <f aca="false">жовтень!P74</f>
        <v>2816.79</v>
      </c>
      <c r="E74" s="19" t="n">
        <f aca="false">жовтень!Q74</f>
        <v>0</v>
      </c>
      <c r="F74" s="20" t="n">
        <f aca="false">жовтень!F74</f>
        <v>0</v>
      </c>
      <c r="G74" s="21" t="n">
        <f aca="false">жовтень!G74</f>
        <v>35.19</v>
      </c>
      <c r="H74" s="21" t="n">
        <f aca="false">жовтень!H74</f>
        <v>0</v>
      </c>
      <c r="I74" s="22" t="n">
        <f aca="false">жовтень!I74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2961.07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жовтень!B75</f>
        <v>Браташ А.Ф.</v>
      </c>
      <c r="C75" s="18" t="str">
        <f aca="false">жовтень!C75</f>
        <v>2067</v>
      </c>
      <c r="D75" s="19" t="n">
        <f aca="false">жовтень!P75</f>
        <v>4562.77</v>
      </c>
      <c r="E75" s="19" t="n">
        <f aca="false">жовтень!Q75</f>
        <v>0</v>
      </c>
      <c r="F75" s="20" t="n">
        <f aca="false">жовтень!F75</f>
        <v>0</v>
      </c>
      <c r="G75" s="21" t="n">
        <f aca="false">жовтень!G75</f>
        <v>49.89</v>
      </c>
      <c r="H75" s="21" t="n">
        <f aca="false">жовтень!H75</f>
        <v>0</v>
      </c>
      <c r="I75" s="22" t="n">
        <f aca="false">жовтень!I75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4767.32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жовтень!B76</f>
        <v>Кудас Д.О.</v>
      </c>
      <c r="C76" s="18" t="str">
        <f aca="false">жовтень!C76</f>
        <v>2068</v>
      </c>
      <c r="D76" s="19" t="n">
        <f aca="false">жовтень!P76</f>
        <v>1132.2</v>
      </c>
      <c r="E76" s="19" t="n">
        <f aca="false">жовтень!Q76</f>
        <v>0</v>
      </c>
      <c r="F76" s="20" t="n">
        <f aca="false">жовтень!F76</f>
        <v>0</v>
      </c>
      <c r="G76" s="21" t="n">
        <f aca="false">жовтень!G76</f>
        <v>65.03</v>
      </c>
      <c r="H76" s="21" t="n">
        <f aca="false">жовтень!H76</f>
        <v>0</v>
      </c>
      <c r="I76" s="22" t="n">
        <f aca="false">жовтень!I76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1398.82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жовтень!B77</f>
        <v>Шушлєбін Б.В.</v>
      </c>
      <c r="C77" s="18" t="str">
        <f aca="false">жовтень!C77</f>
        <v>2069</v>
      </c>
      <c r="D77" s="19" t="n">
        <f aca="false">жовтень!P77</f>
        <v>1253.11</v>
      </c>
      <c r="E77" s="19" t="n">
        <f aca="false">жовтень!Q77</f>
        <v>0</v>
      </c>
      <c r="F77" s="20" t="n">
        <f aca="false">жовтень!F77</f>
        <v>0</v>
      </c>
      <c r="G77" s="21" t="n">
        <f aca="false">жовтень!G77</f>
        <v>62.11</v>
      </c>
      <c r="H77" s="21" t="n">
        <f aca="false">жовтень!H77</f>
        <v>0</v>
      </c>
      <c r="I77" s="22" t="n">
        <f aca="false">жовтень!I77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1507.76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жовтень!B78</f>
        <v>Бородіна І.О.</v>
      </c>
      <c r="C78" s="18" t="str">
        <f aca="false">жовтень!C78</f>
        <v>2070</v>
      </c>
      <c r="D78" s="19" t="n">
        <f aca="false">жовтень!P78</f>
        <v>3045.65</v>
      </c>
      <c r="E78" s="19" t="n">
        <f aca="false">жовтень!Q78</f>
        <v>0</v>
      </c>
      <c r="F78" s="20" t="n">
        <f aca="false">жовтень!F78</f>
        <v>0</v>
      </c>
      <c r="G78" s="21" t="n">
        <f aca="false">жовтень!G78</f>
        <v>34.9</v>
      </c>
      <c r="H78" s="21" t="n">
        <f aca="false">жовтень!H78</f>
        <v>0</v>
      </c>
      <c r="I78" s="22" t="n">
        <f aca="false">жовтень!I78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3188.74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жовтень!B79</f>
        <v>Котурга Л.Й.</v>
      </c>
      <c r="C79" s="18" t="str">
        <f aca="false">жовтень!C79</f>
        <v>2071</v>
      </c>
      <c r="D79" s="19" t="n">
        <f aca="false">жовтень!P79</f>
        <v>2457.38</v>
      </c>
      <c r="E79" s="19" t="n">
        <f aca="false">жовтень!Q79</f>
        <v>0</v>
      </c>
      <c r="F79" s="20" t="n">
        <f aca="false">жовтень!F79</f>
        <v>0</v>
      </c>
      <c r="G79" s="21" t="n">
        <f aca="false">жовтень!G79</f>
        <v>49.2</v>
      </c>
      <c r="H79" s="21" t="n">
        <f aca="false">жовтень!H79</f>
        <v>0</v>
      </c>
      <c r="I79" s="22" t="n">
        <f aca="false">жовтень!I79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2659.1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жовтень!B80</f>
        <v>Горова О.І.</v>
      </c>
      <c r="C80" s="18" t="str">
        <f aca="false">жовтень!C80</f>
        <v>2072</v>
      </c>
      <c r="D80" s="19" t="n">
        <f aca="false">жовтень!P80</f>
        <v>4359.07</v>
      </c>
      <c r="E80" s="19" t="n">
        <f aca="false">жовтень!Q80</f>
        <v>0</v>
      </c>
      <c r="F80" s="20" t="n">
        <f aca="false">жовтень!F80</f>
        <v>0</v>
      </c>
      <c r="G80" s="21" t="n">
        <f aca="false">жовтень!G80</f>
        <v>65.43</v>
      </c>
      <c r="H80" s="21" t="n">
        <f aca="false">жовтень!H80</f>
        <v>0</v>
      </c>
      <c r="I80" s="22" t="n">
        <f aca="false">жовтень!I80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4627.33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жовтень!B81</f>
        <v>Рибакевич М.П.</v>
      </c>
      <c r="C81" s="18" t="str">
        <f aca="false">жовтень!C81</f>
        <v>3073</v>
      </c>
      <c r="D81" s="19" t="n">
        <f aca="false">жовтень!P81</f>
        <v>4766.6</v>
      </c>
      <c r="E81" s="19" t="n">
        <f aca="false">жовтень!Q81</f>
        <v>0</v>
      </c>
      <c r="F81" s="20" t="n">
        <f aca="false">жовтень!F81</f>
        <v>0</v>
      </c>
      <c r="G81" s="21" t="n">
        <f aca="false">жовтень!G81</f>
        <v>64.5</v>
      </c>
      <c r="H81" s="21" t="n">
        <f aca="false">жовтень!H81</f>
        <v>0</v>
      </c>
      <c r="I81" s="22" t="n">
        <f aca="false">жовтень!I81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5031.05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жовтень!B82</f>
        <v>Башкалов В.В.</v>
      </c>
      <c r="C82" s="18" t="str">
        <f aca="false">жовтень!C82</f>
        <v>3074</v>
      </c>
      <c r="D82" s="19" t="n">
        <f aca="false">жовтень!P82</f>
        <v>817.8</v>
      </c>
      <c r="E82" s="19" t="n">
        <f aca="false">жовтень!Q82</f>
        <v>0</v>
      </c>
      <c r="F82" s="20" t="n">
        <f aca="false">жовтень!F82</f>
        <v>0</v>
      </c>
      <c r="G82" s="21" t="n">
        <f aca="false">жовтень!G82</f>
        <v>50.8</v>
      </c>
      <c r="H82" s="21" t="n">
        <f aca="false">жовтень!H82</f>
        <v>0</v>
      </c>
      <c r="I82" s="22" t="n">
        <f aca="false">жовтень!I82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1026.08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жовтень!B83</f>
        <v>Тіхенко Г.Д.</v>
      </c>
      <c r="C83" s="18" t="str">
        <f aca="false">жовтень!C83</f>
        <v>3075</v>
      </c>
      <c r="D83" s="19" t="n">
        <f aca="false">жовтень!P83</f>
        <v>2297.17</v>
      </c>
      <c r="E83" s="19" t="n">
        <f aca="false">жовтень!Q83</f>
        <v>0</v>
      </c>
      <c r="F83" s="20" t="n">
        <f aca="false">жовтень!F83</f>
        <v>0</v>
      </c>
      <c r="G83" s="21" t="n">
        <f aca="false">жовтень!G83</f>
        <v>34.9</v>
      </c>
      <c r="H83" s="21" t="n">
        <f aca="false">жовтень!H83</f>
        <v>0</v>
      </c>
      <c r="I83" s="22" t="n">
        <f aca="false">жовтень!I83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2440.26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жовтень!B84</f>
        <v>Головченко В.Г.</v>
      </c>
      <c r="C84" s="18" t="str">
        <f aca="false">жовтень!C84</f>
        <v>3076</v>
      </c>
      <c r="D84" s="19" t="n">
        <f aca="false">жовтень!P84</f>
        <v>698.58</v>
      </c>
      <c r="E84" s="19" t="n">
        <f aca="false">жовтень!Q84</f>
        <v>0</v>
      </c>
      <c r="F84" s="20" t="n">
        <f aca="false">жовтень!F84</f>
        <v>0</v>
      </c>
      <c r="G84" s="21" t="n">
        <f aca="false">жовтень!G84</f>
        <v>61</v>
      </c>
      <c r="H84" s="21" t="n">
        <f aca="false">жовтень!H84</f>
        <v>0</v>
      </c>
      <c r="I84" s="22" t="n">
        <f aca="false">жовтень!I84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948.68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жовтень!B85</f>
        <v>Семанішина Є.С.</v>
      </c>
      <c r="C85" s="18" t="str">
        <f aca="false">жовтень!C85</f>
        <v>3077</v>
      </c>
      <c r="D85" s="19" t="n">
        <f aca="false">жовтень!P85</f>
        <v>4223.95</v>
      </c>
      <c r="E85" s="19" t="n">
        <f aca="false">жовтень!Q85</f>
        <v>0</v>
      </c>
      <c r="F85" s="20" t="n">
        <f aca="false">жовтень!F85</f>
        <v>0</v>
      </c>
      <c r="G85" s="21" t="n">
        <f aca="false">жовтень!G85</f>
        <v>64.5</v>
      </c>
      <c r="H85" s="21" t="n">
        <f aca="false">жовтень!H85</f>
        <v>0</v>
      </c>
      <c r="I85" s="22" t="n">
        <f aca="false">жовтень!I85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4488.4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жовтень!B86</f>
        <v>Зінченко Ю.В.</v>
      </c>
      <c r="C86" s="18" t="str">
        <f aca="false">жовтень!C86</f>
        <v>3078</v>
      </c>
      <c r="D86" s="19" t="n">
        <f aca="false">жовтень!P86</f>
        <v>784.91</v>
      </c>
      <c r="E86" s="19" t="n">
        <f aca="false">жовтень!Q86</f>
        <v>0</v>
      </c>
      <c r="F86" s="20" t="n">
        <f aca="false">жовтень!F86</f>
        <v>0</v>
      </c>
      <c r="G86" s="21" t="n">
        <f aca="false">жовтень!G86</f>
        <v>49.3</v>
      </c>
      <c r="H86" s="21" t="n">
        <f aca="false">жовтень!H86</f>
        <v>0</v>
      </c>
      <c r="I86" s="22" t="n">
        <f aca="false">жовтень!I86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987.04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жовтень!B87</f>
        <v>Рилова Г.П.</v>
      </c>
      <c r="C87" s="18" t="str">
        <f aca="false">жовтень!C87</f>
        <v>3079</v>
      </c>
      <c r="D87" s="19" t="n">
        <f aca="false">жовтень!P87</f>
        <v>267.4</v>
      </c>
      <c r="E87" s="19" t="n">
        <f aca="false">жовтень!Q87</f>
        <v>0</v>
      </c>
      <c r="F87" s="20" t="n">
        <f aca="false">жовтень!F87</f>
        <v>0</v>
      </c>
      <c r="G87" s="21" t="n">
        <f aca="false">жовтень!G87</f>
        <v>35</v>
      </c>
      <c r="H87" s="21" t="n">
        <f aca="false">жовтень!H87</f>
        <v>0</v>
      </c>
      <c r="I87" s="22" t="n">
        <f aca="false">жовтень!I87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/>
      <c r="P87" s="25" t="n">
        <f aca="false">IF(D87=0,IF((N87-E87-O87)&gt;0,(N87-E87-O87),0),IF((D87+N87-O87)&gt;0,(D87+N87-O87),0))</f>
        <v>410.9</v>
      </c>
      <c r="Q87" s="25" t="n">
        <f aca="false">IF(E87=0,IF((D87+N87-O87)&lt;0,ABS(D87+N87-O87),0),IF((N87-E87-O87)&lt;0,ABS(N87-E87-O87),0))</f>
        <v>0</v>
      </c>
    </row>
    <row r="88" customFormat="false" ht="15" hidden="false" customHeight="false" outlineLevel="0" collapsed="false">
      <c r="A88" s="17" t="s">
        <v>260</v>
      </c>
      <c r="B88" s="18" t="str">
        <f aca="false">жовтень!B88</f>
        <v>Ленський І.О.</v>
      </c>
      <c r="C88" s="18" t="str">
        <f aca="false">жовтень!C88</f>
        <v>3080</v>
      </c>
      <c r="D88" s="19" t="n">
        <f aca="false">жовтень!P88</f>
        <v>1230.25</v>
      </c>
      <c r="E88" s="19" t="n">
        <f aca="false">жовтень!Q88</f>
        <v>0</v>
      </c>
      <c r="F88" s="20" t="n">
        <f aca="false">жовтень!F88</f>
        <v>0</v>
      </c>
      <c r="G88" s="21" t="n">
        <f aca="false">жовтень!G88</f>
        <v>61.8</v>
      </c>
      <c r="H88" s="21" t="n">
        <f aca="false">жовтень!H88</f>
        <v>0</v>
      </c>
      <c r="I88" s="22" t="n">
        <f aca="false">жовтень!I88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/>
      <c r="P88" s="25" t="n">
        <f aca="false">IF(D88=0,IF((N88-E88-O88)&gt;0,(N88-E88-O88),0),IF((D88+N88-O88)&gt;0,(D88+N88-O88),0))</f>
        <v>1483.63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жовтень!B89</f>
        <v>Слюсар О.О.</v>
      </c>
      <c r="C89" s="18" t="str">
        <f aca="false">жовтень!C89</f>
        <v>3081</v>
      </c>
      <c r="D89" s="19" t="n">
        <f aca="false">жовтень!P89</f>
        <v>5531.75</v>
      </c>
      <c r="E89" s="19" t="n">
        <f aca="false">жовтень!Q89</f>
        <v>0</v>
      </c>
      <c r="F89" s="20" t="n">
        <f aca="false">жовтень!F89</f>
        <v>0</v>
      </c>
      <c r="G89" s="21" t="n">
        <f aca="false">жовтень!G89</f>
        <v>65.81</v>
      </c>
      <c r="H89" s="21" t="n">
        <f aca="false">жовтень!H89</f>
        <v>0</v>
      </c>
      <c r="I89" s="22" t="n">
        <f aca="false">жовтень!I89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5801.57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жовтень!B90</f>
        <v>Кісельов Г.О.</v>
      </c>
      <c r="C90" s="18" t="str">
        <f aca="false">жовтень!C90</f>
        <v>3082</v>
      </c>
      <c r="D90" s="19" t="n">
        <f aca="false">жовтень!P90</f>
        <v>846.77</v>
      </c>
      <c r="E90" s="19" t="n">
        <f aca="false">жовтень!Q90</f>
        <v>0</v>
      </c>
      <c r="F90" s="20" t="n">
        <f aca="false">жовтень!F90</f>
        <v>0</v>
      </c>
      <c r="G90" s="21" t="n">
        <f aca="false">жовтень!G90</f>
        <v>49.7</v>
      </c>
      <c r="H90" s="21" t="n">
        <f aca="false">жовтень!H90</f>
        <v>0</v>
      </c>
      <c r="I90" s="22" t="n">
        <f aca="false">жовтень!I90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1050.54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жовтень!B91</f>
        <v>Губанова Н.С.</v>
      </c>
      <c r="C91" s="18" t="str">
        <f aca="false">жовтень!C91</f>
        <v>3083</v>
      </c>
      <c r="D91" s="19" t="n">
        <f aca="false">жовтень!P91</f>
        <v>2121.75</v>
      </c>
      <c r="E91" s="19" t="n">
        <f aca="false">жовтень!Q91</f>
        <v>0</v>
      </c>
      <c r="F91" s="20" t="n">
        <f aca="false">жовтень!F91</f>
        <v>0</v>
      </c>
      <c r="G91" s="21" t="n">
        <f aca="false">жовтень!G91</f>
        <v>34.5</v>
      </c>
      <c r="H91" s="21" t="n">
        <f aca="false">жовтень!H91</f>
        <v>0</v>
      </c>
      <c r="I91" s="22" t="n">
        <f aca="false">жовтень!I91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2263.2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жовтень!B92</f>
        <v>Попова А.В.</v>
      </c>
      <c r="C92" s="18" t="str">
        <f aca="false">жовтень!C92</f>
        <v>3084</v>
      </c>
      <c r="D92" s="19" t="n">
        <f aca="false">жовтень!P92</f>
        <v>2557.59</v>
      </c>
      <c r="E92" s="19" t="n">
        <f aca="false">жовтень!Q92</f>
        <v>0</v>
      </c>
      <c r="F92" s="20" t="n">
        <f aca="false">жовтень!F92</f>
        <v>0</v>
      </c>
      <c r="G92" s="21" t="n">
        <f aca="false">жовтень!G92</f>
        <v>62.4</v>
      </c>
      <c r="H92" s="21" t="n">
        <f aca="false">жовтень!H92</f>
        <v>0</v>
      </c>
      <c r="I92" s="22" t="n">
        <f aca="false">жовтень!I92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2813.43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жовтень!B93</f>
        <v>Стародубець О.К.</v>
      </c>
      <c r="C93" s="18" t="str">
        <f aca="false">жовтень!C93</f>
        <v>3085</v>
      </c>
      <c r="D93" s="19" t="n">
        <f aca="false">жовтень!P93</f>
        <v>5672.55</v>
      </c>
      <c r="E93" s="19" t="n">
        <f aca="false">жовтень!Q93</f>
        <v>0</v>
      </c>
      <c r="F93" s="20" t="n">
        <f aca="false">жовтень!F93</f>
        <v>0</v>
      </c>
      <c r="G93" s="21" t="n">
        <f aca="false">жовтень!G93</f>
        <v>66.46</v>
      </c>
      <c r="H93" s="21" t="n">
        <f aca="false">жовтень!H93</f>
        <v>0</v>
      </c>
      <c r="I93" s="22" t="n">
        <f aca="false">жовтень!I93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5945.04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жовтень!B94</f>
        <v>Сакун Т.А.</v>
      </c>
      <c r="C94" s="18" t="str">
        <f aca="false">жовтень!C94</f>
        <v>3086</v>
      </c>
      <c r="D94" s="19" t="n">
        <f aca="false">жовтень!P94</f>
        <v>4485.48</v>
      </c>
      <c r="E94" s="19" t="n">
        <f aca="false">жовтень!Q94</f>
        <v>0</v>
      </c>
      <c r="F94" s="20" t="n">
        <f aca="false">жовтень!F94</f>
        <v>0</v>
      </c>
      <c r="G94" s="21" t="n">
        <f aca="false">жовтень!G94</f>
        <v>49.73</v>
      </c>
      <c r="H94" s="21" t="n">
        <f aca="false">жовтень!H94</f>
        <v>0</v>
      </c>
      <c r="I94" s="22" t="n">
        <f aca="false">жовтень!I94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4689.37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жовтень!B95</f>
        <v>Фатєєв Ю.О.</v>
      </c>
      <c r="C95" s="18" t="str">
        <f aca="false">жовтень!C95</f>
        <v>3087</v>
      </c>
      <c r="D95" s="19" t="n">
        <f aca="false">жовтень!P95</f>
        <v>5223.35</v>
      </c>
      <c r="E95" s="19" t="n">
        <f aca="false">жовтень!Q95</f>
        <v>0</v>
      </c>
      <c r="F95" s="20" t="n">
        <f aca="false">жовтень!F95</f>
        <v>0</v>
      </c>
      <c r="G95" s="21" t="n">
        <f aca="false">жовтень!G95</f>
        <v>34.9</v>
      </c>
      <c r="H95" s="21" t="n">
        <f aca="false">жовтень!H95</f>
        <v>0</v>
      </c>
      <c r="I95" s="22" t="n">
        <f aca="false">жовтень!I95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5366.44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жовтень!B96</f>
        <v>Лукашов Є.В.</v>
      </c>
      <c r="C96" s="18" t="str">
        <f aca="false">жовтень!C96</f>
        <v>3088</v>
      </c>
      <c r="D96" s="19" t="n">
        <f aca="false">жовтень!P96</f>
        <v>9978.85000000003</v>
      </c>
      <c r="E96" s="19" t="n">
        <f aca="false">жовтень!Q96</f>
        <v>0</v>
      </c>
      <c r="F96" s="20" t="n">
        <f aca="false">жовтень!F96</f>
        <v>0</v>
      </c>
      <c r="G96" s="21" t="n">
        <f aca="false">жовтень!G96</f>
        <v>61.9</v>
      </c>
      <c r="H96" s="21" t="n">
        <f aca="false">жовтень!H96</f>
        <v>0</v>
      </c>
      <c r="I96" s="22" t="n">
        <f aca="false">жовтень!I96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10232.64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жовтень!B97</f>
        <v>Довбета В.М.</v>
      </c>
      <c r="C97" s="18" t="str">
        <f aca="false">жовтень!C97</f>
        <v>3089</v>
      </c>
      <c r="D97" s="19" t="n">
        <f aca="false">жовтень!P97</f>
        <v>491.970000000001</v>
      </c>
      <c r="E97" s="19" t="n">
        <f aca="false">жовтень!Q97</f>
        <v>0</v>
      </c>
      <c r="F97" s="20" t="n">
        <f aca="false">жовтень!F97</f>
        <v>0</v>
      </c>
      <c r="G97" s="21" t="n">
        <f aca="false">жовтень!G97</f>
        <v>65.3</v>
      </c>
      <c r="H97" s="21" t="n">
        <f aca="false">жовтень!H97</f>
        <v>0</v>
      </c>
      <c r="I97" s="22" t="n">
        <f aca="false">жовтень!I97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/>
      <c r="P97" s="25" t="n">
        <f aca="false">IF(D97=0,IF((N97-E97-O97)&gt;0,(N97-E97-O97),0),IF((D97+N97-O97)&gt;0,(D97+N97-O97),0))</f>
        <v>759.700000000001</v>
      </c>
      <c r="Q97" s="25" t="n">
        <f aca="false">IF(E97=0,IF((D97+N97-O97)&lt;0,ABS(D97+N97-O97),0),IF((N97-E97-O97)&lt;0,ABS(N97-E97-O97),0))</f>
        <v>0</v>
      </c>
    </row>
    <row r="98" customFormat="false" ht="15" hidden="false" customHeight="false" outlineLevel="0" collapsed="false">
      <c r="A98" s="17" t="s">
        <v>290</v>
      </c>
      <c r="B98" s="18" t="str">
        <f aca="false">жовтень!B98</f>
        <v>Черняк К.В.</v>
      </c>
      <c r="C98" s="18" t="str">
        <f aca="false">жовтень!C98</f>
        <v>3090</v>
      </c>
      <c r="D98" s="19" t="n">
        <f aca="false">жовтень!P98</f>
        <v>403.07</v>
      </c>
      <c r="E98" s="19" t="n">
        <f aca="false">жовтень!Q98</f>
        <v>0</v>
      </c>
      <c r="F98" s="20" t="n">
        <f aca="false">жовтень!F98</f>
        <v>0</v>
      </c>
      <c r="G98" s="21" t="n">
        <f aca="false">жовтень!G98</f>
        <v>49.48</v>
      </c>
      <c r="H98" s="21" t="n">
        <f aca="false">жовтень!H98</f>
        <v>0</v>
      </c>
      <c r="I98" s="22" t="n">
        <f aca="false">жовтень!I98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605.94</v>
      </c>
      <c r="Q98" s="25" t="n">
        <f aca="false">IF(E98=0,IF((D98+N98-O98)&lt;0,ABS(D98+N98-O98),0),IF((N98-E98-O98)&lt;0,ABS(N98-E98-O98),0))</f>
        <v>0</v>
      </c>
    </row>
    <row r="99" customFormat="false" ht="15" hidden="false" customHeight="false" outlineLevel="0" collapsed="false">
      <c r="A99" s="17" t="s">
        <v>293</v>
      </c>
      <c r="B99" s="18" t="str">
        <f aca="false">жовтень!B99</f>
        <v>Удінцева Г.А.</v>
      </c>
      <c r="C99" s="18" t="str">
        <f aca="false">жовтень!C99</f>
        <v>3091</v>
      </c>
      <c r="D99" s="19" t="n">
        <f aca="false">жовтень!P99</f>
        <v>717.58</v>
      </c>
      <c r="E99" s="19" t="n">
        <f aca="false">жовтень!Q99</f>
        <v>0</v>
      </c>
      <c r="F99" s="20" t="n">
        <f aca="false">жовтень!F99</f>
        <v>0</v>
      </c>
      <c r="G99" s="21" t="n">
        <f aca="false">жовтень!G99</f>
        <v>35.1</v>
      </c>
      <c r="H99" s="21" t="n">
        <f aca="false">жовтень!H99</f>
        <v>0</v>
      </c>
      <c r="I99" s="22" t="n">
        <f aca="false">жовтень!I99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861.489999999999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жовтень!B100</f>
        <v>Липка Г.Ю.</v>
      </c>
      <c r="C100" s="18" t="str">
        <f aca="false">жовтень!C100</f>
        <v>3092</v>
      </c>
      <c r="D100" s="19" t="n">
        <f aca="false">жовтень!P100</f>
        <v>6218.88</v>
      </c>
      <c r="E100" s="19" t="n">
        <f aca="false">жовтень!Q100</f>
        <v>0</v>
      </c>
      <c r="F100" s="20" t="n">
        <f aca="false">жовтень!F100</f>
        <v>0</v>
      </c>
      <c r="G100" s="21" t="n">
        <f aca="false">жовтень!G100</f>
        <v>63.2</v>
      </c>
      <c r="H100" s="21" t="n">
        <f aca="false">жовтень!H100</f>
        <v>0</v>
      </c>
      <c r="I100" s="22" t="n">
        <f aca="false">жовтень!I100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6478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жовтень!B101</f>
        <v>Утьосов Д.М.</v>
      </c>
      <c r="C101" s="18" t="str">
        <f aca="false">жовтень!C101</f>
        <v>3093</v>
      </c>
      <c r="D101" s="19" t="n">
        <f aca="false">жовтень!P101</f>
        <v>348.580000000002</v>
      </c>
      <c r="E101" s="19" t="n">
        <f aca="false">жовтень!Q101</f>
        <v>0</v>
      </c>
      <c r="F101" s="20" t="n">
        <f aca="false">жовтень!F101</f>
        <v>0</v>
      </c>
      <c r="G101" s="21" t="n">
        <f aca="false">жовтень!G101</f>
        <v>66.1</v>
      </c>
      <c r="H101" s="21" t="n">
        <f aca="false">жовтень!H101</f>
        <v>0</v>
      </c>
      <c r="I101" s="22" t="n">
        <f aca="false">жовтень!I101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619.590000000002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жовтень!B102</f>
        <v>Стеценко Д.М.</v>
      </c>
      <c r="C102" s="18" t="str">
        <f aca="false">жовтень!C102</f>
        <v>3094</v>
      </c>
      <c r="D102" s="19" t="n">
        <f aca="false">жовтень!P102</f>
        <v>2041.87</v>
      </c>
      <c r="E102" s="19" t="n">
        <f aca="false">жовтень!Q102</f>
        <v>0</v>
      </c>
      <c r="F102" s="20" t="n">
        <f aca="false">жовтень!F102</f>
        <v>0</v>
      </c>
      <c r="G102" s="21" t="n">
        <f aca="false">жовтень!G102</f>
        <v>49.8</v>
      </c>
      <c r="H102" s="21" t="n">
        <f aca="false">жовтень!H102</f>
        <v>0</v>
      </c>
      <c r="I102" s="22" t="n">
        <f aca="false">жовтень!I102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2246.05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жовтень!B103</f>
        <v>Задніпряна О.М.</v>
      </c>
      <c r="C103" s="18" t="str">
        <f aca="false">жовтень!C103</f>
        <v>3095</v>
      </c>
      <c r="D103" s="19" t="n">
        <f aca="false">жовтень!P103</f>
        <v>2555.08</v>
      </c>
      <c r="E103" s="19" t="n">
        <f aca="false">жовтень!Q103</f>
        <v>0</v>
      </c>
      <c r="F103" s="20" t="n">
        <f aca="false">жовтень!F103</f>
        <v>0</v>
      </c>
      <c r="G103" s="21" t="n">
        <f aca="false">жовтень!G103</f>
        <v>34.6</v>
      </c>
      <c r="H103" s="21" t="n">
        <f aca="false">жовтень!H103</f>
        <v>0</v>
      </c>
      <c r="I103" s="22" t="n">
        <f aca="false">жовтень!I103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2696.94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жовтень!B104</f>
        <v>Геращенко М.Д.</v>
      </c>
      <c r="C104" s="18" t="str">
        <f aca="false">жовтень!C104</f>
        <v>3096</v>
      </c>
      <c r="D104" s="19" t="n">
        <f aca="false">жовтень!P104</f>
        <v>2365.9</v>
      </c>
      <c r="E104" s="19" t="n">
        <f aca="false">жовтень!Q104</f>
        <v>0</v>
      </c>
      <c r="F104" s="20" t="n">
        <f aca="false">жовтень!F104</f>
        <v>0</v>
      </c>
      <c r="G104" s="21" t="n">
        <f aca="false">жовтень!G104</f>
        <v>62.6</v>
      </c>
      <c r="H104" s="21" t="n">
        <f aca="false">жовтень!H104</f>
        <v>0</v>
      </c>
      <c r="I104" s="22" t="n">
        <f aca="false">жовтень!I104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2622.56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жовтень!B105</f>
        <v>Горб В.М.</v>
      </c>
      <c r="C105" s="18" t="str">
        <f aca="false">жовтень!C105</f>
        <v>3097</v>
      </c>
      <c r="D105" s="19" t="n">
        <f aca="false">жовтень!P105</f>
        <v>4298.75</v>
      </c>
      <c r="E105" s="19" t="n">
        <f aca="false">жовтень!Q105</f>
        <v>0</v>
      </c>
      <c r="F105" s="20" t="n">
        <f aca="false">жовтень!F105</f>
        <v>0</v>
      </c>
      <c r="G105" s="21" t="n">
        <f aca="false">жовтень!G105</f>
        <v>65.57</v>
      </c>
      <c r="H105" s="21" t="n">
        <f aca="false">жовтень!H105</f>
        <v>0</v>
      </c>
      <c r="I105" s="22" t="n">
        <f aca="false">жовтень!I105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4567.59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жовтень!B106</f>
        <v>Нойок Г.К.</v>
      </c>
      <c r="C106" s="18" t="str">
        <f aca="false">жовтень!C106</f>
        <v>3098</v>
      </c>
      <c r="D106" s="19" t="n">
        <f aca="false">жовтень!P106</f>
        <v>2055.47</v>
      </c>
      <c r="E106" s="19" t="n">
        <f aca="false">жовтень!Q106</f>
        <v>0</v>
      </c>
      <c r="F106" s="20" t="n">
        <f aca="false">жовтень!F106</f>
        <v>0</v>
      </c>
      <c r="G106" s="21" t="n">
        <f aca="false">жовтень!G106</f>
        <v>49.8</v>
      </c>
      <c r="H106" s="21" t="n">
        <f aca="false">жовтень!H106</f>
        <v>0</v>
      </c>
      <c r="I106" s="22" t="n">
        <f aca="false">жовтень!I106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2259.65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жовтень!B107</f>
        <v>Сафонова О.В.</v>
      </c>
      <c r="C107" s="18" t="str">
        <f aca="false">жовтень!C107</f>
        <v>3099</v>
      </c>
      <c r="D107" s="19" t="n">
        <f aca="false">жовтень!P107</f>
        <v>2243.62</v>
      </c>
      <c r="E107" s="19" t="n">
        <f aca="false">жовтень!Q107</f>
        <v>0</v>
      </c>
      <c r="F107" s="20" t="n">
        <f aca="false">жовтень!F107</f>
        <v>0</v>
      </c>
      <c r="G107" s="21" t="n">
        <f aca="false">жовтень!G107</f>
        <v>34.9</v>
      </c>
      <c r="H107" s="21" t="n">
        <f aca="false">жовтень!H107</f>
        <v>0</v>
      </c>
      <c r="I107" s="22" t="n">
        <f aca="false">жовтень!I107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2386.71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жовтень!B108</f>
        <v>Вінарська Н.П.</v>
      </c>
      <c r="C108" s="18" t="str">
        <f aca="false">жовтень!C108</f>
        <v>30100</v>
      </c>
      <c r="D108" s="19" t="n">
        <f aca="false">жовтень!P108</f>
        <v>5404.64</v>
      </c>
      <c r="E108" s="19" t="n">
        <f aca="false">жовтень!Q108</f>
        <v>0</v>
      </c>
      <c r="F108" s="20" t="n">
        <f aca="false">жовтень!F108</f>
        <v>0</v>
      </c>
      <c r="G108" s="21" t="n">
        <f aca="false">жовтень!G108</f>
        <v>62.78</v>
      </c>
      <c r="H108" s="21" t="n">
        <f aca="false">жовтень!H108</f>
        <v>0</v>
      </c>
      <c r="I108" s="22" t="n">
        <f aca="false">жовтень!I108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5662.04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жовтень!B109</f>
        <v>Чернова Н.І.</v>
      </c>
      <c r="C109" s="18" t="str">
        <f aca="false">жовтень!C109</f>
        <v>30101</v>
      </c>
      <c r="D109" s="19" t="n">
        <f aca="false">жовтень!P109</f>
        <v>5626.66</v>
      </c>
      <c r="E109" s="19" t="n">
        <f aca="false">жовтень!Q109</f>
        <v>0</v>
      </c>
      <c r="F109" s="20" t="n">
        <f aca="false">жовтень!F109</f>
        <v>0</v>
      </c>
      <c r="G109" s="21" t="n">
        <f aca="false">жовтень!G109</f>
        <v>66.29</v>
      </c>
      <c r="H109" s="21" t="n">
        <f aca="false">жовтень!H109</f>
        <v>0</v>
      </c>
      <c r="I109" s="22" t="n">
        <f aca="false">жовтень!I109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5898.45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жовтень!B110</f>
        <v>Кошева Н.П</v>
      </c>
      <c r="C110" s="18" t="str">
        <f aca="false">жовтень!C110</f>
        <v>30102</v>
      </c>
      <c r="D110" s="19" t="n">
        <f aca="false">жовтень!P110</f>
        <v>3919</v>
      </c>
      <c r="E110" s="19" t="n">
        <f aca="false">жовтень!Q110</f>
        <v>0</v>
      </c>
      <c r="F110" s="20" t="n">
        <f aca="false">жовтень!F110</f>
        <v>0</v>
      </c>
      <c r="G110" s="21" t="n">
        <f aca="false">жовтень!G110</f>
        <v>50</v>
      </c>
      <c r="H110" s="21" t="n">
        <f aca="false">жовтень!H110</f>
        <v>0</v>
      </c>
      <c r="I110" s="22" t="n">
        <f aca="false">жовтень!I110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4124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жовтень!B111</f>
        <v>Уривський Д.Б.</v>
      </c>
      <c r="C111" s="18" t="str">
        <f aca="false">жовтень!C111</f>
        <v>30103</v>
      </c>
      <c r="D111" s="19" t="n">
        <f aca="false">жовтень!P111</f>
        <v>3090.09</v>
      </c>
      <c r="E111" s="19" t="n">
        <f aca="false">жовтень!Q111</f>
        <v>0</v>
      </c>
      <c r="F111" s="20" t="n">
        <f aca="false">жовтень!F111</f>
        <v>0</v>
      </c>
      <c r="G111" s="21" t="n">
        <f aca="false">жовтень!G111</f>
        <v>35</v>
      </c>
      <c r="H111" s="21" t="n">
        <f aca="false">жовтень!H111</f>
        <v>0</v>
      </c>
      <c r="I111" s="22" t="n">
        <f aca="false">жовтень!I111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3233.59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жовтень!B112</f>
        <v>АДПСУ (Чорноморець В.М.)</v>
      </c>
      <c r="C112" s="18" t="str">
        <f aca="false">жовтень!C112</f>
        <v>30104</v>
      </c>
      <c r="D112" s="19" t="n">
        <f aca="false">жовтень!P112</f>
        <v>3782.42</v>
      </c>
      <c r="E112" s="19" t="n">
        <f aca="false">жовтень!Q112</f>
        <v>0</v>
      </c>
      <c r="F112" s="20" t="n">
        <f aca="false">жовтень!F112</f>
        <v>0</v>
      </c>
      <c r="G112" s="21" t="n">
        <f aca="false">жовтень!G112</f>
        <v>61.1</v>
      </c>
      <c r="H112" s="21" t="n">
        <f aca="false">жовтень!H112</f>
        <v>0</v>
      </c>
      <c r="I112" s="22" t="n">
        <f aca="false">жовтень!I112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4032.93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жовтень!B113</f>
        <v>Дмитренко Г.В.</v>
      </c>
      <c r="C113" s="18" t="str">
        <f aca="false">жовтень!C113</f>
        <v>30105</v>
      </c>
      <c r="D113" s="19" t="n">
        <f aca="false">жовтень!P113</f>
        <v>4568.47</v>
      </c>
      <c r="E113" s="19" t="n">
        <f aca="false">жовтень!Q113</f>
        <v>0</v>
      </c>
      <c r="F113" s="20" t="n">
        <f aca="false">жовтень!F113</f>
        <v>0</v>
      </c>
      <c r="G113" s="21" t="n">
        <f aca="false">жовтень!G113</f>
        <v>64.89</v>
      </c>
      <c r="H113" s="21" t="n">
        <f aca="false">жовтень!H113</f>
        <v>0</v>
      </c>
      <c r="I113" s="22" t="n">
        <f aca="false">жовтень!I113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4834.52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жовтень!B114</f>
        <v>Номерова Т.В.</v>
      </c>
      <c r="C114" s="18" t="str">
        <f aca="false">жовтень!C114</f>
        <v>30106</v>
      </c>
      <c r="D114" s="19" t="n">
        <f aca="false">жовтень!P114</f>
        <v>1199.2</v>
      </c>
      <c r="E114" s="19" t="n">
        <f aca="false">жовтень!Q114</f>
        <v>0</v>
      </c>
      <c r="F114" s="20" t="n">
        <f aca="false">жовтень!F114</f>
        <v>0</v>
      </c>
      <c r="G114" s="21" t="n">
        <f aca="false">жовтень!G114</f>
        <v>49.96</v>
      </c>
      <c r="H114" s="21" t="n">
        <f aca="false">жовтень!H114</f>
        <v>0</v>
      </c>
      <c r="I114" s="22" t="n">
        <f aca="false">жовтень!I114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1404.04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жовтень!B115</f>
        <v>Самойлова О.В.</v>
      </c>
      <c r="C115" s="18" t="str">
        <f aca="false">жовтень!C115</f>
        <v>30107</v>
      </c>
      <c r="D115" s="19" t="n">
        <f aca="false">жовтень!P115</f>
        <v>565.8</v>
      </c>
      <c r="E115" s="19" t="n">
        <f aca="false">жовтень!Q115</f>
        <v>0</v>
      </c>
      <c r="F115" s="20" t="n">
        <f aca="false">жовтень!F115</f>
        <v>0</v>
      </c>
      <c r="G115" s="21" t="n">
        <f aca="false">жовтень!G115</f>
        <v>34.5</v>
      </c>
      <c r="H115" s="21" t="n">
        <f aca="false">жовтень!H115</f>
        <v>0</v>
      </c>
      <c r="I115" s="22" t="n">
        <f aca="false">жовтень!I115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/>
      <c r="P115" s="25" t="n">
        <f aca="false">IF(D115=0,IF((N115-E115-O115)&gt;0,(N115-E115-O115),0),IF((D115+N115-O115)&gt;0,(D115+N115-O115),0))</f>
        <v>707.25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жовтень!B116</f>
        <v>Випенко О.І.</v>
      </c>
      <c r="C116" s="18" t="str">
        <f aca="false">жовтень!C116</f>
        <v>30108</v>
      </c>
      <c r="D116" s="19" t="n">
        <f aca="false">жовтень!P116</f>
        <v>8735.9</v>
      </c>
      <c r="E116" s="19" t="n">
        <f aca="false">жовтень!Q116</f>
        <v>0</v>
      </c>
      <c r="F116" s="20" t="n">
        <f aca="false">жовтень!F116</f>
        <v>0</v>
      </c>
      <c r="G116" s="21" t="n">
        <f aca="false">жовтень!G116</f>
        <v>62.9</v>
      </c>
      <c r="H116" s="21" t="n">
        <f aca="false">жовтень!H116</f>
        <v>0</v>
      </c>
      <c r="I116" s="22" t="n">
        <f aca="false">жовтень!I116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8993.79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жовтень!B117</f>
        <v>Саприкін Ю.О.</v>
      </c>
      <c r="C117" s="18" t="str">
        <f aca="false">жовтень!C117</f>
        <v>40109</v>
      </c>
      <c r="D117" s="19" t="n">
        <f aca="false">жовтень!P117</f>
        <v>1594.08</v>
      </c>
      <c r="E117" s="19" t="n">
        <f aca="false">жовтень!Q117</f>
        <v>0</v>
      </c>
      <c r="F117" s="20" t="n">
        <f aca="false">жовтень!F117</f>
        <v>0</v>
      </c>
      <c r="G117" s="21" t="n">
        <f aca="false">жовтень!G117</f>
        <v>97.2</v>
      </c>
      <c r="H117" s="21" t="n">
        <f aca="false">жовтень!H117</f>
        <v>0</v>
      </c>
      <c r="I117" s="22" t="n">
        <f aca="false">жовтень!I117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1992.6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жовтень!B118</f>
        <v>Мовчан В.М.</v>
      </c>
      <c r="C118" s="18" t="str">
        <f aca="false">жовтень!C118</f>
        <v>40110</v>
      </c>
      <c r="D118" s="19" t="n">
        <f aca="false">жовтень!P118</f>
        <v>798.49</v>
      </c>
      <c r="E118" s="19" t="n">
        <f aca="false">жовтень!Q118</f>
        <v>0</v>
      </c>
      <c r="F118" s="20" t="n">
        <f aca="false">жовтень!F118</f>
        <v>0</v>
      </c>
      <c r="G118" s="21" t="n">
        <f aca="false">жовтень!G118</f>
        <v>48.75</v>
      </c>
      <c r="H118" s="21" t="n">
        <f aca="false">жовтень!H118</f>
        <v>0</v>
      </c>
      <c r="I118" s="22" t="n">
        <f aca="false">жовтень!I118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/>
      <c r="P118" s="25" t="n">
        <f aca="false">IF(D118=0,IF((N118-E118-O118)&gt;0,(N118-E118-O118),0),IF((D118+N118-O118)&gt;0,(D118+N118-O118),0))</f>
        <v>998.37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жовтень!B119</f>
        <v>Величко Н.М.</v>
      </c>
      <c r="C119" s="18" t="str">
        <f aca="false">жовтень!C119</f>
        <v>40111</v>
      </c>
      <c r="D119" s="19" t="n">
        <f aca="false">жовтень!P119</f>
        <v>1705.22</v>
      </c>
      <c r="E119" s="19" t="n">
        <f aca="false">жовтень!Q119</f>
        <v>0</v>
      </c>
      <c r="F119" s="20" t="n">
        <f aca="false">жовтень!F119</f>
        <v>0</v>
      </c>
      <c r="G119" s="21" t="n">
        <f aca="false">жовтень!G119</f>
        <v>63.8</v>
      </c>
      <c r="H119" s="21" t="n">
        <f aca="false">жовтень!H119</f>
        <v>0</v>
      </c>
      <c r="I119" s="22" t="n">
        <f aca="false">жовтень!I119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1966.8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жовтень!B120</f>
        <v>Бухлов С.В.</v>
      </c>
      <c r="C120" s="18" t="str">
        <f aca="false">жовтень!C120</f>
        <v>40112</v>
      </c>
      <c r="D120" s="19" t="n">
        <f aca="false">жовтень!P120</f>
        <v>10561.09</v>
      </c>
      <c r="E120" s="19" t="n">
        <f aca="false">жовтень!Q120</f>
        <v>0</v>
      </c>
      <c r="F120" s="20" t="n">
        <f aca="false">жовтень!F120</f>
        <v>0</v>
      </c>
      <c r="G120" s="21" t="n">
        <f aca="false">жовтень!G120</f>
        <v>62.6</v>
      </c>
      <c r="H120" s="21" t="n">
        <f aca="false">жовтень!H120</f>
        <v>0</v>
      </c>
      <c r="I120" s="22" t="n">
        <f aca="false">жовтень!I120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10817.75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жовтень!B121</f>
        <v>Перепеліцина Т.Ю.</v>
      </c>
      <c r="C121" s="18" t="str">
        <f aca="false">жовтень!C121</f>
        <v>40113</v>
      </c>
      <c r="D121" s="19" t="n">
        <f aca="false">жовтень!P121</f>
        <v>354.17</v>
      </c>
      <c r="E121" s="19" t="n">
        <f aca="false">жовтень!Q121</f>
        <v>0</v>
      </c>
      <c r="F121" s="20" t="n">
        <f aca="false">жовтень!F121</f>
        <v>0</v>
      </c>
      <c r="G121" s="21" t="n">
        <f aca="false">жовтень!G121</f>
        <v>34.7</v>
      </c>
      <c r="H121" s="21" t="n">
        <f aca="false">жовтень!H121</f>
        <v>0</v>
      </c>
      <c r="I121" s="22" t="n">
        <f aca="false">жовтень!I121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496.44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жовтень!B122</f>
        <v>Свєтлова Т.Ю.</v>
      </c>
      <c r="C122" s="18" t="str">
        <f aca="false">жовтень!C122</f>
        <v>40114</v>
      </c>
      <c r="D122" s="19" t="n">
        <f aca="false">жовтень!P122</f>
        <v>2040.1</v>
      </c>
      <c r="E122" s="19" t="n">
        <f aca="false">жовтень!Q122</f>
        <v>0</v>
      </c>
      <c r="F122" s="20" t="n">
        <f aca="false">жовтень!F122</f>
        <v>0</v>
      </c>
      <c r="G122" s="21" t="n">
        <f aca="false">жовтень!G122</f>
        <v>49.72</v>
      </c>
      <c r="H122" s="21" t="n">
        <f aca="false">жовтень!H122</f>
        <v>0</v>
      </c>
      <c r="I122" s="22" t="n">
        <f aca="false">жовтень!I122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2243.95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жовтень!B123</f>
        <v>Маркова О.М.</v>
      </c>
      <c r="C123" s="18" t="str">
        <f aca="false">жовтень!C123</f>
        <v>40115</v>
      </c>
      <c r="D123" s="19" t="n">
        <f aca="false">жовтень!P123</f>
        <v>5625.11</v>
      </c>
      <c r="E123" s="19" t="n">
        <f aca="false">жовтень!Q123</f>
        <v>0</v>
      </c>
      <c r="F123" s="20" t="n">
        <f aca="false">жовтень!F123</f>
        <v>0</v>
      </c>
      <c r="G123" s="21" t="n">
        <f aca="false">жовтень!G123</f>
        <v>65.1</v>
      </c>
      <c r="H123" s="21" t="n">
        <f aca="false">жовтень!H123</f>
        <v>0</v>
      </c>
      <c r="I123" s="22" t="n">
        <f aca="false">жовтень!I123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5892.02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жовтень!B124</f>
        <v>Ракитська А.М.</v>
      </c>
      <c r="C124" s="18" t="str">
        <f aca="false">жовтень!C124</f>
        <v>40116</v>
      </c>
      <c r="D124" s="19" t="n">
        <f aca="false">жовтень!P124</f>
        <v>4004.24</v>
      </c>
      <c r="E124" s="19" t="n">
        <f aca="false">жовтень!Q124</f>
        <v>0</v>
      </c>
      <c r="F124" s="20" t="n">
        <f aca="false">жовтень!F124</f>
        <v>0</v>
      </c>
      <c r="G124" s="21" t="n">
        <f aca="false">жовтень!G124</f>
        <v>62.18</v>
      </c>
      <c r="H124" s="21" t="n">
        <f aca="false">жовтень!H124</f>
        <v>0</v>
      </c>
      <c r="I124" s="22" t="n">
        <f aca="false">жовтень!I124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4259.18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жовтень!B125</f>
        <v>Гусак К.С.</v>
      </c>
      <c r="C125" s="18" t="str">
        <f aca="false">жовтень!C125</f>
        <v>40117</v>
      </c>
      <c r="D125" s="19" t="n">
        <f aca="false">жовтень!P125</f>
        <v>2939.34</v>
      </c>
      <c r="E125" s="19" t="n">
        <f aca="false">жовтень!Q125</f>
        <v>0</v>
      </c>
      <c r="F125" s="20" t="n">
        <f aca="false">жовтень!F125</f>
        <v>0</v>
      </c>
      <c r="G125" s="21" t="n">
        <f aca="false">жовтень!G125</f>
        <v>35.1</v>
      </c>
      <c r="H125" s="21" t="n">
        <f aca="false">жовтень!H125</f>
        <v>0</v>
      </c>
      <c r="I125" s="22" t="n">
        <f aca="false">жовтень!I125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3083.25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жовтень!B126</f>
        <v>Пісоченко М.Г.</v>
      </c>
      <c r="C126" s="18" t="str">
        <f aca="false">жовтень!C126</f>
        <v>40118</v>
      </c>
      <c r="D126" s="19" t="n">
        <f aca="false">жовтень!P126</f>
        <v>612.54</v>
      </c>
      <c r="E126" s="19" t="n">
        <f aca="false">жовтень!Q126</f>
        <v>0</v>
      </c>
      <c r="F126" s="20" t="n">
        <f aca="false">жовтень!F126</f>
        <v>0</v>
      </c>
      <c r="G126" s="21" t="n">
        <f aca="false">жовтень!G126</f>
        <v>49.8</v>
      </c>
      <c r="H126" s="21" t="n">
        <f aca="false">жовтень!H126</f>
        <v>0</v>
      </c>
      <c r="I126" s="22" t="n">
        <f aca="false">жовтень!I126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816.72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жовтень!B127</f>
        <v>Столяр О.М.</v>
      </c>
      <c r="C127" s="18" t="str">
        <f aca="false">жовтень!C127</f>
        <v>40119</v>
      </c>
      <c r="D127" s="19" t="n">
        <f aca="false">жовтень!P127</f>
        <v>9176.75999999999</v>
      </c>
      <c r="E127" s="19" t="n">
        <f aca="false">жовтень!Q127</f>
        <v>0</v>
      </c>
      <c r="F127" s="20" t="n">
        <f aca="false">жовтень!F127</f>
        <v>0</v>
      </c>
      <c r="G127" s="21" t="n">
        <f aca="false">жовтень!G127</f>
        <v>65.3</v>
      </c>
      <c r="H127" s="21" t="n">
        <f aca="false">жовтень!H127</f>
        <v>0</v>
      </c>
      <c r="I127" s="22" t="n">
        <f aca="false">жовтень!I127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9444.48999999999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жовтень!B128</f>
        <v>Рєзніков В.П.</v>
      </c>
      <c r="C128" s="18" t="str">
        <f aca="false">жовтень!C128</f>
        <v>40120</v>
      </c>
      <c r="D128" s="19" t="n">
        <f aca="false">жовтень!P128</f>
        <v>1010.69</v>
      </c>
      <c r="E128" s="19" t="n">
        <f aca="false">жовтень!Q128</f>
        <v>0</v>
      </c>
      <c r="F128" s="20" t="n">
        <f aca="false">жовтень!F128</f>
        <v>0</v>
      </c>
      <c r="G128" s="21" t="n">
        <f aca="false">жовтень!G128</f>
        <v>62.44</v>
      </c>
      <c r="H128" s="21" t="n">
        <f aca="false">жовтень!H128</f>
        <v>0</v>
      </c>
      <c r="I128" s="22" t="n">
        <f aca="false">жовтень!I128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1266.69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жовтень!B129</f>
        <v>Золотоверха Я.І.</v>
      </c>
      <c r="C129" s="18" t="str">
        <f aca="false">жовтень!C129</f>
        <v>40121</v>
      </c>
      <c r="D129" s="19" t="n">
        <f aca="false">жовтень!P129</f>
        <v>291.92</v>
      </c>
      <c r="E129" s="19" t="n">
        <f aca="false">жовтень!Q129</f>
        <v>0</v>
      </c>
      <c r="F129" s="20" t="n">
        <f aca="false">жовтень!F129</f>
        <v>0</v>
      </c>
      <c r="G129" s="21" t="n">
        <f aca="false">жовтень!G129</f>
        <v>35.6</v>
      </c>
      <c r="H129" s="21" t="n">
        <f aca="false">жовтень!H129</f>
        <v>0</v>
      </c>
      <c r="I129" s="22" t="n">
        <f aca="false">жовтень!I129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/>
      <c r="P129" s="25" t="n">
        <f aca="false">IF(D129=0,IF((N129-E129-O129)&gt;0,(N129-E129-O129),0),IF((D129+N129-O129)&gt;0,(D129+N129-O129),0))</f>
        <v>437.88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жовтень!B130</f>
        <v>Бурлаков А.В.</v>
      </c>
      <c r="C130" s="18" t="str">
        <f aca="false">жовтень!C130</f>
        <v>40122</v>
      </c>
      <c r="D130" s="19" t="n">
        <f aca="false">жовтень!P130</f>
        <v>675.49</v>
      </c>
      <c r="E130" s="19" t="n">
        <f aca="false">жовтень!Q130</f>
        <v>0</v>
      </c>
      <c r="F130" s="20" t="n">
        <f aca="false">жовтень!F130</f>
        <v>0</v>
      </c>
      <c r="G130" s="21" t="n">
        <f aca="false">жовтень!G130</f>
        <v>49.7</v>
      </c>
      <c r="H130" s="21" t="n">
        <f aca="false">жовтень!H130</f>
        <v>0</v>
      </c>
      <c r="I130" s="22" t="n">
        <f aca="false">жовтень!I130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/>
      <c r="P130" s="25" t="n">
        <f aca="false">IF(D130=0,IF((N130-E130-O130)&gt;0,(N130-E130-O130),0),IF((D130+N130-O130)&gt;0,(D130+N130-O130),0))</f>
        <v>879.26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жовтень!B131</f>
        <v>Сикула О.Ю.</v>
      </c>
      <c r="C131" s="18" t="str">
        <f aca="false">жовтень!C131</f>
        <v>40123</v>
      </c>
      <c r="D131" s="19" t="n">
        <f aca="false">жовтень!P131</f>
        <v>4929.38</v>
      </c>
      <c r="E131" s="19" t="n">
        <f aca="false">жовтень!Q131</f>
        <v>0</v>
      </c>
      <c r="F131" s="20" t="n">
        <f aca="false">жовтень!F131</f>
        <v>0</v>
      </c>
      <c r="G131" s="21" t="n">
        <f aca="false">жовтень!G131</f>
        <v>65.15</v>
      </c>
      <c r="H131" s="21" t="n">
        <f aca="false">жовтень!H131</f>
        <v>0</v>
      </c>
      <c r="I131" s="22" t="n">
        <f aca="false">жовтень!I131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5196.5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жовтень!B132</f>
        <v>Арістов О.О.</v>
      </c>
      <c r="C132" s="18" t="str">
        <f aca="false">жовтень!C132</f>
        <v>40124</v>
      </c>
      <c r="D132" s="19" t="n">
        <f aca="false">жовтень!P132</f>
        <v>2185.65</v>
      </c>
      <c r="E132" s="19" t="n">
        <f aca="false">жовтень!Q132</f>
        <v>0</v>
      </c>
      <c r="F132" s="20" t="n">
        <f aca="false">жовтень!F132</f>
        <v>0</v>
      </c>
      <c r="G132" s="21" t="n">
        <f aca="false">жовтень!G132</f>
        <v>63</v>
      </c>
      <c r="H132" s="21" t="n">
        <f aca="false">жовтень!H132</f>
        <v>0</v>
      </c>
      <c r="I132" s="22" t="n">
        <f aca="false">жовтень!I132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2443.95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жовтень!B133</f>
        <v>Бондаренко Т.О.</v>
      </c>
      <c r="C133" s="18" t="str">
        <f aca="false">жовтень!C133</f>
        <v>40125</v>
      </c>
      <c r="D133" s="19" t="n">
        <f aca="false">жовтень!P133</f>
        <v>2517.02</v>
      </c>
      <c r="E133" s="19" t="n">
        <f aca="false">жовтень!Q133</f>
        <v>0</v>
      </c>
      <c r="F133" s="20" t="n">
        <f aca="false">жовтень!F133</f>
        <v>0</v>
      </c>
      <c r="G133" s="21" t="n">
        <f aca="false">жовтень!G133</f>
        <v>34.7</v>
      </c>
      <c r="H133" s="21" t="n">
        <f aca="false">жовтень!H133</f>
        <v>0</v>
      </c>
      <c r="I133" s="22" t="n">
        <f aca="false">жовтень!I133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2659.29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жовтень!B134</f>
        <v>Гайчев П.В.</v>
      </c>
      <c r="C134" s="18" t="str">
        <f aca="false">жовтень!C134</f>
        <v>40126</v>
      </c>
      <c r="D134" s="19" t="n">
        <f aca="false">жовтень!P134</f>
        <v>416.520000000001</v>
      </c>
      <c r="E134" s="19" t="n">
        <f aca="false">жовтень!Q134</f>
        <v>0</v>
      </c>
      <c r="F134" s="20" t="n">
        <f aca="false">жовтень!F134</f>
        <v>0</v>
      </c>
      <c r="G134" s="21" t="n">
        <f aca="false">жовтень!G134</f>
        <v>49.2</v>
      </c>
      <c r="H134" s="21" t="n">
        <f aca="false">жовтень!H134</f>
        <v>0</v>
      </c>
      <c r="I134" s="22" t="n">
        <f aca="false">жовтень!I134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618.240000000001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жовтень!B135</f>
        <v>Радченко О.С.</v>
      </c>
      <c r="C135" s="18" t="str">
        <f aca="false">жовтень!C135</f>
        <v>40127</v>
      </c>
      <c r="D135" s="19" t="n">
        <f aca="false">жовтень!P135</f>
        <v>1063.38</v>
      </c>
      <c r="E135" s="19" t="n">
        <f aca="false">жовтень!Q135</f>
        <v>0</v>
      </c>
      <c r="F135" s="20" t="n">
        <f aca="false">жовтень!F135</f>
        <v>0</v>
      </c>
      <c r="G135" s="21" t="n">
        <f aca="false">жовтень!G135</f>
        <v>65.15</v>
      </c>
      <c r="H135" s="21" t="n">
        <f aca="false">жовтень!H135</f>
        <v>0</v>
      </c>
      <c r="I135" s="22" t="n">
        <f aca="false">жовтень!I135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1330.5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жовтень!B136</f>
        <v>Шилін С.М.</v>
      </c>
      <c r="C136" s="18" t="str">
        <f aca="false">жовтень!C136</f>
        <v>40128</v>
      </c>
      <c r="D136" s="19" t="n">
        <f aca="false">жовтень!P136</f>
        <v>3830.88</v>
      </c>
      <c r="E136" s="19" t="n">
        <f aca="false">жовтень!Q136</f>
        <v>0</v>
      </c>
      <c r="F136" s="20" t="n">
        <f aca="false">жовтень!F136</f>
        <v>0</v>
      </c>
      <c r="G136" s="21" t="n">
        <f aca="false">жовтень!G136</f>
        <v>62.3</v>
      </c>
      <c r="H136" s="21" t="n">
        <f aca="false">жовтень!H136</f>
        <v>0</v>
      </c>
      <c r="I136" s="22" t="n">
        <f aca="false">жовтень!I136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4086.31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жовтень!B137</f>
        <v>Петрулевич В.М.</v>
      </c>
      <c r="C137" s="18" t="str">
        <f aca="false">жовтень!C137</f>
        <v>40129</v>
      </c>
      <c r="D137" s="19" t="n">
        <f aca="false">жовтень!P137</f>
        <v>2560.56</v>
      </c>
      <c r="E137" s="19" t="n">
        <f aca="false">жовтень!Q137</f>
        <v>0</v>
      </c>
      <c r="F137" s="20" t="n">
        <f aca="false">жовтень!F137</f>
        <v>0</v>
      </c>
      <c r="G137" s="21" t="n">
        <f aca="false">жовтень!G137</f>
        <v>35.3</v>
      </c>
      <c r="H137" s="21" t="n">
        <f aca="false">жовтень!H137</f>
        <v>0</v>
      </c>
      <c r="I137" s="22" t="n">
        <f aca="false">жовтень!I137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2705.29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жовтень!B138</f>
        <v>Кривошеєва Л.М.</v>
      </c>
      <c r="C138" s="18" t="str">
        <f aca="false">жовтень!C138</f>
        <v>40130</v>
      </c>
      <c r="D138" s="19" t="n">
        <f aca="false">жовтень!P138</f>
        <v>3013.42</v>
      </c>
      <c r="E138" s="19" t="n">
        <f aca="false">жовтень!Q138</f>
        <v>0</v>
      </c>
      <c r="F138" s="20" t="n">
        <f aca="false">жовтень!F138</f>
        <v>0</v>
      </c>
      <c r="G138" s="21" t="n">
        <f aca="false">жовтень!G138</f>
        <v>49.78</v>
      </c>
      <c r="H138" s="21" t="n">
        <f aca="false">жовтень!H138</f>
        <v>0</v>
      </c>
      <c r="I138" s="22" t="n">
        <f aca="false">жовтень!I138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3217.52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жовтень!B139</f>
        <v>Харченко І.С.</v>
      </c>
      <c r="C139" s="18" t="str">
        <f aca="false">жовтень!C139</f>
        <v>40131</v>
      </c>
      <c r="D139" s="19" t="n">
        <f aca="false">жовтень!P139</f>
        <v>1311.81</v>
      </c>
      <c r="E139" s="19" t="n">
        <f aca="false">жовтень!Q139</f>
        <v>0</v>
      </c>
      <c r="F139" s="20" t="n">
        <f aca="false">жовтень!F139</f>
        <v>0</v>
      </c>
      <c r="G139" s="21" t="n">
        <f aca="false">жовтень!G139</f>
        <v>65.93</v>
      </c>
      <c r="H139" s="21" t="n">
        <f aca="false">жовтень!H139</f>
        <v>0</v>
      </c>
      <c r="I139" s="22" t="n">
        <f aca="false">жовтень!I139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/>
      <c r="P139" s="25" t="n">
        <f aca="false">IF(D139=0,IF((N139-E139-O139)&gt;0,(N139-E139-O139),0),IF((D139+N139-O139)&gt;0,(D139+N139-O139),0))</f>
        <v>1582.12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жовтень!B140</f>
        <v>Куриленко І.О.</v>
      </c>
      <c r="C140" s="18" t="str">
        <f aca="false">жовтень!C140</f>
        <v>40132</v>
      </c>
      <c r="D140" s="19" t="n">
        <f aca="false">жовтень!P140</f>
        <v>5623.25</v>
      </c>
      <c r="E140" s="19" t="n">
        <f aca="false">жовтень!Q140</f>
        <v>0</v>
      </c>
      <c r="F140" s="20" t="n">
        <f aca="false">жовтень!F140</f>
        <v>0</v>
      </c>
      <c r="G140" s="21" t="n">
        <f aca="false">жовтень!G140</f>
        <v>62.36</v>
      </c>
      <c r="H140" s="21" t="n">
        <f aca="false">жовтень!H140</f>
        <v>0</v>
      </c>
      <c r="I140" s="22" t="n">
        <f aca="false">жовтень!I140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5878.93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жовтень!B141</f>
        <v>Єлсукова В.М.</v>
      </c>
      <c r="C141" s="18" t="str">
        <f aca="false">жовтень!C141</f>
        <v>40133</v>
      </c>
      <c r="D141" s="19" t="n">
        <f aca="false">жовтень!P141</f>
        <v>3166.02</v>
      </c>
      <c r="E141" s="19" t="n">
        <f aca="false">жовтень!Q141</f>
        <v>0</v>
      </c>
      <c r="F141" s="20" t="n">
        <f aca="false">жовтень!F141</f>
        <v>0</v>
      </c>
      <c r="G141" s="21" t="n">
        <f aca="false">жовтень!G141</f>
        <v>35.1</v>
      </c>
      <c r="H141" s="21" t="n">
        <f aca="false">жовтень!H141</f>
        <v>0</v>
      </c>
      <c r="I141" s="22" t="n">
        <f aca="false">жовтень!I141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3309.93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жовтень!B142</f>
        <v>Пімонова М.В.</v>
      </c>
      <c r="C142" s="18" t="str">
        <f aca="false">жовтень!C142</f>
        <v>40134</v>
      </c>
      <c r="D142" s="19" t="n">
        <f aca="false">жовтень!P142</f>
        <v>6000.93</v>
      </c>
      <c r="E142" s="19" t="n">
        <f aca="false">жовтень!Q142</f>
        <v>0</v>
      </c>
      <c r="F142" s="20" t="n">
        <f aca="false">жовтень!F142</f>
        <v>0</v>
      </c>
      <c r="G142" s="21" t="n">
        <f aca="false">жовтень!G142</f>
        <v>49.47</v>
      </c>
      <c r="H142" s="21" t="n">
        <f aca="false">жовтень!H142</f>
        <v>0</v>
      </c>
      <c r="I142" s="22" t="n">
        <f aca="false">жовтень!I142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6203.76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жовтень!B143</f>
        <v>Осипенко В.В.</v>
      </c>
      <c r="C143" s="18" t="str">
        <f aca="false">жовтень!C143</f>
        <v>40135</v>
      </c>
      <c r="D143" s="19" t="n">
        <f aca="false">жовтень!P143</f>
        <v>3766.57</v>
      </c>
      <c r="E143" s="19" t="n">
        <f aca="false">жовтень!Q143</f>
        <v>0</v>
      </c>
      <c r="F143" s="20" t="n">
        <f aca="false">жовтень!F143</f>
        <v>0</v>
      </c>
      <c r="G143" s="21" t="n">
        <f aca="false">жовтень!G143</f>
        <v>65.65</v>
      </c>
      <c r="H143" s="21" t="n">
        <f aca="false">жовтень!H143</f>
        <v>0</v>
      </c>
      <c r="I143" s="22" t="n">
        <f aca="false">жовтень!I143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4035.74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жовтень!B144</f>
        <v>Друзь О.О.</v>
      </c>
      <c r="C144" s="18" t="str">
        <f aca="false">жовтень!C144</f>
        <v>40136</v>
      </c>
      <c r="D144" s="19" t="n">
        <f aca="false">жовтень!P144</f>
        <v>4327.69</v>
      </c>
      <c r="E144" s="19" t="n">
        <f aca="false">жовтень!Q144</f>
        <v>0</v>
      </c>
      <c r="F144" s="20" t="n">
        <f aca="false">жовтень!F144</f>
        <v>0</v>
      </c>
      <c r="G144" s="21" t="n">
        <f aca="false">жовтень!G144</f>
        <v>62.1</v>
      </c>
      <c r="H144" s="21" t="n">
        <f aca="false">жовтень!H144</f>
        <v>0</v>
      </c>
      <c r="I144" s="22" t="n">
        <f aca="false">жовтень!I144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4582.3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жовтень!B145</f>
        <v>Вовченко Р.І.</v>
      </c>
      <c r="C145" s="18" t="str">
        <f aca="false">жовтень!C145</f>
        <v>40137</v>
      </c>
      <c r="D145" s="19" t="n">
        <f aca="false">жовтень!P145</f>
        <v>786.399999999999</v>
      </c>
      <c r="E145" s="19" t="n">
        <f aca="false">жовтень!Q145</f>
        <v>0</v>
      </c>
      <c r="F145" s="20" t="n">
        <f aca="false">жовтень!F145</f>
        <v>0</v>
      </c>
      <c r="G145" s="21" t="n">
        <f aca="false">жовтень!G145</f>
        <v>35.2</v>
      </c>
      <c r="H145" s="21" t="n">
        <f aca="false">жовтень!H145</f>
        <v>0</v>
      </c>
      <c r="I145" s="22" t="n">
        <f aca="false">жовтень!I145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930.719999999999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жовтень!B146</f>
        <v>Плакун Д.В.</v>
      </c>
      <c r="C146" s="18" t="str">
        <f aca="false">жовтень!C146</f>
        <v>40138</v>
      </c>
      <c r="D146" s="19" t="n">
        <f aca="false">жовтень!P146</f>
        <v>2045.58</v>
      </c>
      <c r="E146" s="19" t="n">
        <f aca="false">жовтень!Q146</f>
        <v>0</v>
      </c>
      <c r="F146" s="20" t="n">
        <f aca="false">жовтень!F146</f>
        <v>0</v>
      </c>
      <c r="G146" s="21" t="n">
        <f aca="false">жовтень!G146</f>
        <v>49.9</v>
      </c>
      <c r="H146" s="21" t="n">
        <f aca="false">жовтень!H146</f>
        <v>0</v>
      </c>
      <c r="I146" s="22" t="n">
        <f aca="false">жовтень!I146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2250.17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жовтень!B147</f>
        <v>Гаврилова Ю.О.</v>
      </c>
      <c r="C147" s="18" t="str">
        <f aca="false">жовтень!C147</f>
        <v>40139</v>
      </c>
      <c r="D147" s="19" t="n">
        <f aca="false">жовтень!P147</f>
        <v>1421.46</v>
      </c>
      <c r="E147" s="19" t="n">
        <f aca="false">жовтень!Q147</f>
        <v>0</v>
      </c>
      <c r="F147" s="20" t="n">
        <f aca="false">жовтень!F147</f>
        <v>0</v>
      </c>
      <c r="G147" s="21" t="n">
        <f aca="false">жовтень!G147</f>
        <v>65.8</v>
      </c>
      <c r="H147" s="21" t="n">
        <f aca="false">жовтень!H147</f>
        <v>0</v>
      </c>
      <c r="I147" s="22" t="n">
        <f aca="false">жовтень!I147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1691.24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жовтень!B148</f>
        <v>Корзун Г.М.</v>
      </c>
      <c r="C148" s="18" t="str">
        <f aca="false">жовтень!C148</f>
        <v>40140</v>
      </c>
      <c r="D148" s="19" t="n">
        <f aca="false">жовтень!P148</f>
        <v>1649.72</v>
      </c>
      <c r="E148" s="19" t="n">
        <f aca="false">жовтень!Q148</f>
        <v>0</v>
      </c>
      <c r="F148" s="20" t="n">
        <f aca="false">жовтень!F148</f>
        <v>0</v>
      </c>
      <c r="G148" s="21" t="n">
        <f aca="false">жовтень!G148</f>
        <v>63.2</v>
      </c>
      <c r="H148" s="21" t="n">
        <f aca="false">жовтень!H148</f>
        <v>0</v>
      </c>
      <c r="I148" s="22" t="n">
        <f aca="false">жовтень!I148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1908.84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жовтень!B149</f>
        <v>Бондаренко Л.Л.</v>
      </c>
      <c r="C149" s="18" t="str">
        <f aca="false">жовтень!C149</f>
        <v>40141</v>
      </c>
      <c r="D149" s="19" t="n">
        <f aca="false">жовтень!P149</f>
        <v>285.65</v>
      </c>
      <c r="E149" s="19" t="n">
        <f aca="false">жовтень!Q149</f>
        <v>0</v>
      </c>
      <c r="F149" s="20" t="n">
        <f aca="false">жовтень!F149</f>
        <v>0</v>
      </c>
      <c r="G149" s="21" t="n">
        <f aca="false">жовтень!G149</f>
        <v>34.9</v>
      </c>
      <c r="H149" s="21" t="n">
        <f aca="false">жовтень!H149</f>
        <v>0</v>
      </c>
      <c r="I149" s="22" t="n">
        <f aca="false">жовтень!I149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428.74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жовтень!B150</f>
        <v>Капелюш Н.А.</v>
      </c>
      <c r="C150" s="18" t="str">
        <f aca="false">жовтень!C150</f>
        <v>40142</v>
      </c>
      <c r="D150" s="19" t="n">
        <f aca="false">жовтень!P150</f>
        <v>4132.8</v>
      </c>
      <c r="E150" s="19" t="n">
        <f aca="false">жовтень!Q150</f>
        <v>0</v>
      </c>
      <c r="F150" s="20" t="n">
        <f aca="false">жовтень!F150</f>
        <v>0</v>
      </c>
      <c r="G150" s="21" t="n">
        <f aca="false">жовтень!G150</f>
        <v>50.4</v>
      </c>
      <c r="H150" s="21" t="n">
        <f aca="false">жовтень!H150</f>
        <v>0</v>
      </c>
      <c r="I150" s="22" t="n">
        <f aca="false">жовтень!I150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4339.44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жовтень!B151</f>
        <v>Кістрінь Л.П.</v>
      </c>
      <c r="C151" s="18" t="str">
        <f aca="false">жовтень!C151</f>
        <v>40143</v>
      </c>
      <c r="D151" s="19" t="n">
        <f aca="false">жовтень!P151</f>
        <v>6668.45</v>
      </c>
      <c r="E151" s="19" t="n">
        <f aca="false">жовтень!Q151</f>
        <v>0</v>
      </c>
      <c r="F151" s="20" t="n">
        <f aca="false">жовтень!F151</f>
        <v>0</v>
      </c>
      <c r="G151" s="21" t="n">
        <f aca="false">жовтень!G151</f>
        <v>65.2</v>
      </c>
      <c r="H151" s="21" t="n">
        <f aca="false">жовтень!H151</f>
        <v>0</v>
      </c>
      <c r="I151" s="22" t="n">
        <f aca="false">жовтень!I151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6935.77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жовтень!B152</f>
        <v>Козьміна І.В.</v>
      </c>
      <c r="C152" s="18" t="str">
        <f aca="false">жовтень!C152</f>
        <v>50144</v>
      </c>
      <c r="D152" s="19" t="n">
        <f aca="false">жовтень!P152</f>
        <v>1323.7</v>
      </c>
      <c r="E152" s="19" t="n">
        <f aca="false">жовтень!Q152</f>
        <v>0</v>
      </c>
      <c r="F152" s="20" t="n">
        <f aca="false">жовтень!F152</f>
        <v>0</v>
      </c>
      <c r="G152" s="21" t="n">
        <f aca="false">жовтень!G152</f>
        <v>64.57</v>
      </c>
      <c r="H152" s="21" t="n">
        <f aca="false">жовтень!H152</f>
        <v>0</v>
      </c>
      <c r="I152" s="22" t="n">
        <f aca="false">жовтень!I152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1588.44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жовтень!B153</f>
        <v>Чала С.С.</v>
      </c>
      <c r="C153" s="18" t="str">
        <f aca="false">жовтень!C153</f>
        <v>50145</v>
      </c>
      <c r="D153" s="19" t="n">
        <f aca="false">жовтень!P153</f>
        <v>5848.79</v>
      </c>
      <c r="E153" s="19" t="n">
        <f aca="false">жовтень!Q153</f>
        <v>0</v>
      </c>
      <c r="F153" s="20" t="n">
        <f aca="false">жовтень!F153</f>
        <v>0</v>
      </c>
      <c r="G153" s="21" t="n">
        <f aca="false">жовтень!G153</f>
        <v>48.7</v>
      </c>
      <c r="H153" s="21" t="n">
        <f aca="false">жовтень!H153</f>
        <v>0</v>
      </c>
      <c r="I153" s="22" t="n">
        <f aca="false">жовтень!I153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6048.46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жовтень!B154</f>
        <v>Свєтайлова І.М.</v>
      </c>
      <c r="C154" s="18" t="str">
        <f aca="false">жовтень!C154</f>
        <v>50146</v>
      </c>
      <c r="D154" s="19" t="n">
        <f aca="false">жовтень!P154</f>
        <v>3022.11</v>
      </c>
      <c r="E154" s="19" t="n">
        <f aca="false">жовтень!Q154</f>
        <v>0</v>
      </c>
      <c r="F154" s="20" t="n">
        <f aca="false">жовтень!F154</f>
        <v>0</v>
      </c>
      <c r="G154" s="21" t="n">
        <f aca="false">жовтень!G154</f>
        <v>35.1</v>
      </c>
      <c r="H154" s="21" t="n">
        <f aca="false">жовтень!H154</f>
        <v>0</v>
      </c>
      <c r="I154" s="22" t="n">
        <f aca="false">жовтень!I154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3166.02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жовтень!B155</f>
        <v>Неделько Д.І.</v>
      </c>
      <c r="C155" s="18" t="str">
        <f aca="false">жовтень!C155</f>
        <v>50147</v>
      </c>
      <c r="D155" s="19" t="n">
        <f aca="false">жовтень!P155</f>
        <v>878.56</v>
      </c>
      <c r="E155" s="19" t="n">
        <f aca="false">жовтень!Q155</f>
        <v>0</v>
      </c>
      <c r="F155" s="20" t="n">
        <f aca="false">жовтень!F155</f>
        <v>0</v>
      </c>
      <c r="G155" s="21" t="n">
        <f aca="false">жовтень!G155</f>
        <v>53.57</v>
      </c>
      <c r="H155" s="21" t="n">
        <f aca="false">жовтень!H155</f>
        <v>0</v>
      </c>
      <c r="I155" s="22" t="n">
        <f aca="false">жовтень!I155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1098.2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жовтень!B156</f>
        <v>Самойленко Л.К.</v>
      </c>
      <c r="C156" s="18" t="str">
        <f aca="false">жовтень!C156</f>
        <v>50148</v>
      </c>
      <c r="D156" s="19" t="n">
        <f aca="false">жовтень!P156</f>
        <v>0</v>
      </c>
      <c r="E156" s="19" t="n">
        <f aca="false">жовтень!Q156</f>
        <v>487.419999999999</v>
      </c>
      <c r="F156" s="20" t="n">
        <f aca="false">жовтень!F156</f>
        <v>0</v>
      </c>
      <c r="G156" s="21" t="n">
        <f aca="false">жовтень!G156</f>
        <v>65.7</v>
      </c>
      <c r="H156" s="21" t="n">
        <f aca="false">жовтень!H156</f>
        <v>0</v>
      </c>
      <c r="I156" s="22" t="n">
        <f aca="false">жовтень!I156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/>
      <c r="P156" s="25" t="n">
        <f aca="false">IF(D156=0,IF((N156-E156-O156)&gt;0,(N156-E156-O156),0),IF((D156+N156-O156)&gt;0,(D156+N156-O156),0))</f>
        <v>0</v>
      </c>
      <c r="Q156" s="25" t="n">
        <f aca="false">IF(E156=0,IF((D156+N156-O156)&lt;0,ABS(D156+N156-O156),0),IF((N156-E156-O156)&lt;0,ABS(N156-E156-O156),0))</f>
        <v>218.049999999999</v>
      </c>
    </row>
    <row r="157" customFormat="false" ht="15" hidden="false" customHeight="false" outlineLevel="0" collapsed="false">
      <c r="A157" s="17" t="s">
        <v>467</v>
      </c>
      <c r="B157" s="18" t="str">
        <f aca="false">жовтень!B157</f>
        <v>Павлов Ю.В.</v>
      </c>
      <c r="C157" s="18" t="str">
        <f aca="false">жовтень!C157</f>
        <v>50149</v>
      </c>
      <c r="D157" s="19" t="n">
        <f aca="false">жовтень!P157</f>
        <v>3590.78</v>
      </c>
      <c r="E157" s="19" t="n">
        <f aca="false">жовтень!Q157</f>
        <v>0</v>
      </c>
      <c r="F157" s="20" t="n">
        <f aca="false">жовтень!F157</f>
        <v>0</v>
      </c>
      <c r="G157" s="21" t="n">
        <f aca="false">жовтень!G157</f>
        <v>49.78</v>
      </c>
      <c r="H157" s="21" t="n">
        <f aca="false">жовтень!H157</f>
        <v>0</v>
      </c>
      <c r="I157" s="22" t="n">
        <f aca="false">жовтень!I157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3794.88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жовтень!B158</f>
        <v>Коваленко Т.М.</v>
      </c>
      <c r="C158" s="18" t="str">
        <f aca="false">жовтень!C158</f>
        <v>50150</v>
      </c>
      <c r="D158" s="19" t="n">
        <f aca="false">жовтень!P158</f>
        <v>430.5</v>
      </c>
      <c r="E158" s="19" t="n">
        <f aca="false">жовтень!Q158</f>
        <v>0</v>
      </c>
      <c r="F158" s="20" t="n">
        <f aca="false">жовтень!F158</f>
        <v>0</v>
      </c>
      <c r="G158" s="21" t="n">
        <f aca="false">жовтень!G158</f>
        <v>35</v>
      </c>
      <c r="H158" s="21" t="n">
        <f aca="false">жовтень!H158</f>
        <v>0</v>
      </c>
      <c r="I158" s="22" t="n">
        <f aca="false">жовтень!I158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574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жовтень!B159</f>
        <v>Рощенко Л.Б.</v>
      </c>
      <c r="C159" s="18" t="str">
        <f aca="false">жовтень!C159</f>
        <v>50151</v>
      </c>
      <c r="D159" s="19" t="n">
        <f aca="false">жовтень!P159</f>
        <v>3277.19</v>
      </c>
      <c r="E159" s="19" t="n">
        <f aca="false">жовтень!Q159</f>
        <v>0</v>
      </c>
      <c r="F159" s="20" t="n">
        <f aca="false">жовтень!F159</f>
        <v>0</v>
      </c>
      <c r="G159" s="21" t="n">
        <f aca="false">жовтень!G159</f>
        <v>62.08</v>
      </c>
      <c r="H159" s="21" t="n">
        <f aca="false">жовтень!H159</f>
        <v>0</v>
      </c>
      <c r="I159" s="22" t="n">
        <f aca="false">жовтень!I159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3531.72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жовтень!B160</f>
        <v>Галушко С.Т.</v>
      </c>
      <c r="C160" s="18" t="str">
        <f aca="false">жовтень!C160</f>
        <v>50152</v>
      </c>
      <c r="D160" s="19" t="n">
        <f aca="false">жовтень!P160</f>
        <v>810.09</v>
      </c>
      <c r="E160" s="19" t="n">
        <f aca="false">жовтень!Q160</f>
        <v>0</v>
      </c>
      <c r="F160" s="20" t="n">
        <f aca="false">жовтень!F160</f>
        <v>0</v>
      </c>
      <c r="G160" s="21" t="n">
        <f aca="false">жовтень!G160</f>
        <v>65.86</v>
      </c>
      <c r="H160" s="21" t="n">
        <f aca="false">жовтень!H160</f>
        <v>0</v>
      </c>
      <c r="I160" s="22" t="n">
        <f aca="false">жовтень!I160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/>
      <c r="P160" s="25" t="n">
        <f aca="false">IF(D160=0,IF((N160-E160-O160)&gt;0,(N160-E160-O160),0),IF((D160+N160-O160)&gt;0,(D160+N160-O160),0))</f>
        <v>1080.12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жовтень!B161</f>
        <v>Наумова Л.Я.</v>
      </c>
      <c r="C161" s="18" t="str">
        <f aca="false">жовтень!C161</f>
        <v>50153</v>
      </c>
      <c r="D161" s="19" t="n">
        <f aca="false">жовтень!P161</f>
        <v>549.600000000001</v>
      </c>
      <c r="E161" s="19" t="n">
        <f aca="false">жовтень!Q161</f>
        <v>0</v>
      </c>
      <c r="F161" s="20" t="n">
        <f aca="false">жовтень!F161</f>
        <v>0</v>
      </c>
      <c r="G161" s="21" t="n">
        <f aca="false">жовтень!G161</f>
        <v>49.95</v>
      </c>
      <c r="H161" s="21" t="n">
        <f aca="false">жовтень!H161</f>
        <v>0</v>
      </c>
      <c r="I161" s="22" t="n">
        <f aca="false">жовтень!I161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754.400000000001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жовтень!B162</f>
        <v>Грєк В.С.</v>
      </c>
      <c r="C162" s="18" t="str">
        <f aca="false">жовтень!C162</f>
        <v>50154</v>
      </c>
      <c r="D162" s="19" t="n">
        <f aca="false">жовтень!P162</f>
        <v>1245.36</v>
      </c>
      <c r="E162" s="19" t="n">
        <f aca="false">жовтень!Q162</f>
        <v>0</v>
      </c>
      <c r="F162" s="20" t="n">
        <f aca="false">жовтень!F162</f>
        <v>0</v>
      </c>
      <c r="G162" s="21" t="n">
        <f aca="false">жовтень!G162</f>
        <v>33.9</v>
      </c>
      <c r="H162" s="21" t="n">
        <f aca="false">жовтень!H162</f>
        <v>0</v>
      </c>
      <c r="I162" s="22" t="n">
        <f aca="false">жовтень!I162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1384.35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жовтень!B163</f>
        <v>Пермінов О.А.</v>
      </c>
      <c r="C163" s="18" t="str">
        <f aca="false">жовтень!C163</f>
        <v>50155</v>
      </c>
      <c r="D163" s="19" t="n">
        <f aca="false">жовтень!P163</f>
        <v>1764.64</v>
      </c>
      <c r="E163" s="19" t="n">
        <f aca="false">жовтень!Q163</f>
        <v>0</v>
      </c>
      <c r="F163" s="20" t="n">
        <f aca="false">жовтень!F163</f>
        <v>0</v>
      </c>
      <c r="G163" s="21" t="n">
        <f aca="false">жовтень!G163</f>
        <v>62.43</v>
      </c>
      <c r="H163" s="21" t="n">
        <f aca="false">жовтень!H163</f>
        <v>0</v>
      </c>
      <c r="I163" s="22" t="n">
        <f aca="false">жовтень!I163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2020.6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жовтень!B164</f>
        <v>Рябчук Л.П.</v>
      </c>
      <c r="C164" s="18" t="str">
        <f aca="false">жовтень!C164</f>
        <v>50156</v>
      </c>
      <c r="D164" s="19" t="n">
        <f aca="false">жовтень!P164</f>
        <v>3242.16</v>
      </c>
      <c r="E164" s="19" t="n">
        <f aca="false">жовтень!Q164</f>
        <v>0</v>
      </c>
      <c r="F164" s="20" t="n">
        <f aca="false">жовтень!F164</f>
        <v>0</v>
      </c>
      <c r="G164" s="21" t="n">
        <f aca="false">жовтень!G164</f>
        <v>64.8</v>
      </c>
      <c r="H164" s="21" t="n">
        <f aca="false">жовтень!H164</f>
        <v>0</v>
      </c>
      <c r="I164" s="22" t="n">
        <f aca="false">жовтень!I164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3507.84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жовтень!B165</f>
        <v>Копасова Л.Б.</v>
      </c>
      <c r="C165" s="18" t="str">
        <f aca="false">жовтень!C165</f>
        <v>50157</v>
      </c>
      <c r="D165" s="19" t="n">
        <f aca="false">жовтень!P165</f>
        <v>2437</v>
      </c>
      <c r="E165" s="19" t="n">
        <f aca="false">жовтень!Q165</f>
        <v>0</v>
      </c>
      <c r="F165" s="20" t="n">
        <f aca="false">жовтень!F165</f>
        <v>0</v>
      </c>
      <c r="G165" s="21" t="n">
        <f aca="false">жовтень!G165</f>
        <v>49.4</v>
      </c>
      <c r="H165" s="21" t="n">
        <f aca="false">жовтень!H165</f>
        <v>0</v>
      </c>
      <c r="I165" s="22" t="n">
        <f aca="false">жовтень!I165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2639.54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жовтень!B166</f>
        <v>Киричинська Г.Я.</v>
      </c>
      <c r="C166" s="18" t="str">
        <f aca="false">жовтень!C166</f>
        <v>50158</v>
      </c>
      <c r="D166" s="19" t="n">
        <f aca="false">жовтень!P166</f>
        <v>1883.49</v>
      </c>
      <c r="E166" s="19" t="n">
        <f aca="false">жовтень!Q166</f>
        <v>0</v>
      </c>
      <c r="F166" s="20" t="n">
        <f aca="false">жовтень!F166</f>
        <v>0</v>
      </c>
      <c r="G166" s="21" t="n">
        <f aca="false">жовтень!G166</f>
        <v>35.1</v>
      </c>
      <c r="H166" s="21" t="n">
        <f aca="false">жовтень!H166</f>
        <v>0</v>
      </c>
      <c r="I166" s="22" t="n">
        <f aca="false">жовтень!I166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2027.4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жовтень!B167</f>
        <v>Бутрій К.В.</v>
      </c>
      <c r="C167" s="18" t="str">
        <f aca="false">жовтень!C167</f>
        <v>50159</v>
      </c>
      <c r="D167" s="19" t="n">
        <f aca="false">жовтень!P167</f>
        <v>3223.97</v>
      </c>
      <c r="E167" s="19" t="n">
        <f aca="false">жовтень!Q167</f>
        <v>0</v>
      </c>
      <c r="F167" s="20" t="n">
        <f aca="false">жовтень!F167</f>
        <v>0</v>
      </c>
      <c r="G167" s="21" t="n">
        <f aca="false">жовтень!G167</f>
        <v>62.4</v>
      </c>
      <c r="H167" s="21" t="n">
        <f aca="false">жовтень!H167</f>
        <v>0</v>
      </c>
      <c r="I167" s="22" t="n">
        <f aca="false">жовтень!I167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3479.81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жовтень!B168</f>
        <v>Кузьома Г.І.</v>
      </c>
      <c r="C168" s="18" t="str">
        <f aca="false">жовтень!C168</f>
        <v>50160</v>
      </c>
      <c r="D168" s="19" t="n">
        <f aca="false">жовтень!P168</f>
        <v>1233.78</v>
      </c>
      <c r="E168" s="19" t="n">
        <f aca="false">жовтень!Q168</f>
        <v>0</v>
      </c>
      <c r="F168" s="20" t="n">
        <f aca="false">жовтень!F168</f>
        <v>0</v>
      </c>
      <c r="G168" s="21" t="n">
        <f aca="false">жовтень!G168</f>
        <v>65.5</v>
      </c>
      <c r="H168" s="21" t="n">
        <f aca="false">жовтень!H168</f>
        <v>0</v>
      </c>
      <c r="I168" s="22" t="n">
        <f aca="false">жовтень!I168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1502.33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жовтень!B169</f>
        <v>Павленко В.М.</v>
      </c>
      <c r="C169" s="18" t="str">
        <f aca="false">жовтень!C169</f>
        <v>50161</v>
      </c>
      <c r="D169" s="19" t="n">
        <f aca="false">жовтень!P169</f>
        <v>4504.5</v>
      </c>
      <c r="E169" s="19" t="n">
        <f aca="false">жовтень!Q169</f>
        <v>0</v>
      </c>
      <c r="F169" s="20" t="n">
        <f aca="false">жовтень!F169</f>
        <v>0</v>
      </c>
      <c r="G169" s="21" t="n">
        <f aca="false">жовтень!G169</f>
        <v>49.94</v>
      </c>
      <c r="H169" s="21" t="n">
        <f aca="false">жовтень!H169</f>
        <v>0</v>
      </c>
      <c r="I169" s="22" t="n">
        <f aca="false">жовтень!I169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4709.25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жовтень!B170</f>
        <v>Качуровська С.А.</v>
      </c>
      <c r="C170" s="18" t="str">
        <f aca="false">жовтень!C170</f>
        <v>50162</v>
      </c>
      <c r="D170" s="19" t="n">
        <f aca="false">жовтень!P170</f>
        <v>399.66</v>
      </c>
      <c r="E170" s="19" t="n">
        <f aca="false">жовтень!Q170</f>
        <v>0</v>
      </c>
      <c r="F170" s="20" t="n">
        <f aca="false">жовтень!F170</f>
        <v>0</v>
      </c>
      <c r="G170" s="21" t="n">
        <f aca="false">жовтень!G170</f>
        <v>35</v>
      </c>
      <c r="H170" s="21" t="n">
        <f aca="false">жовтень!H170</f>
        <v>0</v>
      </c>
      <c r="I170" s="22" t="n">
        <f aca="false">жовтень!I170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/>
      <c r="P170" s="25" t="n">
        <f aca="false">IF(D170=0,IF((N170-E170-O170)&gt;0,(N170-E170-O170),0),IF((D170+N170-O170)&gt;0,(D170+N170-O170),0))</f>
        <v>543.16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жовтень!B171</f>
        <v>Білецький Б.Г.</v>
      </c>
      <c r="C171" s="18" t="str">
        <f aca="false">жовтень!C171</f>
        <v>50163</v>
      </c>
      <c r="D171" s="19" t="n">
        <f aca="false">жовтень!P171</f>
        <v>1022.72</v>
      </c>
      <c r="E171" s="19" t="n">
        <f aca="false">жовтень!Q171</f>
        <v>0</v>
      </c>
      <c r="F171" s="20" t="n">
        <f aca="false">жовтень!F171</f>
        <v>0</v>
      </c>
      <c r="G171" s="21" t="n">
        <f aca="false">жовтень!G171</f>
        <v>62.36</v>
      </c>
      <c r="H171" s="21" t="n">
        <f aca="false">жовтень!H171</f>
        <v>0</v>
      </c>
      <c r="I171" s="22" t="n">
        <f aca="false">жовтень!I171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/>
      <c r="P171" s="25" t="n">
        <f aca="false">IF(D171=0,IF((N171-E171-O171)&gt;0,(N171-E171-O171),0),IF((D171+N171-O171)&gt;0,(D171+N171-O171),0))</f>
        <v>1278.4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жовтень!B172</f>
        <v>Кузнєцова В.В.</v>
      </c>
      <c r="C172" s="18" t="str">
        <f aca="false">жовтень!C172</f>
        <v>50164</v>
      </c>
      <c r="D172" s="19" t="n">
        <f aca="false">жовтень!P172</f>
        <v>3229.04</v>
      </c>
      <c r="E172" s="19" t="n">
        <f aca="false">жовтень!Q172</f>
        <v>0</v>
      </c>
      <c r="F172" s="20" t="n">
        <f aca="false">жовтень!F172</f>
        <v>0</v>
      </c>
      <c r="G172" s="21" t="n">
        <f aca="false">жовтень!G172</f>
        <v>65.63</v>
      </c>
      <c r="H172" s="21" t="n">
        <f aca="false">жовтень!H172</f>
        <v>0</v>
      </c>
      <c r="I172" s="22" t="n">
        <f aca="false">жовтень!I172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3498.12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жовтень!B173</f>
        <v>Сидоренко Б.Й.</v>
      </c>
      <c r="C173" s="18" t="str">
        <f aca="false">жовтень!C173</f>
        <v>50165</v>
      </c>
      <c r="D173" s="19" t="n">
        <f aca="false">жовтень!P173</f>
        <v>10869.47</v>
      </c>
      <c r="E173" s="19" t="n">
        <f aca="false">жовтень!Q173</f>
        <v>0</v>
      </c>
      <c r="F173" s="20" t="n">
        <f aca="false">жовтень!F173</f>
        <v>0</v>
      </c>
      <c r="G173" s="21" t="n">
        <f aca="false">жовтень!G173</f>
        <v>49.8</v>
      </c>
      <c r="H173" s="21" t="n">
        <f aca="false">жовтень!H173</f>
        <v>0</v>
      </c>
      <c r="I173" s="22" t="n">
        <f aca="false">жовтень!I173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11073.65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жовтень!B174</f>
        <v>Кузнєцова О.А.</v>
      </c>
      <c r="C174" s="18" t="str">
        <f aca="false">жовтень!C174</f>
        <v>50166</v>
      </c>
      <c r="D174" s="19" t="n">
        <f aca="false">жовтень!P174</f>
        <v>1578.5</v>
      </c>
      <c r="E174" s="19" t="n">
        <f aca="false">жовтень!Q174</f>
        <v>0</v>
      </c>
      <c r="F174" s="20" t="n">
        <f aca="false">жовтень!F174</f>
        <v>0</v>
      </c>
      <c r="G174" s="21" t="n">
        <f aca="false">жовтень!G174</f>
        <v>35</v>
      </c>
      <c r="H174" s="21" t="n">
        <f aca="false">жовтень!H174</f>
        <v>0</v>
      </c>
      <c r="I174" s="22" t="n">
        <f aca="false">жовтень!I174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1722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жовтень!B175</f>
        <v>Васильєва О.Г.</v>
      </c>
      <c r="C175" s="18" t="str">
        <f aca="false">жовтень!C175</f>
        <v>50167</v>
      </c>
      <c r="D175" s="19" t="n">
        <f aca="false">жовтень!P175</f>
        <v>5548.43</v>
      </c>
      <c r="E175" s="19" t="n">
        <f aca="false">жовтень!Q175</f>
        <v>0</v>
      </c>
      <c r="F175" s="20" t="n">
        <f aca="false">жовтень!F175</f>
        <v>0</v>
      </c>
      <c r="G175" s="21" t="n">
        <f aca="false">жовтень!G175</f>
        <v>61.7</v>
      </c>
      <c r="H175" s="21" t="n">
        <f aca="false">жовтень!H175</f>
        <v>0</v>
      </c>
      <c r="I175" s="22" t="n">
        <f aca="false">жовтень!I175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5801.4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жовтень!B176</f>
        <v>Кудінова Л.М.</v>
      </c>
      <c r="C176" s="18" t="str">
        <f aca="false">жовтень!C176</f>
        <v>50168</v>
      </c>
      <c r="D176" s="19" t="n">
        <f aca="false">жовтень!P176</f>
        <v>1931.95</v>
      </c>
      <c r="E176" s="19" t="n">
        <f aca="false">жовтень!Q176</f>
        <v>0</v>
      </c>
      <c r="F176" s="20" t="n">
        <f aca="false">жовтень!F176</f>
        <v>0</v>
      </c>
      <c r="G176" s="21" t="n">
        <f aca="false">жовтень!G176</f>
        <v>65.58</v>
      </c>
      <c r="H176" s="21" t="n">
        <f aca="false">жовтень!H176</f>
        <v>0</v>
      </c>
      <c r="I176" s="22" t="n">
        <f aca="false">жовтень!I176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2200.83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жовтень!B177</f>
        <v>Спільний І.В.</v>
      </c>
      <c r="C177" s="18" t="str">
        <f aca="false">жовтень!C177</f>
        <v>50169</v>
      </c>
      <c r="D177" s="19" t="n">
        <f aca="false">жовтень!P177</f>
        <v>377.77</v>
      </c>
      <c r="E177" s="19" t="n">
        <f aca="false">жовтень!Q177</f>
        <v>0</v>
      </c>
      <c r="F177" s="20" t="n">
        <f aca="false">жовтень!F177</f>
        <v>0</v>
      </c>
      <c r="G177" s="21" t="n">
        <f aca="false">жовтень!G177</f>
        <v>49.5</v>
      </c>
      <c r="H177" s="21" t="n">
        <f aca="false">жовтень!H177</f>
        <v>0</v>
      </c>
      <c r="I177" s="22" t="n">
        <f aca="false">жовтень!I177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580.72</v>
      </c>
      <c r="Q177" s="25" t="n">
        <f aca="false">IF(E177=0,IF((D177+N177-O177)&lt;0,ABS(D177+N177-O177),0),IF((N177-E177-O177)&lt;0,ABS(N177-E177-O177),0))</f>
        <v>0</v>
      </c>
    </row>
    <row r="178" customFormat="false" ht="15" hidden="false" customHeight="false" outlineLevel="0" collapsed="false">
      <c r="A178" s="17" t="s">
        <v>530</v>
      </c>
      <c r="B178" s="18" t="str">
        <f aca="false">жовтень!B178</f>
        <v>Кружаліна Т.А.</v>
      </c>
      <c r="C178" s="18" t="str">
        <f aca="false">жовтень!C178</f>
        <v>50170</v>
      </c>
      <c r="D178" s="19" t="n">
        <f aca="false">жовтень!P178</f>
        <v>507.370000000001</v>
      </c>
      <c r="E178" s="19" t="n">
        <f aca="false">жовтень!Q178</f>
        <v>0</v>
      </c>
      <c r="F178" s="20" t="n">
        <f aca="false">жовтень!F178</f>
        <v>0</v>
      </c>
      <c r="G178" s="21" t="n">
        <f aca="false">жовтень!G178</f>
        <v>35.1</v>
      </c>
      <c r="H178" s="21" t="n">
        <f aca="false">жовтень!H178</f>
        <v>0</v>
      </c>
      <c r="I178" s="22" t="n">
        <f aca="false">жовтень!I178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651.280000000001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жовтень!B179</f>
        <v>Григоренко Н.Е.</v>
      </c>
      <c r="C179" s="18" t="str">
        <f aca="false">жовтень!C179</f>
        <v>50171</v>
      </c>
      <c r="D179" s="19" t="n">
        <f aca="false">жовтень!P179</f>
        <v>1963.2</v>
      </c>
      <c r="E179" s="19" t="n">
        <f aca="false">жовтень!Q179</f>
        <v>0</v>
      </c>
      <c r="F179" s="20" t="n">
        <f aca="false">жовтень!F179</f>
        <v>0</v>
      </c>
      <c r="G179" s="21" t="n">
        <f aca="false">жовтень!G179</f>
        <v>62.91</v>
      </c>
      <c r="H179" s="21" t="n">
        <f aca="false">жовтень!H179</f>
        <v>0</v>
      </c>
      <c r="I179" s="22" t="n">
        <f aca="false">жовтень!I179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2221.13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жовтень!B180</f>
        <v>Бондарчук В.В.</v>
      </c>
      <c r="C180" s="18" t="str">
        <f aca="false">жовтень!C180</f>
        <v>50172</v>
      </c>
      <c r="D180" s="19" t="n">
        <f aca="false">жовтень!P180</f>
        <v>270.720000000001</v>
      </c>
      <c r="E180" s="19" t="n">
        <f aca="false">жовтень!Q180</f>
        <v>0</v>
      </c>
      <c r="F180" s="20" t="n">
        <f aca="false">жовтень!F180</f>
        <v>0</v>
      </c>
      <c r="G180" s="21" t="n">
        <f aca="false">жовтень!G180</f>
        <v>66.03</v>
      </c>
      <c r="H180" s="21" t="n">
        <f aca="false">жовтень!H180</f>
        <v>0</v>
      </c>
      <c r="I180" s="22" t="n">
        <f aca="false">жовтень!I180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541.440000000001</v>
      </c>
      <c r="Q180" s="25" t="n">
        <f aca="false">IF(E180=0,IF((D180+N180-O180)&lt;0,ABS(D180+N180-O180),0),IF((N180-E180-O180)&lt;0,ABS(N180-E180-O180),0))</f>
        <v>0</v>
      </c>
    </row>
    <row r="181" customFormat="false" ht="15" hidden="false" customHeight="false" outlineLevel="0" collapsed="false">
      <c r="A181" s="17" t="s">
        <v>539</v>
      </c>
      <c r="B181" s="18" t="str">
        <f aca="false">жовтень!B181</f>
        <v>Рябініна Н.І.</v>
      </c>
      <c r="C181" s="18" t="str">
        <f aca="false">жовтень!C181</f>
        <v>50173</v>
      </c>
      <c r="D181" s="19" t="n">
        <f aca="false">жовтень!P181</f>
        <v>1296.39</v>
      </c>
      <c r="E181" s="19" t="n">
        <f aca="false">жовтень!Q181</f>
        <v>0</v>
      </c>
      <c r="F181" s="20" t="n">
        <f aca="false">жовтень!F181</f>
        <v>0</v>
      </c>
      <c r="G181" s="21" t="n">
        <f aca="false">жовтень!G181</f>
        <v>49.9</v>
      </c>
      <c r="H181" s="21" t="n">
        <f aca="false">жовтень!H181</f>
        <v>0</v>
      </c>
      <c r="I181" s="22" t="n">
        <f aca="false">жовтень!I181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/>
      <c r="P181" s="25" t="n">
        <f aca="false">IF(D181=0,IF((N181-E181-O181)&gt;0,(N181-E181-O181),0),IF((D181+N181-O181)&gt;0,(D181+N181-O181),0))</f>
        <v>1500.98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жовтень!B182</f>
        <v>Шапіро В.І.</v>
      </c>
      <c r="C182" s="18" t="str">
        <f aca="false">жовтень!C182</f>
        <v>50174</v>
      </c>
      <c r="D182" s="19" t="n">
        <f aca="false">жовтень!P182</f>
        <v>572.68</v>
      </c>
      <c r="E182" s="19" t="n">
        <f aca="false">жовтень!Q182</f>
        <v>0</v>
      </c>
      <c r="F182" s="20" t="n">
        <f aca="false">жовтень!F182</f>
        <v>0</v>
      </c>
      <c r="G182" s="21" t="n">
        <f aca="false">жовтень!G182</f>
        <v>34.92</v>
      </c>
      <c r="H182" s="21" t="n">
        <f aca="false">жовтень!H182</f>
        <v>0</v>
      </c>
      <c r="I182" s="22" t="n">
        <f aca="false">жовтень!I182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/>
      <c r="P182" s="25" t="n">
        <f aca="false">IF(D182=0,IF((N182-E182-O182)&gt;0,(N182-E182-O182),0),IF((D182+N182-O182)&gt;0,(D182+N182-O182),0))</f>
        <v>715.85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жовтень!B183</f>
        <v>Крамаренко О.О.</v>
      </c>
      <c r="C183" s="18" t="str">
        <f aca="false">жовтень!C183</f>
        <v>50175</v>
      </c>
      <c r="D183" s="19" t="n">
        <f aca="false">жовтень!P183</f>
        <v>2324.54</v>
      </c>
      <c r="E183" s="19" t="n">
        <f aca="false">жовтень!Q183</f>
        <v>0</v>
      </c>
      <c r="F183" s="20" t="n">
        <f aca="false">жовтень!F183</f>
        <v>0</v>
      </c>
      <c r="G183" s="21" t="n">
        <f aca="false">жовтень!G183</f>
        <v>61.91</v>
      </c>
      <c r="H183" s="21" t="n">
        <f aca="false">жовтень!H183</f>
        <v>0</v>
      </c>
      <c r="I183" s="22" t="n">
        <f aca="false">жовтень!I183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2578.37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жовтень!B184</f>
        <v>Свиридов В.Ф.</v>
      </c>
      <c r="C184" s="18" t="str">
        <f aca="false">жовтень!C184</f>
        <v>50176</v>
      </c>
      <c r="D184" s="19" t="n">
        <f aca="false">жовтень!P184</f>
        <v>5128.99</v>
      </c>
      <c r="E184" s="19" t="n">
        <f aca="false">жовтень!Q184</f>
        <v>0</v>
      </c>
      <c r="F184" s="20" t="n">
        <f aca="false">жовтень!F184</f>
        <v>0</v>
      </c>
      <c r="G184" s="21" t="n">
        <f aca="false">жовтень!G184</f>
        <v>65.15</v>
      </c>
      <c r="H184" s="21" t="n">
        <f aca="false">жовтень!H184</f>
        <v>0</v>
      </c>
      <c r="I184" s="22" t="n">
        <f aca="false">жовтень!I184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5396.11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жовтень!B185</f>
        <v>Домацький В.А.</v>
      </c>
      <c r="C185" s="18" t="str">
        <f aca="false">жовтень!C185</f>
        <v>50177</v>
      </c>
      <c r="D185" s="19" t="n">
        <f aca="false">жовтень!P185</f>
        <v>3689.98</v>
      </c>
      <c r="E185" s="19" t="n">
        <f aca="false">жовтень!Q185</f>
        <v>0</v>
      </c>
      <c r="F185" s="20" t="n">
        <f aca="false">жовтень!F185</f>
        <v>0</v>
      </c>
      <c r="G185" s="21" t="n">
        <f aca="false">жовтень!G185</f>
        <v>50</v>
      </c>
      <c r="H185" s="21" t="n">
        <f aca="false">жовтень!H185</f>
        <v>0</v>
      </c>
      <c r="I185" s="22" t="n">
        <f aca="false">жовтень!I185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3894.98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жовтень!B186</f>
        <v>Шаповалова І.А.</v>
      </c>
      <c r="C186" s="18" t="str">
        <f aca="false">жовтень!C186</f>
        <v>50178</v>
      </c>
      <c r="D186" s="19" t="n">
        <f aca="false">жовтень!P186</f>
        <v>2445.75</v>
      </c>
      <c r="E186" s="19" t="n">
        <f aca="false">жовтень!Q186</f>
        <v>0</v>
      </c>
      <c r="F186" s="20" t="n">
        <f aca="false">жовтень!F186</f>
        <v>0</v>
      </c>
      <c r="G186" s="21" t="n">
        <f aca="false">жовтень!G186</f>
        <v>35.1</v>
      </c>
      <c r="H186" s="21" t="n">
        <f aca="false">жовтень!H186</f>
        <v>0</v>
      </c>
      <c r="I186" s="22" t="n">
        <f aca="false">жовтень!I186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2589.66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жовтень!B187</f>
        <v>Кононенко О.В.</v>
      </c>
      <c r="C187" s="18" t="str">
        <f aca="false">жовтень!C187</f>
        <v>50179</v>
      </c>
      <c r="D187" s="19" t="n">
        <f aca="false">жовтень!P187</f>
        <v>5573.75</v>
      </c>
      <c r="E187" s="19" t="n">
        <f aca="false">жовтень!Q187</f>
        <v>0</v>
      </c>
      <c r="F187" s="20" t="n">
        <f aca="false">жовтень!F187</f>
        <v>0</v>
      </c>
      <c r="G187" s="21" t="n">
        <f aca="false">жовтень!G187</f>
        <v>61.8</v>
      </c>
      <c r="H187" s="21" t="n">
        <f aca="false">жовтень!H187</f>
        <v>0</v>
      </c>
      <c r="I187" s="22" t="n">
        <f aca="false">жовтень!I187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5827.13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жовтень!B188</f>
        <v>Овчаренко Т.І.</v>
      </c>
      <c r="C188" s="18" t="str">
        <f aca="false">жовтень!C188</f>
        <v>60180</v>
      </c>
      <c r="D188" s="19" t="n">
        <f aca="false">жовтень!P188</f>
        <v>971.13</v>
      </c>
      <c r="E188" s="19" t="n">
        <f aca="false">жовтень!Q188</f>
        <v>0</v>
      </c>
      <c r="F188" s="20" t="n">
        <f aca="false">жовтень!F188</f>
        <v>0</v>
      </c>
      <c r="G188" s="21" t="n">
        <f aca="false">жовтень!G188</f>
        <v>71.06</v>
      </c>
      <c r="H188" s="21" t="n">
        <f aca="false">жовтень!H188</f>
        <v>0</v>
      </c>
      <c r="I188" s="22" t="n">
        <f aca="false">жовтень!I188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1262.48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жовтень!B189</f>
        <v>Попукайло О.Г.</v>
      </c>
      <c r="C189" s="18" t="str">
        <f aca="false">жовтень!C189</f>
        <v>60181</v>
      </c>
      <c r="D189" s="19" t="n">
        <f aca="false">жовтень!P189</f>
        <v>2015.2</v>
      </c>
      <c r="E189" s="19" t="n">
        <f aca="false">жовтень!Q189</f>
        <v>0</v>
      </c>
      <c r="F189" s="20" t="n">
        <f aca="false">жовтень!F189</f>
        <v>0</v>
      </c>
      <c r="G189" s="21" t="n">
        <f aca="false">жовтень!G189</f>
        <v>49.15</v>
      </c>
      <c r="H189" s="21" t="n">
        <f aca="false">жовтень!H189</f>
        <v>0</v>
      </c>
      <c r="I189" s="22" t="n">
        <f aca="false">жовтень!I189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2216.72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жовтень!B190</f>
        <v>Онищенко А.В.</v>
      </c>
      <c r="C190" s="18" t="str">
        <f aca="false">жовтень!C190</f>
        <v>60182</v>
      </c>
      <c r="D190" s="19" t="n">
        <f aca="false">жовтень!P190</f>
        <v>2247.78</v>
      </c>
      <c r="E190" s="19" t="n">
        <f aca="false">жовтень!Q190</f>
        <v>0</v>
      </c>
      <c r="F190" s="20" t="n">
        <f aca="false">жовтень!F190</f>
        <v>0</v>
      </c>
      <c r="G190" s="21" t="n">
        <f aca="false">жовтень!G190</f>
        <v>53.72</v>
      </c>
      <c r="H190" s="21" t="n">
        <f aca="false">жовтень!H190</f>
        <v>0</v>
      </c>
      <c r="I190" s="22" t="n">
        <f aca="false">жовтень!I190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2468.03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жовтень!B191</f>
        <v>Соколова О.О.</v>
      </c>
      <c r="C191" s="18" t="str">
        <f aca="false">жовтень!C191</f>
        <v>60183</v>
      </c>
      <c r="D191" s="19" t="n">
        <f aca="false">жовтень!P191</f>
        <v>0</v>
      </c>
      <c r="E191" s="19" t="n">
        <f aca="false">жовтень!Q191</f>
        <v>867.380000000001</v>
      </c>
      <c r="F191" s="20" t="n">
        <f aca="false">жовтень!F191</f>
        <v>0</v>
      </c>
      <c r="G191" s="21" t="n">
        <f aca="false">жовтень!G191</f>
        <v>68.97</v>
      </c>
      <c r="H191" s="21" t="n">
        <f aca="false">жовтень!H191</f>
        <v>0</v>
      </c>
      <c r="I191" s="22" t="n">
        <f aca="false">жовтень!I191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584.600000000001</v>
      </c>
    </row>
    <row r="192" customFormat="false" ht="15" hidden="false" customHeight="false" outlineLevel="0" collapsed="false">
      <c r="A192" s="17" t="s">
        <v>572</v>
      </c>
      <c r="B192" s="18" t="str">
        <f aca="false">жовтень!B192</f>
        <v>Ільіна В.П.</v>
      </c>
      <c r="C192" s="18" t="str">
        <f aca="false">жовтень!C192</f>
        <v>60184</v>
      </c>
      <c r="D192" s="19" t="n">
        <f aca="false">жовтень!P192</f>
        <v>6132.9</v>
      </c>
      <c r="E192" s="19" t="n">
        <f aca="false">жовтень!Q192</f>
        <v>0</v>
      </c>
      <c r="F192" s="20" t="n">
        <f aca="false">жовтень!F192</f>
        <v>0</v>
      </c>
      <c r="G192" s="21" t="n">
        <f aca="false">жовтень!G192</f>
        <v>49.86</v>
      </c>
      <c r="H192" s="21" t="n">
        <f aca="false">жовтень!H192</f>
        <v>0</v>
      </c>
      <c r="I192" s="22" t="n">
        <f aca="false">жовтень!I192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6337.33</v>
      </c>
      <c r="Q192" s="25" t="n">
        <f aca="false">IF(E192=0,IF((D192+N192-O192)&lt;0,ABS(D192+N192-O192),0),IF((N192-E192-O192)&lt;0,ABS(N192-E192-O192),0))</f>
        <v>0</v>
      </c>
    </row>
    <row r="193" customFormat="false" ht="15.75" hidden="false" customHeight="true" outlineLevel="0" collapsed="false">
      <c r="A193" s="17" t="s">
        <v>575</v>
      </c>
      <c r="B193" s="18" t="str">
        <f aca="false">жовтень!B193</f>
        <v>Чешок Г.К.</v>
      </c>
      <c r="C193" s="18" t="str">
        <f aca="false">жовтень!C193</f>
        <v>60185</v>
      </c>
      <c r="D193" s="19" t="n">
        <f aca="false">жовтень!P193</f>
        <v>5398.67</v>
      </c>
      <c r="E193" s="19" t="n">
        <f aca="false">жовтень!Q193</f>
        <v>0</v>
      </c>
      <c r="F193" s="20" t="n">
        <f aca="false">жовтень!F193</f>
        <v>0</v>
      </c>
      <c r="G193" s="21" t="n">
        <f aca="false">жовтень!G193</f>
        <v>60.86</v>
      </c>
      <c r="H193" s="21" t="n">
        <f aca="false">жовтень!H193</f>
        <v>0</v>
      </c>
      <c r="I193" s="22" t="n">
        <f aca="false">жовтень!I193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5648.2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жовтень!B194</f>
        <v>Бердников В.А.</v>
      </c>
      <c r="C194" s="18" t="str">
        <f aca="false">жовтень!C194</f>
        <v>60186</v>
      </c>
      <c r="D194" s="19" t="n">
        <f aca="false">жовтень!P194</f>
        <v>3286.43</v>
      </c>
      <c r="E194" s="19" t="n">
        <f aca="false">жовтень!Q194</f>
        <v>0</v>
      </c>
      <c r="F194" s="20" t="n">
        <f aca="false">жовтень!F194</f>
        <v>0</v>
      </c>
      <c r="G194" s="21" t="n">
        <f aca="false">жовтень!G194</f>
        <v>66.75</v>
      </c>
      <c r="H194" s="21" t="n">
        <f aca="false">жовтень!H194</f>
        <v>0</v>
      </c>
      <c r="I194" s="22" t="n">
        <f aca="false">жовтень!I194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3560.11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жовтень!B195</f>
        <v>Щербак Н.В.</v>
      </c>
      <c r="C195" s="18" t="str">
        <f aca="false">жовтень!C195</f>
        <v>60187</v>
      </c>
      <c r="D195" s="19" t="n">
        <f aca="false">жовтень!P195</f>
        <v>5349.68</v>
      </c>
      <c r="E195" s="19" t="n">
        <f aca="false">жовтень!Q195</f>
        <v>0</v>
      </c>
      <c r="F195" s="20" t="n">
        <f aca="false">жовтень!F195</f>
        <v>0</v>
      </c>
      <c r="G195" s="21" t="n">
        <f aca="false">жовтень!G195</f>
        <v>72.49</v>
      </c>
      <c r="H195" s="21" t="n">
        <f aca="false">жовтень!H195</f>
        <v>0</v>
      </c>
      <c r="I195" s="22" t="n">
        <f aca="false">жовтень!I195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5646.89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жовтень!B196</f>
        <v>Рожков Ю.М.</v>
      </c>
      <c r="C196" s="18" t="str">
        <f aca="false">жовтень!C196</f>
        <v>60188</v>
      </c>
      <c r="D196" s="19" t="n">
        <f aca="false">жовтень!P196</f>
        <v>2013.5</v>
      </c>
      <c r="E196" s="19" t="n">
        <f aca="false">жовтень!Q196</f>
        <v>0</v>
      </c>
      <c r="F196" s="20" t="n">
        <f aca="false">жовтень!F196</f>
        <v>0</v>
      </c>
      <c r="G196" s="21" t="n">
        <f aca="false">жовтень!G196</f>
        <v>49.8</v>
      </c>
      <c r="H196" s="21" t="n">
        <f aca="false">жовтень!H196</f>
        <v>0</v>
      </c>
      <c r="I196" s="22" t="n">
        <f aca="false">жовтень!I196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2217.68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жовтень!B197</f>
        <v>Кобець В.В.</v>
      </c>
      <c r="C197" s="18" t="str">
        <f aca="false">жовтень!C197</f>
        <v>60189</v>
      </c>
      <c r="D197" s="19" t="n">
        <f aca="false">жовтень!P197</f>
        <v>3591.59</v>
      </c>
      <c r="E197" s="19" t="n">
        <f aca="false">жовтень!Q197</f>
        <v>0</v>
      </c>
      <c r="F197" s="20" t="n">
        <f aca="false">жовтень!F197</f>
        <v>0</v>
      </c>
      <c r="G197" s="21" t="n">
        <f aca="false">жовтень!G197</f>
        <v>62.36</v>
      </c>
      <c r="H197" s="21" t="n">
        <f aca="false">жовтень!H197</f>
        <v>0</v>
      </c>
      <c r="I197" s="22" t="n">
        <f aca="false">жовтень!I197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3847.27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жовтень!B198</f>
        <v>Щерба Л.О.</v>
      </c>
      <c r="C198" s="18" t="str">
        <f aca="false">жовтень!C198</f>
        <v>60190</v>
      </c>
      <c r="D198" s="19" t="n">
        <f aca="false">жовтень!P198</f>
        <v>4438.9</v>
      </c>
      <c r="E198" s="19" t="n">
        <f aca="false">жовтень!Q198</f>
        <v>0</v>
      </c>
      <c r="F198" s="20" t="n">
        <f aca="false">жовтень!F198</f>
        <v>0</v>
      </c>
      <c r="G198" s="21" t="n">
        <f aca="false">жовтень!G198</f>
        <v>68.5</v>
      </c>
      <c r="H198" s="21" t="n">
        <f aca="false">жовтень!H198</f>
        <v>0</v>
      </c>
      <c r="I198" s="22" t="n">
        <f aca="false">жовтень!I198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4719.75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жовтень!B199</f>
        <v>Сапунова І.В.</v>
      </c>
      <c r="C199" s="18" t="str">
        <f aca="false">жовтень!C199</f>
        <v>60191</v>
      </c>
      <c r="D199" s="19" t="n">
        <f aca="false">жовтень!P199</f>
        <v>3505.6</v>
      </c>
      <c r="E199" s="19" t="n">
        <f aca="false">жовтень!Q199</f>
        <v>0</v>
      </c>
      <c r="F199" s="20" t="n">
        <f aca="false">жовтень!F199</f>
        <v>0</v>
      </c>
      <c r="G199" s="21" t="n">
        <f aca="false">жовтень!G199</f>
        <v>70.42</v>
      </c>
      <c r="H199" s="21" t="n">
        <f aca="false">жовтень!H199</f>
        <v>0</v>
      </c>
      <c r="I199" s="22" t="n">
        <f aca="false">жовтень!I199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3794.32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жовтень!B200</f>
        <v>Саввідіс В.О.</v>
      </c>
      <c r="C200" s="18" t="str">
        <f aca="false">жовтень!C200</f>
        <v>60192</v>
      </c>
      <c r="D200" s="19" t="n">
        <f aca="false">жовтень!P200</f>
        <v>4780.72</v>
      </c>
      <c r="E200" s="19" t="n">
        <f aca="false">жовтень!Q200</f>
        <v>0</v>
      </c>
      <c r="F200" s="20" t="n">
        <f aca="false">жовтень!F200</f>
        <v>0</v>
      </c>
      <c r="G200" s="21" t="n">
        <f aca="false">жовтень!G200</f>
        <v>49.7</v>
      </c>
      <c r="H200" s="21" t="n">
        <f aca="false">жовтень!H200</f>
        <v>0</v>
      </c>
      <c r="I200" s="22" t="n">
        <f aca="false">жовтень!I200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4984.49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жовтень!B201</f>
        <v>Кашина Г.І.</v>
      </c>
      <c r="C201" s="18" t="str">
        <f aca="false">жовтень!C201</f>
        <v>60193</v>
      </c>
      <c r="D201" s="19" t="n">
        <f aca="false">жовтень!P201</f>
        <v>5389.86</v>
      </c>
      <c r="E201" s="19" t="n">
        <f aca="false">жовтень!Q201</f>
        <v>0</v>
      </c>
      <c r="F201" s="20" t="n">
        <f aca="false">жовтень!F201</f>
        <v>0</v>
      </c>
      <c r="G201" s="21" t="n">
        <f aca="false">жовтень!G201</f>
        <v>62.6</v>
      </c>
      <c r="H201" s="21" t="n">
        <f aca="false">жовтень!H201</f>
        <v>0</v>
      </c>
      <c r="I201" s="22" t="n">
        <f aca="false">жовтень!I201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5646.52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жовтень!B202</f>
        <v>Фадеєва Є.А.</v>
      </c>
      <c r="C202" s="18" t="str">
        <f aca="false">жовтень!C202</f>
        <v>60194</v>
      </c>
      <c r="D202" s="19" t="n">
        <f aca="false">жовтень!P202</f>
        <v>4906.88</v>
      </c>
      <c r="E202" s="19" t="n">
        <f aca="false">жовтень!Q202</f>
        <v>0</v>
      </c>
      <c r="F202" s="20" t="n">
        <f aca="false">жовтень!F202</f>
        <v>0</v>
      </c>
      <c r="G202" s="21" t="n">
        <f aca="false">жовтень!G202</f>
        <v>70.4</v>
      </c>
      <c r="H202" s="21" t="n">
        <f aca="false">жовтень!H202</f>
        <v>0</v>
      </c>
      <c r="I202" s="22" t="n">
        <f aca="false">жовтень!I202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5195.52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жовтень!B203</f>
        <v>Бойко О.А.</v>
      </c>
      <c r="C203" s="18" t="str">
        <f aca="false">жовтень!C203</f>
        <v>60195</v>
      </c>
      <c r="D203" s="19" t="n">
        <f aca="false">жовтень!P203</f>
        <v>5171.61</v>
      </c>
      <c r="E203" s="19" t="n">
        <f aca="false">жовтень!Q203</f>
        <v>0</v>
      </c>
      <c r="F203" s="20" t="n">
        <f aca="false">жовтень!F203</f>
        <v>0</v>
      </c>
      <c r="G203" s="21" t="n">
        <f aca="false">жовтень!G203</f>
        <v>70.2</v>
      </c>
      <c r="H203" s="21" t="n">
        <f aca="false">жовтень!H203</f>
        <v>0</v>
      </c>
      <c r="I203" s="22" t="n">
        <f aca="false">жовтень!I203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5459.43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жовтень!B204</f>
        <v>Дудник І.А.</v>
      </c>
      <c r="C204" s="18" t="str">
        <f aca="false">жовтень!C204</f>
        <v>60196</v>
      </c>
      <c r="D204" s="19" t="n">
        <f aca="false">жовтень!P204</f>
        <v>3736.77</v>
      </c>
      <c r="E204" s="19" t="n">
        <f aca="false">жовтень!Q204</f>
        <v>0</v>
      </c>
      <c r="F204" s="20" t="n">
        <f aca="false">жовтень!F204</f>
        <v>0</v>
      </c>
      <c r="G204" s="21" t="n">
        <f aca="false">жовтень!G204</f>
        <v>49.94</v>
      </c>
      <c r="H204" s="21" t="n">
        <f aca="false">жовтень!H204</f>
        <v>0</v>
      </c>
      <c r="I204" s="22" t="n">
        <f aca="false">жовтень!I204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3941.52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жовтень!B205</f>
        <v>Лебедєва Т.В.</v>
      </c>
      <c r="C205" s="18" t="str">
        <f aca="false">жовтень!C205</f>
        <v>60197</v>
      </c>
      <c r="D205" s="19" t="n">
        <f aca="false">жовтень!P205</f>
        <v>3316.02</v>
      </c>
      <c r="E205" s="19" t="n">
        <f aca="false">жовтень!Q205</f>
        <v>0</v>
      </c>
      <c r="F205" s="20" t="n">
        <f aca="false">жовтень!F205</f>
        <v>0</v>
      </c>
      <c r="G205" s="21" t="n">
        <f aca="false">жовтень!G205</f>
        <v>62.3</v>
      </c>
      <c r="H205" s="21" t="n">
        <f aca="false">жовтень!H205</f>
        <v>0</v>
      </c>
      <c r="I205" s="22" t="n">
        <f aca="false">жовтень!I205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3571.45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жовтень!B206</f>
        <v>Криницький Л.С.</v>
      </c>
      <c r="C206" s="18" t="str">
        <f aca="false">жовтень!C206</f>
        <v>60198</v>
      </c>
      <c r="D206" s="19" t="n">
        <f aca="false">жовтень!P206</f>
        <v>277.2</v>
      </c>
      <c r="E206" s="19" t="n">
        <f aca="false">жовтень!Q206</f>
        <v>0</v>
      </c>
      <c r="F206" s="20" t="n">
        <f aca="false">жовтень!F206</f>
        <v>0</v>
      </c>
      <c r="G206" s="21" t="n">
        <f aca="false">жовтень!G206</f>
        <v>67.61</v>
      </c>
      <c r="H206" s="21" t="n">
        <f aca="false">жовтень!H206</f>
        <v>0</v>
      </c>
      <c r="I206" s="22" t="n">
        <f aca="false">жовтень!I206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554.4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жовтень!B207</f>
        <v>Сафонов В.В.</v>
      </c>
      <c r="C207" s="18" t="str">
        <f aca="false">жовтень!C207</f>
        <v>60199</v>
      </c>
      <c r="D207" s="19" t="n">
        <f aca="false">жовтень!P207</f>
        <v>4803.34</v>
      </c>
      <c r="E207" s="19" t="n">
        <f aca="false">жовтень!Q207</f>
        <v>0</v>
      </c>
      <c r="F207" s="20" t="n">
        <f aca="false">жовтень!F207</f>
        <v>0</v>
      </c>
      <c r="G207" s="21" t="n">
        <f aca="false">жовтень!G207</f>
        <v>70.38</v>
      </c>
      <c r="H207" s="21" t="n">
        <f aca="false">жовтень!H207</f>
        <v>0</v>
      </c>
      <c r="I207" s="22" t="n">
        <f aca="false">жовтень!I207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5091.9</v>
      </c>
      <c r="Q207" s="25" t="n">
        <f aca="false">IF(E207=0,IF((D207+N207-O207)&lt;0,ABS(D207+N207-O207),0),IF((N207-E207-O207)&lt;0,ABS(N207-E207-O207),0))</f>
        <v>0</v>
      </c>
    </row>
    <row r="208" customFormat="false" ht="15" hidden="false" customHeight="false" outlineLevel="0" collapsed="false">
      <c r="A208" s="17" t="s">
        <v>620</v>
      </c>
      <c r="B208" s="18" t="str">
        <f aca="false">жовтень!B208</f>
        <v>Мільковська Р.Г.</v>
      </c>
      <c r="C208" s="18" t="str">
        <f aca="false">жовтень!C208</f>
        <v>60200</v>
      </c>
      <c r="D208" s="19" t="n">
        <f aca="false">жовтень!P208</f>
        <v>3514.64</v>
      </c>
      <c r="E208" s="19" t="n">
        <f aca="false">жовтень!Q208</f>
        <v>0</v>
      </c>
      <c r="F208" s="20" t="n">
        <f aca="false">жовтень!F208</f>
        <v>0</v>
      </c>
      <c r="G208" s="21" t="n">
        <f aca="false">жовтень!G208</f>
        <v>49.88</v>
      </c>
      <c r="H208" s="21" t="n">
        <f aca="false">жовтень!H208</f>
        <v>0</v>
      </c>
      <c r="I208" s="22" t="n">
        <f aca="false">жовтень!I208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3719.15</v>
      </c>
      <c r="Q208" s="25" t="n">
        <f aca="false">IF(E208=0,IF((D208+N208-O208)&lt;0,ABS(D208+N208-O208),0),IF((N208-E208-O208)&lt;0,ABS(N208-E208-O208),0))</f>
        <v>0</v>
      </c>
    </row>
    <row r="209" customFormat="false" ht="15" hidden="false" customHeight="false" outlineLevel="0" collapsed="false">
      <c r="A209" s="17" t="s">
        <v>623</v>
      </c>
      <c r="B209" s="18" t="str">
        <f aca="false">жовтень!B209</f>
        <v>Заранкін С.М.</v>
      </c>
      <c r="C209" s="18" t="str">
        <f aca="false">жовтень!C209</f>
        <v>60201</v>
      </c>
      <c r="D209" s="19" t="n">
        <f aca="false">жовтень!P209</f>
        <v>3512.04</v>
      </c>
      <c r="E209" s="19" t="n">
        <f aca="false">жовтень!Q209</f>
        <v>0</v>
      </c>
      <c r="F209" s="20" t="n">
        <f aca="false">жовтень!F209</f>
        <v>0</v>
      </c>
      <c r="G209" s="21" t="n">
        <f aca="false">жовтень!G209</f>
        <v>62.02</v>
      </c>
      <c r="H209" s="21" t="n">
        <f aca="false">жовтень!H209</f>
        <v>0</v>
      </c>
      <c r="I209" s="22" t="n">
        <f aca="false">жовтень!I209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3766.32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жовтень!B210</f>
        <v>Сіянко О.М.</v>
      </c>
      <c r="C210" s="18" t="str">
        <f aca="false">жовтень!C210</f>
        <v>60202</v>
      </c>
      <c r="D210" s="19" t="n">
        <f aca="false">жовтень!P210</f>
        <v>4418.31</v>
      </c>
      <c r="E210" s="19" t="n">
        <f aca="false">жовтень!Q210</f>
        <v>0</v>
      </c>
      <c r="F210" s="20" t="n">
        <f aca="false">жовтень!F210</f>
        <v>0</v>
      </c>
      <c r="G210" s="21" t="n">
        <f aca="false">жовтень!G210</f>
        <v>67.6</v>
      </c>
      <c r="H210" s="21" t="n">
        <f aca="false">жовтень!H210</f>
        <v>0</v>
      </c>
      <c r="I210" s="22" t="n">
        <f aca="false">жовтень!I210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4695.47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жовтень!B211</f>
        <v>Осипов В.В.</v>
      </c>
      <c r="C211" s="18" t="str">
        <f aca="false">жовтень!C211</f>
        <v>60203</v>
      </c>
      <c r="D211" s="19" t="n">
        <f aca="false">жовтень!P211</f>
        <v>6351.84000000001</v>
      </c>
      <c r="E211" s="19" t="n">
        <f aca="false">жовтень!Q211</f>
        <v>0</v>
      </c>
      <c r="F211" s="20" t="n">
        <f aca="false">жовтень!F211</f>
        <v>0</v>
      </c>
      <c r="G211" s="21" t="n">
        <f aca="false">жовтень!G211</f>
        <v>70.42</v>
      </c>
      <c r="H211" s="21" t="n">
        <f aca="false">жовтень!H211</f>
        <v>0</v>
      </c>
      <c r="I211" s="22" t="n">
        <f aca="false">жовтень!I211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6640.56000000001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жовтень!B212</f>
        <v>Перепьолкін А.Л.</v>
      </c>
      <c r="C212" s="18" t="str">
        <f aca="false">жовтень!C212</f>
        <v>60204</v>
      </c>
      <c r="D212" s="19" t="n">
        <f aca="false">жовтень!P212</f>
        <v>989.64</v>
      </c>
      <c r="E212" s="19" t="n">
        <f aca="false">жовтень!Q212</f>
        <v>0</v>
      </c>
      <c r="F212" s="20" t="n">
        <f aca="false">жовтень!F212</f>
        <v>0</v>
      </c>
      <c r="G212" s="21" t="n">
        <f aca="false">жовтень!G212</f>
        <v>49.8</v>
      </c>
      <c r="H212" s="21" t="n">
        <f aca="false">жовтень!H212</f>
        <v>0</v>
      </c>
      <c r="I212" s="22" t="n">
        <f aca="false">жовтень!I212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/>
      <c r="P212" s="25" t="n">
        <f aca="false">IF(D212=0,IF((N212-E212-O212)&gt;0,(N212-E212-O212),0),IF((D212+N212-O212)&gt;0,(D212+N212-O212),0))</f>
        <v>1193.82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жовтень!B213</f>
        <v>Синегрибова В.В.</v>
      </c>
      <c r="C213" s="18" t="str">
        <f aca="false">жовтень!C213</f>
        <v>60205</v>
      </c>
      <c r="D213" s="19" t="n">
        <f aca="false">жовтень!P213</f>
        <v>5871.7</v>
      </c>
      <c r="E213" s="19" t="n">
        <f aca="false">жовтень!Q213</f>
        <v>0</v>
      </c>
      <c r="F213" s="20" t="n">
        <f aca="false">жовтень!F213</f>
        <v>0</v>
      </c>
      <c r="G213" s="21" t="n">
        <f aca="false">жовтень!G213</f>
        <v>62.7</v>
      </c>
      <c r="H213" s="21" t="n">
        <f aca="false">жовтень!H213</f>
        <v>0</v>
      </c>
      <c r="I213" s="22" t="n">
        <f aca="false">жовтень!I213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6128.77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жовтень!B214</f>
        <v>Юдін М.В.</v>
      </c>
      <c r="C214" s="18" t="str">
        <f aca="false">жовтень!C214</f>
        <v>60206</v>
      </c>
      <c r="D214" s="19" t="n">
        <f aca="false">жовтень!P214</f>
        <v>761.6</v>
      </c>
      <c r="E214" s="19" t="n">
        <f aca="false">жовтень!Q214</f>
        <v>0</v>
      </c>
      <c r="F214" s="20" t="n">
        <f aca="false">жовтень!F214</f>
        <v>0</v>
      </c>
      <c r="G214" s="21" t="n">
        <f aca="false">жовтень!G214</f>
        <v>68</v>
      </c>
      <c r="H214" s="21" t="n">
        <f aca="false">жовтень!H214</f>
        <v>0</v>
      </c>
      <c r="I214" s="22" t="n">
        <f aca="false">жовтень!I214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/>
      <c r="P214" s="25" t="n">
        <f aca="false">IF(D214=0,IF((N214-E214-O214)&gt;0,(N214-E214-O214),0),IF((D214+N214-O214)&gt;0,(D214+N214-O214),0))</f>
        <v>1040.4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жовтень!B215</f>
        <v>Сергєєва Н.О.</v>
      </c>
      <c r="C215" s="18" t="str">
        <f aca="false">жовтень!C215</f>
        <v>60207</v>
      </c>
      <c r="D215" s="19" t="n">
        <f aca="false">жовтень!P215</f>
        <v>779.960000000001</v>
      </c>
      <c r="E215" s="19" t="n">
        <f aca="false">жовтень!Q215</f>
        <v>0</v>
      </c>
      <c r="F215" s="20" t="n">
        <f aca="false">жовтень!F215</f>
        <v>0</v>
      </c>
      <c r="G215" s="21" t="n">
        <f aca="false">жовтень!G215</f>
        <v>72.1</v>
      </c>
      <c r="H215" s="21" t="n">
        <f aca="false">жовтень!H215</f>
        <v>0</v>
      </c>
      <c r="I215" s="22" t="n">
        <f aca="false">жовтень!I215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/>
      <c r="P215" s="25" t="n">
        <f aca="false">IF(D215=0,IF((N215-E215-O215)&gt;0,(N215-E215-O215),0),IF((D215+N215-O215)&gt;0,(D215+N215-O215),0))</f>
        <v>1075.57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жовтень!B216</f>
        <v>Рева І.П.</v>
      </c>
      <c r="C216" s="18" t="str">
        <f aca="false">жовтень!C216</f>
        <v>60208</v>
      </c>
      <c r="D216" s="19" t="n">
        <f aca="false">жовтень!P216</f>
        <v>2842.4</v>
      </c>
      <c r="E216" s="19" t="n">
        <f aca="false">жовтень!Q216</f>
        <v>0</v>
      </c>
      <c r="F216" s="20" t="n">
        <f aca="false">жовтень!F216</f>
        <v>0</v>
      </c>
      <c r="G216" s="21" t="n">
        <f aca="false">жовтень!G216</f>
        <v>49.72</v>
      </c>
      <c r="H216" s="21" t="n">
        <f aca="false">жовтень!H216</f>
        <v>0</v>
      </c>
      <c r="I216" s="22" t="n">
        <f aca="false">жовтень!I216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3046.25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жовтень!B217</f>
        <v>Почапський Ю.Т.</v>
      </c>
      <c r="C217" s="18" t="str">
        <f aca="false">жовтень!C217</f>
        <v>60209</v>
      </c>
      <c r="D217" s="19" t="n">
        <f aca="false">жовтень!P217</f>
        <v>1014.49</v>
      </c>
      <c r="E217" s="19" t="n">
        <f aca="false">жовтень!Q217</f>
        <v>0</v>
      </c>
      <c r="F217" s="20" t="n">
        <f aca="false">жовтень!F217</f>
        <v>0</v>
      </c>
      <c r="G217" s="21" t="n">
        <f aca="false">жовтень!G217</f>
        <v>62.39</v>
      </c>
      <c r="H217" s="21" t="n">
        <f aca="false">жовтень!H217</f>
        <v>0</v>
      </c>
      <c r="I217" s="22" t="n">
        <f aca="false">жовтень!I217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/>
      <c r="P217" s="25" t="n">
        <f aca="false">IF(D217=0,IF((N217-E217-O217)&gt;0,(N217-E217-O217),0),IF((D217+N217-O217)&gt;0,(D217+N217-O217),0))</f>
        <v>1270.29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жовтень!B218</f>
        <v>Васильченко М.П.</v>
      </c>
      <c r="C218" s="18" t="str">
        <f aca="false">жовтень!C218</f>
        <v>60210</v>
      </c>
      <c r="D218" s="19" t="n">
        <f aca="false">жовтень!P218</f>
        <v>5523.75</v>
      </c>
      <c r="E218" s="19" t="n">
        <f aca="false">жовтень!Q218</f>
        <v>0</v>
      </c>
      <c r="F218" s="20" t="n">
        <f aca="false">жовтень!F218</f>
        <v>0</v>
      </c>
      <c r="G218" s="21" t="n">
        <f aca="false">жовтень!G218</f>
        <v>67.47</v>
      </c>
      <c r="H218" s="21" t="n">
        <f aca="false">жовтень!H218</f>
        <v>0</v>
      </c>
      <c r="I218" s="22" t="n">
        <f aca="false">жовтень!I218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5800.38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жовтень!B219</f>
        <v>Черненко Т.А.</v>
      </c>
      <c r="C219" s="18" t="str">
        <f aca="false">жовтень!C219</f>
        <v>60211</v>
      </c>
      <c r="D219" s="19" t="n">
        <f aca="false">жовтень!P219</f>
        <v>5069.28</v>
      </c>
      <c r="E219" s="19" t="n">
        <f aca="false">жовтень!Q219</f>
        <v>0</v>
      </c>
      <c r="F219" s="20" t="n">
        <f aca="false">жовтень!F219</f>
        <v>0</v>
      </c>
      <c r="G219" s="21" t="n">
        <f aca="false">жовтень!G219</f>
        <v>70.41</v>
      </c>
      <c r="H219" s="21" t="n">
        <f aca="false">жовтень!H219</f>
        <v>0</v>
      </c>
      <c r="I219" s="22" t="n">
        <f aca="false">жовтень!I219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5357.96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жовтень!B220</f>
        <v>Сиротенко Я.О.</v>
      </c>
      <c r="C220" s="18" t="str">
        <f aca="false">жовтень!C220</f>
        <v>60212</v>
      </c>
      <c r="D220" s="19" t="n">
        <f aca="false">жовтень!P220</f>
        <v>3197.31</v>
      </c>
      <c r="E220" s="19" t="n">
        <f aca="false">жовтень!Q220</f>
        <v>0</v>
      </c>
      <c r="F220" s="20" t="n">
        <f aca="false">жовтень!F220</f>
        <v>0</v>
      </c>
      <c r="G220" s="21" t="n">
        <f aca="false">жовтень!G220</f>
        <v>49.73</v>
      </c>
      <c r="H220" s="21" t="n">
        <f aca="false">жовтень!H220</f>
        <v>0</v>
      </c>
      <c r="I220" s="22" t="n">
        <f aca="false">жовтень!I220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3401.2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жовтень!B221</f>
        <v>Корнюшенко О.О.</v>
      </c>
      <c r="C221" s="18" t="str">
        <f aca="false">жовтень!C221</f>
        <v>60213</v>
      </c>
      <c r="D221" s="28" t="n">
        <f aca="false">жовтень!P221</f>
        <v>6915.6</v>
      </c>
      <c r="E221" s="29" t="n">
        <f aca="false">жовтень!Q221</f>
        <v>0</v>
      </c>
      <c r="F221" s="20" t="n">
        <f aca="false">жовтень!F221</f>
        <v>0</v>
      </c>
      <c r="G221" s="21" t="n">
        <f aca="false">жовтень!G221</f>
        <v>62</v>
      </c>
      <c r="H221" s="21" t="n">
        <f aca="false">жовтень!H221</f>
        <v>0</v>
      </c>
      <c r="I221" s="22" t="n">
        <f aca="false">жовтень!I221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7169.8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584170.21</v>
      </c>
      <c r="E222" s="33" t="n">
        <f aca="false">SUM(E7:E221)</f>
        <v>3264.87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0</v>
      </c>
      <c r="P222" s="39" t="n">
        <f aca="false">SUM(P7:P221)</f>
        <v>630895</v>
      </c>
      <c r="Q222" s="33" t="n">
        <f aca="false">SUM(Q7:Q221)</f>
        <v>2214.67</v>
      </c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580905.34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628680.33</v>
      </c>
      <c r="Q223" s="41"/>
      <c r="U223" s="42"/>
    </row>
    <row r="225" customFormat="false" ht="15" hidden="false" customHeight="false" outlineLevel="0" collapsed="false">
      <c r="K225" s="54"/>
      <c r="L225" s="54"/>
      <c r="M225" s="54"/>
      <c r="N225" s="55"/>
      <c r="O225" s="55"/>
      <c r="P225" s="56"/>
    </row>
    <row r="227" customFormat="false" ht="15" hidden="false" customHeight="false" outlineLevel="0" collapsed="false">
      <c r="P227" s="26"/>
      <c r="Q227" s="26"/>
    </row>
    <row r="228" customFormat="false" ht="15" hidden="false" customHeight="false" outlineLevel="0" collapsed="false">
      <c r="P228" s="26"/>
    </row>
    <row r="229" customFormat="false" ht="15" hidden="false" customHeight="false" outlineLevel="0" collapsed="false">
      <c r="T229" s="26"/>
    </row>
    <row r="232" customFormat="false" ht="15" hidden="false" customHeight="false" outlineLevel="0" collapsed="false">
      <c r="P232" s="26"/>
    </row>
  </sheetData>
  <mergeCells count="18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  <mergeCell ref="K225:M225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66">
      <formula>0</formula>
    </cfRule>
    <cfRule type="cellIs" priority="3" operator="equal" aboveAverage="0" equalAverage="0" bottom="0" percent="0" rank="0" text="" dxfId="67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68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69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70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71">
      <formula>0</formula>
    </cfRule>
  </conditionalFormatting>
  <printOptions headings="false" gridLines="false" gridLinesSet="true" horizontalCentered="true" verticalCentered="false"/>
  <pageMargins left="0.118055555555556" right="0.118055555555556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6"/>
  <sheetViews>
    <sheetView showFormulas="false" showGridLines="true" showRowColHeaders="true" showZeros="false" rightToLeft="false" tabSelected="true" showOutlineSymbols="true" defaultGridColor="true" view="normal" topLeftCell="A1" colorId="64" zoomScale="90" zoomScaleNormal="90" zoomScalePageLayoutView="100" workbookViewId="0">
      <selection pane="topLeft" activeCell="L6" activeCellId="0" sqref="L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3.29"/>
    <col collapsed="false" customWidth="true" hidden="false" outlineLevel="0" max="3" min="3" style="0" width="7"/>
    <col collapsed="false" customWidth="true" hidden="false" outlineLevel="0" max="4" min="4" style="0" width="9.29"/>
    <col collapsed="false" customWidth="true" hidden="false" outlineLevel="0" max="5" min="5" style="0" width="9"/>
    <col collapsed="false" customWidth="true" hidden="false" outlineLevel="0" max="6" min="6" style="0" width="5.42"/>
    <col collapsed="false" customWidth="true" hidden="false" outlineLevel="0" max="7" min="7" style="0" width="6.85"/>
    <col collapsed="false" customWidth="true" hidden="false" outlineLevel="0" max="8" min="8" style="0" width="5.57"/>
    <col collapsed="false" customWidth="true" hidden="false" outlineLevel="0" max="9" min="9" style="2" width="6.29"/>
    <col collapsed="false" customWidth="true" hidden="false" outlineLevel="0" max="11" min="11" style="0" width="6.57"/>
    <col collapsed="false" customWidth="true" hidden="false" outlineLevel="0" max="12" min="12" style="0" width="7.57"/>
    <col collapsed="false" customWidth="true" hidden="false" outlineLevel="0" max="13" min="13" style="0" width="8.57"/>
    <col collapsed="false" customWidth="true" hidden="false" outlineLevel="0" max="15" min="15" style="0" width="9.57"/>
    <col collapsed="false" customWidth="true" hidden="false" outlineLevel="0" max="16" min="16" style="0" width="9.29"/>
    <col collapsed="false" customWidth="true" hidden="false" outlineLevel="0" max="20" min="20" style="0" width="9.29"/>
    <col collapsed="false" customWidth="true" hidden="false" outlineLevel="0" max="21" min="21" style="0" width="9.86"/>
  </cols>
  <sheetData>
    <row r="1" customFormat="false" ht="15" hidden="false" customHeight="false" outlineLevel="0" collapsed="false">
      <c r="A1" s="1" t="s">
        <v>0</v>
      </c>
      <c r="B1" s="1"/>
      <c r="C1" s="1"/>
      <c r="N1" s="3" t="n">
        <v>37465042</v>
      </c>
      <c r="O1" s="3"/>
      <c r="P1" s="3"/>
      <c r="Q1" s="3"/>
    </row>
    <row r="2" customFormat="false" ht="17.35" hidden="false" customHeight="fals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7.35" hidden="false" customHeight="false" outlineLevel="0" collapsed="false">
      <c r="A3" s="4"/>
      <c r="B3" s="8" t="s">
        <v>674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customFormat="false" ht="15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/>
    <row r="6" customFormat="false" ht="60" hidden="false" customHeight="true" outlineLevel="0" collapsed="false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2" t="s">
        <v>10</v>
      </c>
      <c r="H6" s="12" t="s">
        <v>11</v>
      </c>
      <c r="I6" s="13" t="s">
        <v>668</v>
      </c>
      <c r="J6" s="14" t="s">
        <v>13</v>
      </c>
      <c r="K6" s="12" t="s">
        <v>14</v>
      </c>
      <c r="L6" s="43" t="s">
        <v>15</v>
      </c>
      <c r="M6" s="12" t="s">
        <v>16</v>
      </c>
      <c r="N6" s="12" t="s">
        <v>17</v>
      </c>
      <c r="O6" s="11" t="s">
        <v>18</v>
      </c>
      <c r="P6" s="11" t="s">
        <v>7</v>
      </c>
      <c r="Q6" s="15" t="s">
        <v>8</v>
      </c>
    </row>
    <row r="7" customFormat="false" ht="15" hidden="false" customHeight="false" outlineLevel="0" collapsed="false">
      <c r="A7" s="17" t="s">
        <v>19</v>
      </c>
      <c r="B7" s="18" t="str">
        <f aca="false">листопад!B7</f>
        <v>Бережний В.М.</v>
      </c>
      <c r="C7" s="18" t="str">
        <f aca="false">листопад!C7</f>
        <v>1001</v>
      </c>
      <c r="D7" s="19" t="n">
        <f aca="false">листопад!P7</f>
        <v>1949.4</v>
      </c>
      <c r="E7" s="19" t="n">
        <f aca="false">листопад!Q7</f>
        <v>0</v>
      </c>
      <c r="F7" s="20" t="n">
        <f aca="false">листопад!F7</f>
        <v>0</v>
      </c>
      <c r="G7" s="21" t="n">
        <f aca="false">листопад!G7</f>
        <v>64.26</v>
      </c>
      <c r="H7" s="21" t="n">
        <f aca="false">листопад!H7</f>
        <v>0</v>
      </c>
      <c r="I7" s="22" t="n">
        <f aca="false">листопад!I7</f>
        <v>4.1</v>
      </c>
      <c r="J7" s="23" t="n">
        <f aca="false">ROUND(G7*I7,2)</f>
        <v>263.47</v>
      </c>
      <c r="K7" s="19"/>
      <c r="L7" s="19"/>
      <c r="M7" s="24"/>
      <c r="N7" s="19" t="n">
        <f aca="false">ROUND((G7*I7)-K7-L7-M7,2)</f>
        <v>263.47</v>
      </c>
      <c r="O7" s="19"/>
      <c r="P7" s="25" t="n">
        <f aca="false">IF(D7=0,IF((N7-E7-O7)&gt;0,(N7-E7-O7),0),IF((D7+N7-O7)&gt;0,(D7+N7-O7),0))</f>
        <v>2212.87</v>
      </c>
      <c r="Q7" s="25" t="n">
        <f aca="false">IF(E7=0,IF((D7+N7-O7)&lt;0,ABS(D7+N7-O7),0),IF((N7-E7-O7)&lt;0,ABS(N7-E7-O7),0))</f>
        <v>0</v>
      </c>
    </row>
    <row r="8" customFormat="false" ht="15" hidden="false" customHeight="false" outlineLevel="0" collapsed="false">
      <c r="A8" s="17" t="s">
        <v>22</v>
      </c>
      <c r="B8" s="18" t="str">
        <f aca="false">листопад!B8</f>
        <v>Старикова Т.О.</v>
      </c>
      <c r="C8" s="18" t="str">
        <f aca="false">листопад!C8</f>
        <v>1002</v>
      </c>
      <c r="D8" s="19" t="n">
        <f aca="false">листопад!P8</f>
        <v>4520.87</v>
      </c>
      <c r="E8" s="19" t="n">
        <f aca="false">листопад!Q8</f>
        <v>0</v>
      </c>
      <c r="F8" s="20" t="n">
        <f aca="false">листопад!F8</f>
        <v>0</v>
      </c>
      <c r="G8" s="21" t="n">
        <f aca="false">листопад!G8</f>
        <v>48.71</v>
      </c>
      <c r="H8" s="21" t="n">
        <f aca="false">листопад!H8</f>
        <v>0</v>
      </c>
      <c r="I8" s="22" t="n">
        <f aca="false">листопад!I8</f>
        <v>4.1</v>
      </c>
      <c r="J8" s="23" t="n">
        <f aca="false">ROUND(G8*I8,2)</f>
        <v>199.71</v>
      </c>
      <c r="K8" s="19"/>
      <c r="L8" s="19"/>
      <c r="M8" s="24"/>
      <c r="N8" s="19" t="n">
        <f aca="false">ROUND((G8*I8)-K8-L8-M8,2)</f>
        <v>199.71</v>
      </c>
      <c r="O8" s="19"/>
      <c r="P8" s="25" t="n">
        <f aca="false">IF(D8=0,IF((N8-E8-O8)&gt;0,(N8-E8-O8),0),IF((D8+N8-O8)&gt;0,(D8+N8-O8),0))</f>
        <v>4720.58</v>
      </c>
      <c r="Q8" s="25" t="n">
        <f aca="false">IF(E8=0,IF((D8+N8-O8)&lt;0,ABS(D8+N8-O8),0),IF((N8-E8-O8)&lt;0,ABS(N8-E8-O8),0))</f>
        <v>0</v>
      </c>
    </row>
    <row r="9" customFormat="false" ht="15" hidden="false" customHeight="false" outlineLevel="0" collapsed="false">
      <c r="A9" s="17" t="s">
        <v>25</v>
      </c>
      <c r="B9" s="18" t="str">
        <f aca="false">листопад!B9</f>
        <v>Мазур Т.В.</v>
      </c>
      <c r="C9" s="18" t="str">
        <f aca="false">листопад!C9</f>
        <v>1003</v>
      </c>
      <c r="D9" s="19" t="n">
        <f aca="false">листопад!P9</f>
        <v>583.5</v>
      </c>
      <c r="E9" s="19" t="n">
        <f aca="false">листопад!Q9</f>
        <v>0</v>
      </c>
      <c r="F9" s="20" t="n">
        <f aca="false">листопад!F9</f>
        <v>0</v>
      </c>
      <c r="G9" s="21" t="n">
        <f aca="false">листопад!G9</f>
        <v>35</v>
      </c>
      <c r="H9" s="21" t="n">
        <f aca="false">листопад!H9</f>
        <v>0</v>
      </c>
      <c r="I9" s="22" t="n">
        <f aca="false">листопад!I9</f>
        <v>4.1</v>
      </c>
      <c r="J9" s="23" t="n">
        <f aca="false">ROUND(G9*I9,2)</f>
        <v>143.5</v>
      </c>
      <c r="K9" s="19"/>
      <c r="L9" s="19"/>
      <c r="M9" s="19"/>
      <c r="N9" s="19" t="n">
        <f aca="false">ROUND((G9*I9)-K9-L9-M9,2)</f>
        <v>143.5</v>
      </c>
      <c r="O9" s="19"/>
      <c r="P9" s="25" t="n">
        <f aca="false">IF(D9=0,IF((N9-E9-O9)&gt;0,(N9-E9-O9),0),IF((D9+N9-O9)&gt;0,(D9+N9-O9),0))</f>
        <v>727</v>
      </c>
      <c r="Q9" s="25" t="n">
        <f aca="false">IF(E9=0,IF((D9+N9-O9)&lt;0,ABS(D9+N9-O9),0),IF((N9-E9-O9)&lt;0,ABS(N9-E9-O9),0))</f>
        <v>0</v>
      </c>
    </row>
    <row r="10" customFormat="false" ht="15" hidden="false" customHeight="false" outlineLevel="0" collapsed="false">
      <c r="A10" s="17" t="s">
        <v>28</v>
      </c>
      <c r="B10" s="18" t="str">
        <f aca="false">листопад!B10</f>
        <v>Сокол О.В.</v>
      </c>
      <c r="C10" s="18" t="str">
        <f aca="false">листопад!C10</f>
        <v>1004</v>
      </c>
      <c r="D10" s="19" t="n">
        <f aca="false">листопад!P10</f>
        <v>757.65</v>
      </c>
      <c r="E10" s="19" t="n">
        <f aca="false">листопад!Q10</f>
        <v>0</v>
      </c>
      <c r="F10" s="20" t="n">
        <f aca="false">листопад!F10</f>
        <v>0</v>
      </c>
      <c r="G10" s="21" t="n">
        <f aca="false">листопад!G10</f>
        <v>61.6</v>
      </c>
      <c r="H10" s="21" t="n">
        <f aca="false">листопад!H10</f>
        <v>0</v>
      </c>
      <c r="I10" s="22" t="n">
        <f aca="false">листопад!I10</f>
        <v>4.1</v>
      </c>
      <c r="J10" s="23" t="n">
        <f aca="false">ROUND(G10*I10,2)</f>
        <v>252.56</v>
      </c>
      <c r="K10" s="19"/>
      <c r="L10" s="19"/>
      <c r="M10" s="19"/>
      <c r="N10" s="19" t="n">
        <f aca="false">ROUND((G10*I10)-K10-L10-M10,2)</f>
        <v>252.56</v>
      </c>
      <c r="O10" s="19"/>
      <c r="P10" s="25" t="n">
        <f aca="false">IF(D10=0,IF((N10-E10-O10)&gt;0,(N10-E10-O10),0),IF((D10+N10-O10)&gt;0,(D10+N10-O10),0))</f>
        <v>1010.21</v>
      </c>
      <c r="Q10" s="25" t="n">
        <f aca="false">IF(E10=0,IF((D10+N10-O10)&lt;0,ABS(D10+N10-O10),0),IF((N10-E10-O10)&lt;0,ABS(N10-E10-O10),0))</f>
        <v>0</v>
      </c>
    </row>
    <row r="11" customFormat="false" ht="15" hidden="false" customHeight="false" outlineLevel="0" collapsed="false">
      <c r="A11" s="17" t="s">
        <v>31</v>
      </c>
      <c r="B11" s="18" t="str">
        <f aca="false">листопад!B11</f>
        <v>Семко Л.І.</v>
      </c>
      <c r="C11" s="18" t="str">
        <f aca="false">листопад!C11</f>
        <v>1005</v>
      </c>
      <c r="D11" s="19" t="n">
        <f aca="false">листопад!P11</f>
        <v>439.120000000001</v>
      </c>
      <c r="E11" s="19" t="n">
        <f aca="false">листопад!Q11</f>
        <v>0</v>
      </c>
      <c r="F11" s="20" t="n">
        <f aca="false">листопад!F11</f>
        <v>0</v>
      </c>
      <c r="G11" s="21" t="n">
        <f aca="false">листопад!G11</f>
        <v>28.34</v>
      </c>
      <c r="H11" s="21" t="n">
        <f aca="false">листопад!H11</f>
        <v>0</v>
      </c>
      <c r="I11" s="22" t="n">
        <f aca="false">листопад!I11</f>
        <v>4.1</v>
      </c>
      <c r="J11" s="23" t="n">
        <f aca="false">ROUND(G11*I11,2)</f>
        <v>116.19</v>
      </c>
      <c r="K11" s="19"/>
      <c r="L11" s="24"/>
      <c r="M11" s="19"/>
      <c r="N11" s="19" t="n">
        <f aca="false">ROUND((G11*I11)-K11-L11-M11,2)</f>
        <v>116.19</v>
      </c>
      <c r="O11" s="19"/>
      <c r="P11" s="25" t="n">
        <f aca="false">IF(D11=0,IF((N11-E11-O11)&gt;0,(N11-E11-O11),0),IF((D11+N11-O11)&gt;0,(D11+N11-O11),0))</f>
        <v>555.310000000001</v>
      </c>
      <c r="Q11" s="25" t="n">
        <f aca="false">IF(E11=0,IF((D11+N11-O11)&lt;0,ABS(D11+N11-O11),0),IF((N11-E11-O11)&lt;0,ABS(N11-E11-O11),0))</f>
        <v>0</v>
      </c>
    </row>
    <row r="12" customFormat="false" ht="15" hidden="false" customHeight="false" outlineLevel="0" collapsed="false">
      <c r="A12" s="17" t="s">
        <v>31</v>
      </c>
      <c r="B12" s="18" t="str">
        <f aca="false">листопад!B12</f>
        <v>Гаркуша Н.І.</v>
      </c>
      <c r="C12" s="18" t="str">
        <f aca="false">листопад!C12</f>
        <v>1005-а</v>
      </c>
      <c r="D12" s="19" t="n">
        <f aca="false">листопад!P12</f>
        <v>951.510000000001</v>
      </c>
      <c r="E12" s="19" t="n">
        <f aca="false">листопад!Q12</f>
        <v>0</v>
      </c>
      <c r="F12" s="20" t="n">
        <f aca="false">листопад!F12</f>
        <v>0</v>
      </c>
      <c r="G12" s="21" t="n">
        <f aca="false">листопад!G12</f>
        <v>36.66</v>
      </c>
      <c r="H12" s="21" t="n">
        <f aca="false">листопад!H12</f>
        <v>0</v>
      </c>
      <c r="I12" s="22" t="n">
        <f aca="false">листопад!I12</f>
        <v>4.1</v>
      </c>
      <c r="J12" s="23" t="n">
        <f aca="false">ROUND(G12*I12,2)</f>
        <v>150.31</v>
      </c>
      <c r="K12" s="19"/>
      <c r="L12" s="19"/>
      <c r="M12" s="19"/>
      <c r="N12" s="19" t="n">
        <f aca="false">ROUND((G12*I12)-K12-L12-M12,2)</f>
        <v>150.31</v>
      </c>
      <c r="O12" s="19"/>
      <c r="P12" s="25" t="n">
        <f aca="false">IF(D12=0,IF((N12-E12-O12)&gt;0,(N12-E12-O12),0),IF((D12+N12-O12)&gt;0,(D12+N12-O12),0))</f>
        <v>1101.82</v>
      </c>
      <c r="Q12" s="25" t="n">
        <f aca="false">IF(E12=0,IF((D12+N12-O12)&lt;0,ABS(D12+N12-O12),0),IF((N12-E12-O12)&lt;0,ABS(N12-E12-O12),0))</f>
        <v>0</v>
      </c>
    </row>
    <row r="13" customFormat="false" ht="15" hidden="false" customHeight="false" outlineLevel="0" collapsed="false">
      <c r="A13" s="17" t="s">
        <v>36</v>
      </c>
      <c r="B13" s="18" t="str">
        <f aca="false">листопад!B13</f>
        <v>Андріяшев В.М</v>
      </c>
      <c r="C13" s="18" t="str">
        <f aca="false">листопад!C13</f>
        <v>1006</v>
      </c>
      <c r="D13" s="19" t="n">
        <f aca="false">листопад!P13</f>
        <v>640.06</v>
      </c>
      <c r="E13" s="19" t="n">
        <f aca="false">листопад!Q13</f>
        <v>0</v>
      </c>
      <c r="F13" s="20" t="n">
        <f aca="false">листопад!F13</f>
        <v>0</v>
      </c>
      <c r="G13" s="21" t="n">
        <f aca="false">листопад!G13</f>
        <v>49.8</v>
      </c>
      <c r="H13" s="21" t="n">
        <f aca="false">листопад!H13</f>
        <v>0</v>
      </c>
      <c r="I13" s="22" t="n">
        <f aca="false">листопад!I13</f>
        <v>4.1</v>
      </c>
      <c r="J13" s="23" t="n">
        <f aca="false">ROUND(G13*I13,2)</f>
        <v>204.18</v>
      </c>
      <c r="K13" s="19"/>
      <c r="L13" s="19"/>
      <c r="M13" s="19"/>
      <c r="N13" s="19" t="n">
        <f aca="false">ROUND((G13*I13)-K13-L13-M13,2)</f>
        <v>204.18</v>
      </c>
      <c r="O13" s="19"/>
      <c r="P13" s="25" t="n">
        <f aca="false">IF(D13=0,IF((N13-E13-O13)&gt;0,(N13-E13-O13),0),IF((D13+N13-O13)&gt;0,(D13+N13-O13),0))</f>
        <v>844.240000000001</v>
      </c>
      <c r="Q13" s="25" t="n">
        <f aca="false">IF(E13=0,IF((D13+N13-O13)&lt;0,ABS(D13+N13-O13),0),IF((N13-E13-O13)&lt;0,ABS(N13-E13-O13),0))</f>
        <v>0</v>
      </c>
    </row>
    <row r="14" customFormat="false" ht="15" hidden="false" customHeight="false" outlineLevel="0" collapsed="false">
      <c r="A14" s="17" t="s">
        <v>39</v>
      </c>
      <c r="B14" s="18" t="str">
        <f aca="false">листопад!B14</f>
        <v>Старчикова О.М.</v>
      </c>
      <c r="C14" s="18" t="str">
        <f aca="false">листопад!C14</f>
        <v>1007</v>
      </c>
      <c r="D14" s="19" t="n">
        <f aca="false">листопад!P14</f>
        <v>564.61</v>
      </c>
      <c r="E14" s="19" t="n">
        <f aca="false">листопад!Q14</f>
        <v>0</v>
      </c>
      <c r="F14" s="20" t="n">
        <f aca="false">листопад!F14</f>
        <v>0</v>
      </c>
      <c r="G14" s="21" t="n">
        <f aca="false">листопад!G14</f>
        <v>34.65</v>
      </c>
      <c r="H14" s="21" t="n">
        <f aca="false">листопад!H14</f>
        <v>0</v>
      </c>
      <c r="I14" s="22" t="n">
        <f aca="false">листопад!I14</f>
        <v>4.1</v>
      </c>
      <c r="J14" s="23" t="n">
        <f aca="false">ROUND(G14*I14,2)</f>
        <v>142.07</v>
      </c>
      <c r="K14" s="19"/>
      <c r="L14" s="19"/>
      <c r="M14" s="19"/>
      <c r="N14" s="19" t="n">
        <f aca="false">ROUND((G14*I14)-K14-L14-M14,2)</f>
        <v>142.07</v>
      </c>
      <c r="O14" s="19"/>
      <c r="P14" s="25" t="n">
        <f aca="false">IF(D14=0,IF((N14-E14-O14)&gt;0,(N14-E14-O14),0),IF((D14+N14-O14)&gt;0,(D14+N14-O14),0))</f>
        <v>706.68</v>
      </c>
      <c r="Q14" s="25" t="n">
        <f aca="false">IF(E14=0,IF((D14+N14-O14)&lt;0,ABS(D14+N14-O14),0),IF((N14-E14-O14)&lt;0,ABS(N14-E14-O14),0))</f>
        <v>0</v>
      </c>
    </row>
    <row r="15" customFormat="false" ht="15" hidden="false" customHeight="false" outlineLevel="0" collapsed="false">
      <c r="A15" s="17" t="s">
        <v>42</v>
      </c>
      <c r="B15" s="18" t="str">
        <f aca="false">листопад!B15</f>
        <v>Безер Т.М</v>
      </c>
      <c r="C15" s="18" t="str">
        <f aca="false">листопад!C15</f>
        <v>1008</v>
      </c>
      <c r="D15" s="19" t="n">
        <f aca="false">листопад!P15</f>
        <v>988.72</v>
      </c>
      <c r="E15" s="19" t="n">
        <f aca="false">листопад!Q15</f>
        <v>0</v>
      </c>
      <c r="F15" s="20" t="n">
        <f aca="false">листопад!F15</f>
        <v>0</v>
      </c>
      <c r="G15" s="21" t="n">
        <f aca="false">листопад!G15</f>
        <v>62.14</v>
      </c>
      <c r="H15" s="21" t="n">
        <f aca="false">листопад!H15</f>
        <v>0</v>
      </c>
      <c r="I15" s="22" t="n">
        <f aca="false">листопад!I15</f>
        <v>4.1</v>
      </c>
      <c r="J15" s="23" t="n">
        <f aca="false">ROUND(G15*I15,2)</f>
        <v>254.77</v>
      </c>
      <c r="K15" s="19"/>
      <c r="L15" s="19"/>
      <c r="M15" s="19"/>
      <c r="N15" s="19" t="n">
        <f aca="false">ROUND((G15*I15)-K15-L15-M15,2)</f>
        <v>254.77</v>
      </c>
      <c r="O15" s="19"/>
      <c r="P15" s="25" t="n">
        <f aca="false">IF(D15=0,IF((N15-E15-O15)&gt;0,(N15-E15-O15),0),IF((D15+N15-O15)&gt;0,(D15+N15-O15),0))</f>
        <v>1243.49</v>
      </c>
      <c r="Q15" s="25" t="n">
        <f aca="false">IF(E15=0,IF((D15+N15-O15)&lt;0,ABS(D15+N15-O15),0),IF((N15-E15-O15)&lt;0,ABS(N15-E15-O15),0))</f>
        <v>0</v>
      </c>
    </row>
    <row r="16" customFormat="false" ht="15" hidden="false" customHeight="false" outlineLevel="0" collapsed="false">
      <c r="A16" s="17" t="s">
        <v>45</v>
      </c>
      <c r="B16" s="18" t="str">
        <f aca="false">листопад!B16</f>
        <v>Решетило М.М</v>
      </c>
      <c r="C16" s="18" t="str">
        <f aca="false">листопад!C16</f>
        <v>1009</v>
      </c>
      <c r="D16" s="19" t="n">
        <f aca="false">листопад!P16</f>
        <v>1069.72</v>
      </c>
      <c r="E16" s="19" t="n">
        <f aca="false">листопад!Q16</f>
        <v>0</v>
      </c>
      <c r="F16" s="20" t="n">
        <f aca="false">листопад!F16</f>
        <v>0</v>
      </c>
      <c r="G16" s="21" t="n">
        <f aca="false">листопад!G16</f>
        <v>65.16</v>
      </c>
      <c r="H16" s="21" t="n">
        <f aca="false">листопад!H16</f>
        <v>0</v>
      </c>
      <c r="I16" s="22" t="n">
        <f aca="false">листопад!I16</f>
        <v>4.1</v>
      </c>
      <c r="J16" s="23" t="n">
        <f aca="false">ROUND(G16*I16,2)</f>
        <v>267.16</v>
      </c>
      <c r="K16" s="19"/>
      <c r="L16" s="19"/>
      <c r="M16" s="19"/>
      <c r="N16" s="19" t="n">
        <f aca="false">ROUND((G16*I16)-K16-L16-M16,2)</f>
        <v>267.16</v>
      </c>
      <c r="O16" s="19"/>
      <c r="P16" s="25" t="n">
        <f aca="false">IF(D16=0,IF((N16-E16-O16)&gt;0,(N16-E16-O16),0),IF((D16+N16-O16)&gt;0,(D16+N16-O16),0))</f>
        <v>1336.88</v>
      </c>
      <c r="Q16" s="25" t="n">
        <f aca="false">IF(E16=0,IF((D16+N16-O16)&lt;0,ABS(D16+N16-O16),0),IF((N16-E16-O16)&lt;0,ABS(N16-E16-O16),0))</f>
        <v>0</v>
      </c>
    </row>
    <row r="17" customFormat="false" ht="15" hidden="false" customHeight="false" outlineLevel="0" collapsed="false">
      <c r="A17" s="17" t="s">
        <v>48</v>
      </c>
      <c r="B17" s="18" t="str">
        <f aca="false">листопад!B17</f>
        <v>Фесенко О.В.</v>
      </c>
      <c r="C17" s="18" t="str">
        <f aca="false">листопад!C17</f>
        <v>1010</v>
      </c>
      <c r="D17" s="19" t="n">
        <f aca="false">листопад!P17</f>
        <v>3841.44</v>
      </c>
      <c r="E17" s="19" t="n">
        <f aca="false">листопад!Q17</f>
        <v>0</v>
      </c>
      <c r="F17" s="20" t="n">
        <f aca="false">листопад!F17</f>
        <v>0</v>
      </c>
      <c r="G17" s="21" t="n">
        <f aca="false">листопад!G17</f>
        <v>50.1</v>
      </c>
      <c r="H17" s="21" t="n">
        <f aca="false">листопад!H17</f>
        <v>0</v>
      </c>
      <c r="I17" s="22" t="n">
        <f aca="false">листопад!I17</f>
        <v>4.1</v>
      </c>
      <c r="J17" s="23" t="n">
        <f aca="false">ROUND(G17*I17,2)</f>
        <v>205.41</v>
      </c>
      <c r="K17" s="19"/>
      <c r="L17" s="19"/>
      <c r="M17" s="19"/>
      <c r="N17" s="19" t="n">
        <f aca="false">ROUND((G17*I17)-K17-L17-M17,2)</f>
        <v>205.41</v>
      </c>
      <c r="O17" s="19"/>
      <c r="P17" s="25" t="n">
        <f aca="false">IF(D17=0,IF((N17-E17-O17)&gt;0,(N17-E17-O17),0),IF((D17+N17-O17)&gt;0,(D17+N17-O17),0))</f>
        <v>4046.85</v>
      </c>
      <c r="Q17" s="25" t="n">
        <f aca="false">IF(E17=0,IF((D17+N17-O17)&lt;0,ABS(D17+N17-O17),0),IF((N17-E17-O17)&lt;0,ABS(N17-E17-O17),0))</f>
        <v>0</v>
      </c>
    </row>
    <row r="18" customFormat="false" ht="15" hidden="false" customHeight="false" outlineLevel="0" collapsed="false">
      <c r="A18" s="17" t="s">
        <v>51</v>
      </c>
      <c r="B18" s="18" t="str">
        <f aca="false">листопад!B18</f>
        <v>Петренко О.М.</v>
      </c>
      <c r="C18" s="18" t="str">
        <f aca="false">листопад!C18</f>
        <v>1011</v>
      </c>
      <c r="D18" s="19" t="n">
        <f aca="false">листопад!P18</f>
        <v>1440.2</v>
      </c>
      <c r="E18" s="19" t="n">
        <f aca="false">листопад!Q18</f>
        <v>0</v>
      </c>
      <c r="F18" s="20" t="n">
        <f aca="false">листопад!F18</f>
        <v>0</v>
      </c>
      <c r="G18" s="21" t="n">
        <f aca="false">листопад!G18</f>
        <v>35.2</v>
      </c>
      <c r="H18" s="21" t="n">
        <f aca="false">листопад!H18</f>
        <v>0</v>
      </c>
      <c r="I18" s="22" t="n">
        <f aca="false">листопад!I18</f>
        <v>4.1</v>
      </c>
      <c r="J18" s="23" t="n">
        <f aca="false">ROUND(G18*I18,2)</f>
        <v>144.32</v>
      </c>
      <c r="K18" s="19"/>
      <c r="L18" s="19"/>
      <c r="M18" s="19"/>
      <c r="N18" s="19" t="n">
        <f aca="false">ROUND((G18*I18)-K18-L18-M18,2)</f>
        <v>144.32</v>
      </c>
      <c r="O18" s="19"/>
      <c r="P18" s="25" t="n">
        <f aca="false">IF(D18=0,IF((N18-E18-O18)&gt;0,(N18-E18-O18),0),IF((D18+N18-O18)&gt;0,(D18+N18-O18),0))</f>
        <v>1584.52</v>
      </c>
      <c r="Q18" s="25" t="n">
        <f aca="false">IF(E18=0,IF((D18+N18-O18)&lt;0,ABS(D18+N18-O18),0),IF((N18-E18-O18)&lt;0,ABS(N18-E18-O18),0))</f>
        <v>0</v>
      </c>
    </row>
    <row r="19" customFormat="false" ht="15" hidden="false" customHeight="false" outlineLevel="0" collapsed="false">
      <c r="A19" s="17" t="s">
        <v>54</v>
      </c>
      <c r="B19" s="18" t="str">
        <f aca="false">листопад!B19</f>
        <v>Зеленюк А.Д</v>
      </c>
      <c r="C19" s="18" t="str">
        <f aca="false">листопад!C19</f>
        <v>1012</v>
      </c>
      <c r="D19" s="19" t="n">
        <f aca="false">листопад!P19</f>
        <v>5744.61</v>
      </c>
      <c r="E19" s="19" t="n">
        <f aca="false">листопад!Q19</f>
        <v>0</v>
      </c>
      <c r="F19" s="20" t="n">
        <f aca="false">листопад!F19</f>
        <v>0</v>
      </c>
      <c r="G19" s="21" t="n">
        <f aca="false">листопад!G19</f>
        <v>62.78</v>
      </c>
      <c r="H19" s="21" t="n">
        <f aca="false">листопад!H19</f>
        <v>0</v>
      </c>
      <c r="I19" s="22" t="n">
        <f aca="false">листопад!I19</f>
        <v>4.1</v>
      </c>
      <c r="J19" s="23" t="n">
        <f aca="false">ROUND(G19*I19,2)</f>
        <v>257.4</v>
      </c>
      <c r="K19" s="19"/>
      <c r="L19" s="19"/>
      <c r="M19" s="19"/>
      <c r="N19" s="19" t="n">
        <f aca="false">ROUND((G19*I19)-K19-L19-M19,2)</f>
        <v>257.4</v>
      </c>
      <c r="O19" s="19"/>
      <c r="P19" s="25" t="n">
        <f aca="false">IF(D19=0,IF((N19-E19-O19)&gt;0,(N19-E19-O19),0),IF((D19+N19-O19)&gt;0,(D19+N19-O19),0))</f>
        <v>6002.01</v>
      </c>
      <c r="Q19" s="25" t="n">
        <f aca="false">IF(E19=0,IF((D19+N19-O19)&lt;0,ABS(D19+N19-O19),0),IF((N19-E19-O19)&lt;0,ABS(N19-E19-O19),0))</f>
        <v>0</v>
      </c>
    </row>
    <row r="20" customFormat="false" ht="15" hidden="false" customHeight="false" outlineLevel="0" collapsed="false">
      <c r="A20" s="17" t="s">
        <v>57</v>
      </c>
      <c r="B20" s="18" t="str">
        <f aca="false">листопад!B20</f>
        <v>Вовк І.В</v>
      </c>
      <c r="C20" s="18" t="str">
        <f aca="false">листопад!C20</f>
        <v>1013</v>
      </c>
      <c r="D20" s="19" t="n">
        <f aca="false">листопад!P20</f>
        <v>3410.01</v>
      </c>
      <c r="E20" s="19" t="n">
        <f aca="false">листопад!Q20</f>
        <v>0</v>
      </c>
      <c r="F20" s="20" t="n">
        <f aca="false">листопад!F20</f>
        <v>0</v>
      </c>
      <c r="G20" s="21" t="n">
        <f aca="false">листопад!G20</f>
        <v>28.23</v>
      </c>
      <c r="H20" s="21" t="n">
        <f aca="false">листопад!H20</f>
        <v>0</v>
      </c>
      <c r="I20" s="22" t="n">
        <f aca="false">листопад!I20</f>
        <v>4.1</v>
      </c>
      <c r="J20" s="23" t="n">
        <f aca="false">ROUND(G20*I20,2)</f>
        <v>115.74</v>
      </c>
      <c r="K20" s="19"/>
      <c r="L20" s="19"/>
      <c r="M20" s="19"/>
      <c r="N20" s="19" t="n">
        <f aca="false">ROUND((G20*I20)-K20-L20-M20,2)</f>
        <v>115.74</v>
      </c>
      <c r="O20" s="19"/>
      <c r="P20" s="25" t="n">
        <f aca="false">IF(D20=0,IF((N20-E20-O20)&gt;0,(N20-E20-O20),0),IF((D20+N20-O20)&gt;0,(D20+N20-O20),0))</f>
        <v>3525.75</v>
      </c>
      <c r="Q20" s="25" t="n">
        <f aca="false">IF(E20=0,IF((D20+N20-O20)&lt;0,ABS(D20+N20-O20),0),IF((N20-E20-O20)&lt;0,ABS(N20-E20-O20),0))</f>
        <v>0</v>
      </c>
    </row>
    <row r="21" customFormat="false" ht="15" hidden="false" customHeight="false" outlineLevel="0" collapsed="false">
      <c r="A21" s="17" t="s">
        <v>57</v>
      </c>
      <c r="B21" s="18" t="str">
        <f aca="false">листопад!B21</f>
        <v>Романовський В.М</v>
      </c>
      <c r="C21" s="18" t="str">
        <f aca="false">листопад!C21</f>
        <v>1013-а</v>
      </c>
      <c r="D21" s="19" t="n">
        <f aca="false">листопад!P21</f>
        <v>4964.44</v>
      </c>
      <c r="E21" s="19" t="n">
        <f aca="false">листопад!Q21</f>
        <v>0</v>
      </c>
      <c r="F21" s="20" t="n">
        <f aca="false">листопад!F21</f>
        <v>0</v>
      </c>
      <c r="G21" s="21" t="n">
        <f aca="false">листопад!G21</f>
        <v>37.84</v>
      </c>
      <c r="H21" s="21" t="n">
        <f aca="false">листопад!H21</f>
        <v>0</v>
      </c>
      <c r="I21" s="22" t="n">
        <f aca="false">листопад!I21</f>
        <v>4.1</v>
      </c>
      <c r="J21" s="23" t="n">
        <f aca="false">ROUND(G21*I21,2)</f>
        <v>155.14</v>
      </c>
      <c r="K21" s="19"/>
      <c r="L21" s="19"/>
      <c r="M21" s="19"/>
      <c r="N21" s="19" t="n">
        <f aca="false">ROUND((G21*I21)-K21-L21-M21,2)</f>
        <v>155.14</v>
      </c>
      <c r="O21" s="19"/>
      <c r="P21" s="25" t="n">
        <f aca="false">IF(D21=0,IF((N21-E21-O21)&gt;0,(N21-E21-O21),0),IF((D21+N21-O21)&gt;0,(D21+N21-O21),0))</f>
        <v>5119.58</v>
      </c>
      <c r="Q21" s="25" t="n">
        <f aca="false">IF(E21=0,IF((D21+N21-O21)&lt;0,ABS(D21+N21-O21),0),IF((N21-E21-O21)&lt;0,ABS(N21-E21-O21),0))</f>
        <v>0</v>
      </c>
    </row>
    <row r="22" customFormat="false" ht="15" hidden="false" customHeight="false" outlineLevel="0" collapsed="false">
      <c r="A22" s="17" t="s">
        <v>62</v>
      </c>
      <c r="B22" s="18" t="str">
        <f aca="false">листопад!B22</f>
        <v>Ряба Л.І</v>
      </c>
      <c r="C22" s="18" t="str">
        <f aca="false">листопад!C22</f>
        <v>1014</v>
      </c>
      <c r="D22" s="19" t="n">
        <f aca="false">листопад!P22</f>
        <v>1231.96</v>
      </c>
      <c r="E22" s="19" t="n">
        <f aca="false">листопад!Q22</f>
        <v>0</v>
      </c>
      <c r="F22" s="20" t="n">
        <f aca="false">листопад!F22</f>
        <v>0</v>
      </c>
      <c r="G22" s="21" t="n">
        <f aca="false">листопад!G22</f>
        <v>49.24</v>
      </c>
      <c r="H22" s="21" t="n">
        <f aca="false">листопад!H22</f>
        <v>0</v>
      </c>
      <c r="I22" s="22" t="n">
        <f aca="false">листопад!I22</f>
        <v>4.1</v>
      </c>
      <c r="J22" s="23" t="n">
        <f aca="false">ROUND(G22*I22,2)</f>
        <v>201.88</v>
      </c>
      <c r="K22" s="19"/>
      <c r="L22" s="19"/>
      <c r="M22" s="19"/>
      <c r="N22" s="19" t="n">
        <f aca="false">ROUND((G22*I22)-K22-L22-M22,2)</f>
        <v>201.88</v>
      </c>
      <c r="O22" s="19"/>
      <c r="P22" s="25" t="n">
        <f aca="false">IF(D22=0,IF((N22-E22-O22)&gt;0,(N22-E22-O22),0),IF((D22+N22-O22)&gt;0,(D22+N22-O22),0))</f>
        <v>1433.84</v>
      </c>
      <c r="Q22" s="25" t="n">
        <f aca="false">IF(E22=0,IF((D22+N22-O22)&lt;0,ABS(D22+N22-O22),0),IF((N22-E22-O22)&lt;0,ABS(N22-E22-O22),0))</f>
        <v>0</v>
      </c>
    </row>
    <row r="23" customFormat="false" ht="15" hidden="false" customHeight="false" outlineLevel="0" collapsed="false">
      <c r="A23" s="17" t="s">
        <v>65</v>
      </c>
      <c r="B23" s="18" t="str">
        <f aca="false">листопад!B23</f>
        <v>Кас'янова О.А.</v>
      </c>
      <c r="C23" s="18" t="str">
        <f aca="false">листопад!C23</f>
        <v>1015</v>
      </c>
      <c r="D23" s="19" t="n">
        <f aca="false">листопад!P23</f>
        <v>2492.05</v>
      </c>
      <c r="E23" s="19" t="n">
        <f aca="false">листопад!Q23</f>
        <v>0</v>
      </c>
      <c r="F23" s="20" t="n">
        <f aca="false">листопад!F23</f>
        <v>0</v>
      </c>
      <c r="G23" s="21" t="n">
        <f aca="false">листопад!G23</f>
        <v>35.1</v>
      </c>
      <c r="H23" s="21" t="n">
        <f aca="false">листопад!H23</f>
        <v>0</v>
      </c>
      <c r="I23" s="22" t="n">
        <f aca="false">листопад!I23</f>
        <v>4.1</v>
      </c>
      <c r="J23" s="23" t="n">
        <f aca="false">ROUND(G23*I23,2)</f>
        <v>143.91</v>
      </c>
      <c r="K23" s="19"/>
      <c r="L23" s="19"/>
      <c r="M23" s="19"/>
      <c r="N23" s="19" t="n">
        <f aca="false">ROUND((G23*I23)-K23-L23-M23,2)</f>
        <v>143.91</v>
      </c>
      <c r="O23" s="19"/>
      <c r="P23" s="25" t="n">
        <f aca="false">IF(D23=0,IF((N23-E23-O23)&gt;0,(N23-E23-O23),0),IF((D23+N23-O23)&gt;0,(D23+N23-O23),0))</f>
        <v>2635.96</v>
      </c>
      <c r="Q23" s="25" t="n">
        <f aca="false">IF(E23=0,IF((D23+N23-O23)&lt;0,ABS(D23+N23-O23),0),IF((N23-E23-O23)&lt;0,ABS(N23-E23-O23),0))</f>
        <v>0</v>
      </c>
    </row>
    <row r="24" customFormat="false" ht="15" hidden="false" customHeight="false" outlineLevel="0" collapsed="false">
      <c r="A24" s="17" t="s">
        <v>68</v>
      </c>
      <c r="B24" s="18" t="str">
        <f aca="false">листопад!B24</f>
        <v>Корякіна М.В.</v>
      </c>
      <c r="C24" s="18" t="str">
        <f aca="false">листопад!C24</f>
        <v>1016</v>
      </c>
      <c r="D24" s="19" t="n">
        <f aca="false">листопад!P24</f>
        <v>1522.74</v>
      </c>
      <c r="E24" s="19" t="n">
        <f aca="false">листопад!Q24</f>
        <v>0</v>
      </c>
      <c r="F24" s="20" t="n">
        <f aca="false">листопад!F24</f>
        <v>0</v>
      </c>
      <c r="G24" s="21" t="n">
        <f aca="false">листопад!G24</f>
        <v>61.9</v>
      </c>
      <c r="H24" s="21" t="n">
        <f aca="false">листопад!H24</f>
        <v>0</v>
      </c>
      <c r="I24" s="22" t="n">
        <f aca="false">листопад!I24</f>
        <v>4.1</v>
      </c>
      <c r="J24" s="23" t="n">
        <f aca="false">ROUND(G24*I24,2)</f>
        <v>253.79</v>
      </c>
      <c r="K24" s="19"/>
      <c r="L24" s="19"/>
      <c r="M24" s="19"/>
      <c r="N24" s="19" t="n">
        <f aca="false">ROUND((G24*I24)-K24-L24-M24,2)</f>
        <v>253.79</v>
      </c>
      <c r="O24" s="19"/>
      <c r="P24" s="25" t="n">
        <f aca="false">IF(D24=0,IF((N24-E24-O24)&gt;0,(N24-E24-O24),0),IF((D24+N24-O24)&gt;0,(D24+N24-O24),0))</f>
        <v>1776.53</v>
      </c>
      <c r="Q24" s="25" t="n">
        <f aca="false">IF(E24=0,IF((D24+N24-O24)&lt;0,ABS(D24+N24-O24),0),IF((N24-E24-O24)&lt;0,ABS(N24-E24-O24),0))</f>
        <v>0</v>
      </c>
    </row>
    <row r="25" customFormat="false" ht="15" hidden="false" customHeight="false" outlineLevel="0" collapsed="false">
      <c r="A25" s="17" t="s">
        <v>71</v>
      </c>
      <c r="B25" s="18" t="str">
        <f aca="false">листопад!B25</f>
        <v>Сокерчак А.В.</v>
      </c>
      <c r="C25" s="18" t="str">
        <f aca="false">листопад!C25</f>
        <v>1017</v>
      </c>
      <c r="D25" s="19" t="n">
        <f aca="false">листопад!P25</f>
        <v>2174.64</v>
      </c>
      <c r="E25" s="19" t="n">
        <f aca="false">листопад!Q25</f>
        <v>0</v>
      </c>
      <c r="F25" s="20" t="n">
        <f aca="false">листопад!F25</f>
        <v>0</v>
      </c>
      <c r="G25" s="21" t="n">
        <f aca="false">листопад!G25</f>
        <v>66.3</v>
      </c>
      <c r="H25" s="21" t="n">
        <f aca="false">листопад!H25</f>
        <v>0</v>
      </c>
      <c r="I25" s="22" t="n">
        <f aca="false">листопад!I25</f>
        <v>4.1</v>
      </c>
      <c r="J25" s="23" t="n">
        <f aca="false">ROUND(G25*I25,2)</f>
        <v>271.83</v>
      </c>
      <c r="K25" s="19"/>
      <c r="L25" s="19"/>
      <c r="M25" s="19"/>
      <c r="N25" s="19" t="n">
        <f aca="false">ROUND((G25*I25)-K25-L25-M25,2)</f>
        <v>271.83</v>
      </c>
      <c r="O25" s="19"/>
      <c r="P25" s="25" t="n">
        <f aca="false">IF(D25=0,IF((N25-E25-O25)&gt;0,(N25-E25-O25),0),IF((D25+N25-O25)&gt;0,(D25+N25-O25),0))</f>
        <v>2446.47</v>
      </c>
      <c r="Q25" s="25" t="n">
        <f aca="false">IF(E25=0,IF((D25+N25-O25)&lt;0,ABS(D25+N25-O25),0),IF((N25-E25-O25)&lt;0,ABS(N25-E25-O25),0))</f>
        <v>0</v>
      </c>
    </row>
    <row r="26" customFormat="false" ht="15" hidden="false" customHeight="false" outlineLevel="0" collapsed="false">
      <c r="A26" s="17" t="s">
        <v>74</v>
      </c>
      <c r="B26" s="18" t="str">
        <f aca="false">листопад!B26</f>
        <v>Кравченко В.А</v>
      </c>
      <c r="C26" s="18" t="str">
        <f aca="false">листопад!C26</f>
        <v>1018</v>
      </c>
      <c r="D26" s="19" t="n">
        <f aca="false">листопад!P26</f>
        <v>493.56</v>
      </c>
      <c r="E26" s="19" t="n">
        <f aca="false">листопад!Q26</f>
        <v>0</v>
      </c>
      <c r="F26" s="20" t="n">
        <f aca="false">листопад!F26</f>
        <v>0</v>
      </c>
      <c r="G26" s="21" t="n">
        <f aca="false">листопад!G26</f>
        <v>51.48</v>
      </c>
      <c r="H26" s="21" t="n">
        <f aca="false">листопад!H26</f>
        <v>0</v>
      </c>
      <c r="I26" s="22" t="n">
        <f aca="false">листопад!I26</f>
        <v>4.1</v>
      </c>
      <c r="J26" s="23" t="n">
        <f aca="false">ROUND(G26*I26,2)</f>
        <v>211.07</v>
      </c>
      <c r="K26" s="19"/>
      <c r="L26" s="19"/>
      <c r="M26" s="19"/>
      <c r="N26" s="19" t="n">
        <f aca="false">ROUND((G26*I26)-K26-L26-M26,2)</f>
        <v>211.07</v>
      </c>
      <c r="O26" s="19"/>
      <c r="P26" s="25" t="n">
        <f aca="false">IF(D26=0,IF((N26-E26-O26)&gt;0,(N26-E26-O26),0),IF((D26+N26-O26)&gt;0,(D26+N26-O26),0))</f>
        <v>704.63</v>
      </c>
      <c r="Q26" s="25" t="n">
        <f aca="false">IF(E26=0,IF((D26+N26-O26)&lt;0,ABS(D26+N26-O26),0),IF((N26-E26-O26)&lt;0,ABS(N26-E26-O26),0))</f>
        <v>0</v>
      </c>
    </row>
    <row r="27" customFormat="false" ht="15" hidden="false" customHeight="false" outlineLevel="0" collapsed="false">
      <c r="A27" s="17" t="s">
        <v>77</v>
      </c>
      <c r="B27" s="18" t="str">
        <f aca="false">листопад!B27</f>
        <v>Чичикало А.С</v>
      </c>
      <c r="C27" s="18" t="str">
        <f aca="false">листопад!C27</f>
        <v>1019</v>
      </c>
      <c r="D27" s="19" t="n">
        <f aca="false">листопад!P27</f>
        <v>831.39</v>
      </c>
      <c r="E27" s="19" t="n">
        <f aca="false">листопад!Q27</f>
        <v>0</v>
      </c>
      <c r="F27" s="20" t="n">
        <f aca="false">листопад!F27</f>
        <v>0</v>
      </c>
      <c r="G27" s="21" t="n">
        <f aca="false">листопад!G27</f>
        <v>35.1</v>
      </c>
      <c r="H27" s="21" t="n">
        <f aca="false">листопад!H27</f>
        <v>0</v>
      </c>
      <c r="I27" s="22" t="n">
        <f aca="false">листопад!I27</f>
        <v>4.1</v>
      </c>
      <c r="J27" s="23" t="n">
        <f aca="false">ROUND(G27*I27,2)</f>
        <v>143.91</v>
      </c>
      <c r="K27" s="19"/>
      <c r="L27" s="19"/>
      <c r="M27" s="19"/>
      <c r="N27" s="19" t="n">
        <f aca="false">ROUND((G27*I27)-K27-L27-M27,2)</f>
        <v>143.91</v>
      </c>
      <c r="O27" s="19"/>
      <c r="P27" s="25" t="n">
        <f aca="false">IF(D27=0,IF((N27-E27-O27)&gt;0,(N27-E27-O27),0),IF((D27+N27-O27)&gt;0,(D27+N27-O27),0))</f>
        <v>975.3</v>
      </c>
      <c r="Q27" s="25" t="n">
        <f aca="false">IF(E27=0,IF((D27+N27-O27)&lt;0,ABS(D27+N27-O27),0),IF((N27-E27-O27)&lt;0,ABS(N27-E27-O27),0))</f>
        <v>0</v>
      </c>
    </row>
    <row r="28" customFormat="false" ht="15" hidden="false" customHeight="false" outlineLevel="0" collapsed="false">
      <c r="A28" s="17" t="s">
        <v>80</v>
      </c>
      <c r="B28" s="18" t="str">
        <f aca="false">листопад!B28</f>
        <v>Сільващук А.А</v>
      </c>
      <c r="C28" s="18" t="str">
        <f aca="false">листопад!C28</f>
        <v>1020</v>
      </c>
      <c r="D28" s="19" t="n">
        <f aca="false">листопад!P28</f>
        <v>771.209999999999</v>
      </c>
      <c r="E28" s="19" t="n">
        <f aca="false">листопад!Q28</f>
        <v>0</v>
      </c>
      <c r="F28" s="20" t="n">
        <f aca="false">листопад!F28</f>
        <v>0</v>
      </c>
      <c r="G28" s="21" t="n">
        <f aca="false">листопад!G28</f>
        <v>62.7</v>
      </c>
      <c r="H28" s="21" t="n">
        <f aca="false">листопад!H28</f>
        <v>0</v>
      </c>
      <c r="I28" s="22" t="n">
        <f aca="false">листопад!I28</f>
        <v>4.1</v>
      </c>
      <c r="J28" s="23" t="n">
        <f aca="false">ROUND(G28*I28,2)</f>
        <v>257.07</v>
      </c>
      <c r="K28" s="19"/>
      <c r="L28" s="19"/>
      <c r="M28" s="19"/>
      <c r="N28" s="19" t="n">
        <f aca="false">ROUND((G28*I28)-K28-L28-M28,2)</f>
        <v>257.07</v>
      </c>
      <c r="O28" s="19"/>
      <c r="P28" s="25" t="n">
        <f aca="false">IF(D28=0,IF((N28-E28-O28)&gt;0,(N28-E28-O28),0),IF((D28+N28-O28)&gt;0,(D28+N28-O28),0))</f>
        <v>1028.28</v>
      </c>
      <c r="Q28" s="25" t="n">
        <f aca="false">IF(E28=0,IF((D28+N28-O28)&lt;0,ABS(D28+N28-O28),0),IF((N28-E28-O28)&lt;0,ABS(N28-E28-O28),0))</f>
        <v>0</v>
      </c>
    </row>
    <row r="29" customFormat="false" ht="15" hidden="false" customHeight="false" outlineLevel="0" collapsed="false">
      <c r="A29" s="17" t="s">
        <v>83</v>
      </c>
      <c r="B29" s="18" t="str">
        <f aca="false">листопад!B29</f>
        <v>Стеценко Г.М</v>
      </c>
      <c r="C29" s="18" t="str">
        <f aca="false">листопад!C29</f>
        <v>1021</v>
      </c>
      <c r="D29" s="19" t="n">
        <f aca="false">листопад!P29</f>
        <v>2249.64</v>
      </c>
      <c r="E29" s="19" t="n">
        <f aca="false">листопад!Q29</f>
        <v>0</v>
      </c>
      <c r="F29" s="20" t="n">
        <f aca="false">листопад!F29</f>
        <v>0</v>
      </c>
      <c r="G29" s="21" t="n">
        <f aca="false">листопад!G29</f>
        <v>65.32</v>
      </c>
      <c r="H29" s="21" t="n">
        <f aca="false">листопад!H29</f>
        <v>0</v>
      </c>
      <c r="I29" s="22" t="n">
        <f aca="false">листопад!I29</f>
        <v>4.1</v>
      </c>
      <c r="J29" s="23" t="n">
        <f aca="false">ROUND(G29*I29,2)</f>
        <v>267.81</v>
      </c>
      <c r="K29" s="19"/>
      <c r="L29" s="19"/>
      <c r="M29" s="19"/>
      <c r="N29" s="19" t="n">
        <f aca="false">ROUND((G29*I29)-K29-L29-M29,2)</f>
        <v>267.81</v>
      </c>
      <c r="O29" s="19"/>
      <c r="P29" s="25" t="n">
        <f aca="false">IF(D29=0,IF((N29-E29-O29)&gt;0,(N29-E29-O29),0),IF((D29+N29-O29)&gt;0,(D29+N29-O29),0))</f>
        <v>2517.45</v>
      </c>
      <c r="Q29" s="25" t="n">
        <f aca="false">IF(E29=0,IF((D29+N29-O29)&lt;0,ABS(D29+N29-O29),0),IF((N29-E29-O29)&lt;0,ABS(N29-E29-O29),0))</f>
        <v>0</v>
      </c>
    </row>
    <row r="30" customFormat="false" ht="15" hidden="false" customHeight="false" outlineLevel="0" collapsed="false">
      <c r="A30" s="17" t="s">
        <v>86</v>
      </c>
      <c r="B30" s="18" t="str">
        <f aca="false">листопад!B30</f>
        <v>Кирдячкіна П.А</v>
      </c>
      <c r="C30" s="18" t="str">
        <f aca="false">листопад!C30</f>
        <v>1022</v>
      </c>
      <c r="D30" s="19" t="n">
        <f aca="false">листопад!P30</f>
        <v>1741.63</v>
      </c>
      <c r="E30" s="19" t="n">
        <f aca="false">листопад!Q30</f>
        <v>0</v>
      </c>
      <c r="F30" s="20" t="n">
        <f aca="false">листопад!F30</f>
        <v>0</v>
      </c>
      <c r="G30" s="21" t="n">
        <f aca="false">листопад!G30</f>
        <v>49.7</v>
      </c>
      <c r="H30" s="21" t="n">
        <f aca="false">листопад!H30</f>
        <v>0</v>
      </c>
      <c r="I30" s="22" t="n">
        <f aca="false">листопад!I30</f>
        <v>4.1</v>
      </c>
      <c r="J30" s="23" t="n">
        <f aca="false">ROUND(G30*I30,2)</f>
        <v>203.77</v>
      </c>
      <c r="K30" s="19"/>
      <c r="L30" s="19"/>
      <c r="M30" s="19"/>
      <c r="N30" s="19" t="n">
        <f aca="false">ROUND((G30*I30)-K30-L30-M30,2)</f>
        <v>203.77</v>
      </c>
      <c r="O30" s="19"/>
      <c r="P30" s="25" t="n">
        <f aca="false">IF(D30=0,IF((N30-E30-O30)&gt;0,(N30-E30-O30),0),IF((D30+N30-O30)&gt;0,(D30+N30-O30),0))</f>
        <v>1945.4</v>
      </c>
      <c r="Q30" s="25" t="n">
        <f aca="false">IF(E30=0,IF((D30+N30-O30)&lt;0,ABS(D30+N30-O30),0),IF((N30-E30-O30)&lt;0,ABS(N30-E30-O30),0))</f>
        <v>0</v>
      </c>
    </row>
    <row r="31" customFormat="false" ht="15" hidden="false" customHeight="false" outlineLevel="0" collapsed="false">
      <c r="A31" s="17" t="s">
        <v>89</v>
      </c>
      <c r="B31" s="18" t="str">
        <f aca="false">листопад!B31</f>
        <v>Фоміченко Л.А</v>
      </c>
      <c r="C31" s="18" t="str">
        <f aca="false">листопад!C31</f>
        <v>1023</v>
      </c>
      <c r="D31" s="19" t="n">
        <f aca="false">листопад!P31</f>
        <v>1583.01</v>
      </c>
      <c r="E31" s="19" t="n">
        <f aca="false">листопад!Q31</f>
        <v>0</v>
      </c>
      <c r="F31" s="20" t="n">
        <f aca="false">листопад!F31</f>
        <v>0</v>
      </c>
      <c r="G31" s="21" t="n">
        <f aca="false">листопад!G31</f>
        <v>35.1</v>
      </c>
      <c r="H31" s="21" t="n">
        <f aca="false">листопад!H31</f>
        <v>0</v>
      </c>
      <c r="I31" s="22" t="n">
        <f aca="false">листопад!I31</f>
        <v>4.1</v>
      </c>
      <c r="J31" s="23" t="n">
        <f aca="false">ROUND(G31*I31,2)</f>
        <v>143.91</v>
      </c>
      <c r="K31" s="19"/>
      <c r="L31" s="19"/>
      <c r="M31" s="19"/>
      <c r="N31" s="19" t="n">
        <f aca="false">ROUND((G31*I31)-K31-L31-M31,2)</f>
        <v>143.91</v>
      </c>
      <c r="O31" s="19"/>
      <c r="P31" s="25" t="n">
        <f aca="false">IF(D31=0,IF((N31-E31-O31)&gt;0,(N31-E31-O31),0),IF((D31+N31-O31)&gt;0,(D31+N31-O31),0))</f>
        <v>1726.92</v>
      </c>
      <c r="Q31" s="25" t="n">
        <f aca="false">IF(E31=0,IF((D31+N31-O31)&lt;0,ABS(D31+N31-O31),0),IF((N31-E31-O31)&lt;0,ABS(N31-E31-O31),0))</f>
        <v>0</v>
      </c>
    </row>
    <row r="32" customFormat="false" ht="15" hidden="false" customHeight="false" outlineLevel="0" collapsed="false">
      <c r="A32" s="17" t="s">
        <v>92</v>
      </c>
      <c r="B32" s="18" t="str">
        <f aca="false">листопад!B32</f>
        <v>Сердюк А.Г</v>
      </c>
      <c r="C32" s="18" t="str">
        <f aca="false">листопад!C32</f>
        <v>1024</v>
      </c>
      <c r="D32" s="19" t="n">
        <f aca="false">листопад!P32</f>
        <v>2038.78</v>
      </c>
      <c r="E32" s="19" t="n">
        <f aca="false">листопад!Q32</f>
        <v>0</v>
      </c>
      <c r="F32" s="20" t="n">
        <f aca="false">листопад!F32</f>
        <v>0</v>
      </c>
      <c r="G32" s="21" t="n">
        <f aca="false">листопад!G32</f>
        <v>62.31</v>
      </c>
      <c r="H32" s="21" t="n">
        <f aca="false">листопад!H32</f>
        <v>0</v>
      </c>
      <c r="I32" s="22" t="n">
        <f aca="false">листопад!I32</f>
        <v>4.1</v>
      </c>
      <c r="J32" s="23" t="n">
        <f aca="false">ROUND(G32*I32,2)</f>
        <v>255.47</v>
      </c>
      <c r="K32" s="19"/>
      <c r="L32" s="19"/>
      <c r="M32" s="19"/>
      <c r="N32" s="19" t="n">
        <f aca="false">ROUND((G32*I32)-K32-L32-M32,2)</f>
        <v>255.47</v>
      </c>
      <c r="O32" s="19"/>
      <c r="P32" s="25" t="n">
        <f aca="false">IF(D32=0,IF((N32-E32-O32)&gt;0,(N32-E32-O32),0),IF((D32+N32-O32)&gt;0,(D32+N32-O32),0))</f>
        <v>2294.25</v>
      </c>
      <c r="Q32" s="25" t="n">
        <f aca="false">IF(E32=0,IF((D32+N32-O32)&lt;0,ABS(D32+N32-O32),0),IF((N32-E32-O32)&lt;0,ABS(N32-E32-O32),0))</f>
        <v>0</v>
      </c>
    </row>
    <row r="33" customFormat="false" ht="15" hidden="false" customHeight="false" outlineLevel="0" collapsed="false">
      <c r="A33" s="17" t="s">
        <v>95</v>
      </c>
      <c r="B33" s="18" t="str">
        <f aca="false">листопад!B33</f>
        <v>Михальченко Г.М</v>
      </c>
      <c r="C33" s="18" t="str">
        <f aca="false">листопад!C33</f>
        <v>1025</v>
      </c>
      <c r="D33" s="19" t="n">
        <f aca="false">листопад!P33</f>
        <v>5720.74</v>
      </c>
      <c r="E33" s="19" t="n">
        <f aca="false">листопад!Q33</f>
        <v>0</v>
      </c>
      <c r="F33" s="20" t="n">
        <f aca="false">листопад!F33</f>
        <v>0</v>
      </c>
      <c r="G33" s="21" t="n">
        <f aca="false">листопад!G33</f>
        <v>65.04</v>
      </c>
      <c r="H33" s="21" t="n">
        <f aca="false">листопад!H33</f>
        <v>0</v>
      </c>
      <c r="I33" s="22" t="n">
        <f aca="false">листопад!I33</f>
        <v>4.1</v>
      </c>
      <c r="J33" s="23" t="n">
        <f aca="false">ROUND(G33*I33,2)</f>
        <v>266.66</v>
      </c>
      <c r="K33" s="19"/>
      <c r="L33" s="19"/>
      <c r="M33" s="19"/>
      <c r="N33" s="19" t="n">
        <f aca="false">ROUND((G33*I33)-K33-L33-M33,2)</f>
        <v>266.66</v>
      </c>
      <c r="O33" s="19"/>
      <c r="P33" s="25" t="n">
        <f aca="false">IF(D33=0,IF((N33-E33-O33)&gt;0,(N33-E33-O33),0),IF((D33+N33-O33)&gt;0,(D33+N33-O33),0))</f>
        <v>5987.4</v>
      </c>
      <c r="Q33" s="25" t="n">
        <f aca="false">IF(E33=0,IF((D33+N33-O33)&lt;0,ABS(D33+N33-O33),0),IF((N33-E33-O33)&lt;0,ABS(N33-E33-O33),0))</f>
        <v>0</v>
      </c>
    </row>
    <row r="34" customFormat="false" ht="15" hidden="false" customHeight="false" outlineLevel="0" collapsed="false">
      <c r="A34" s="17" t="s">
        <v>98</v>
      </c>
      <c r="B34" s="18" t="str">
        <f aca="false">листопад!B34</f>
        <v>Замуховська Я.С</v>
      </c>
      <c r="C34" s="18" t="str">
        <f aca="false">листопад!C34</f>
        <v>1026</v>
      </c>
      <c r="D34" s="19" t="n">
        <f aca="false">листопад!P34</f>
        <v>3282.95</v>
      </c>
      <c r="E34" s="19" t="n">
        <f aca="false">листопад!Q34</f>
        <v>0</v>
      </c>
      <c r="F34" s="20" t="n">
        <f aca="false">листопад!F34</f>
        <v>0</v>
      </c>
      <c r="G34" s="21" t="n">
        <f aca="false">листопад!G34</f>
        <v>49.8</v>
      </c>
      <c r="H34" s="21" t="n">
        <f aca="false">листопад!H34</f>
        <v>0</v>
      </c>
      <c r="I34" s="22" t="n">
        <f aca="false">листопад!I34</f>
        <v>4.1</v>
      </c>
      <c r="J34" s="23" t="n">
        <f aca="false">ROUND(G34*I34,2)</f>
        <v>204.18</v>
      </c>
      <c r="K34" s="19"/>
      <c r="L34" s="19"/>
      <c r="M34" s="19"/>
      <c r="N34" s="19" t="n">
        <f aca="false">ROUND((G34*I34)-K34-L34-M34,2)</f>
        <v>204.18</v>
      </c>
      <c r="O34" s="19"/>
      <c r="P34" s="25" t="n">
        <f aca="false">IF(D34=0,IF((N34-E34-O34)&gt;0,(N34-E34-O34),0),IF((D34+N34-O34)&gt;0,(D34+N34-O34),0))</f>
        <v>3487.13</v>
      </c>
      <c r="Q34" s="25" t="n">
        <f aca="false">IF(E34=0,IF((D34+N34-O34)&lt;0,ABS(D34+N34-O34),0),IF((N34-E34-O34)&lt;0,ABS(N34-E34-O34),0))</f>
        <v>0</v>
      </c>
    </row>
    <row r="35" customFormat="false" ht="15" hidden="false" customHeight="false" outlineLevel="0" collapsed="false">
      <c r="A35" s="17" t="s">
        <v>101</v>
      </c>
      <c r="B35" s="18" t="str">
        <f aca="false">листопад!B35</f>
        <v>Мержиєвська Г.К</v>
      </c>
      <c r="C35" s="18" t="str">
        <f aca="false">листопад!C35</f>
        <v>1027</v>
      </c>
      <c r="D35" s="19" t="n">
        <f aca="false">листопад!P35</f>
        <v>105.1</v>
      </c>
      <c r="E35" s="19" t="n">
        <f aca="false">листопад!Q35</f>
        <v>0</v>
      </c>
      <c r="F35" s="20" t="n">
        <f aca="false">листопад!F35</f>
        <v>0</v>
      </c>
      <c r="G35" s="21" t="n">
        <f aca="false">листопад!G35</f>
        <v>35.17</v>
      </c>
      <c r="H35" s="21" t="n">
        <f aca="false">листопад!H35</f>
        <v>0</v>
      </c>
      <c r="I35" s="22" t="n">
        <f aca="false">листопад!I35</f>
        <v>4.1</v>
      </c>
      <c r="J35" s="23" t="n">
        <f aca="false">ROUND(G35*I35,2)</f>
        <v>144.2</v>
      </c>
      <c r="K35" s="19"/>
      <c r="L35" s="19"/>
      <c r="M35" s="19"/>
      <c r="N35" s="19" t="n">
        <f aca="false">ROUND((G35*I35)-K35-L35-M35,2)</f>
        <v>144.2</v>
      </c>
      <c r="O35" s="19"/>
      <c r="P35" s="25" t="n">
        <f aca="false">IF(D35=0,IF((N35-E35-O35)&gt;0,(N35-E35-O35),0),IF((D35+N35-O35)&gt;0,(D35+N35-O35),0))</f>
        <v>249.3</v>
      </c>
      <c r="Q35" s="25" t="n">
        <f aca="false">IF(E35=0,IF((D35+N35-O35)&lt;0,ABS(D35+N35-O35),0),IF((N35-E35-O35)&lt;0,ABS(N35-E35-O35),0))</f>
        <v>0</v>
      </c>
    </row>
    <row r="36" customFormat="false" ht="15" hidden="false" customHeight="false" outlineLevel="0" collapsed="false">
      <c r="A36" s="17" t="s">
        <v>104</v>
      </c>
      <c r="B36" s="18" t="str">
        <f aca="false">листопад!B36</f>
        <v>Кулакова Л.В.</v>
      </c>
      <c r="C36" s="18" t="str">
        <f aca="false">листопад!C36</f>
        <v>1028</v>
      </c>
      <c r="D36" s="19" t="n">
        <f aca="false">листопад!P36</f>
        <v>2790.74</v>
      </c>
      <c r="E36" s="19" t="n">
        <f aca="false">листопад!Q36</f>
        <v>0</v>
      </c>
      <c r="F36" s="20" t="n">
        <f aca="false">листопад!F36</f>
        <v>0</v>
      </c>
      <c r="G36" s="21" t="n">
        <f aca="false">листопад!G36</f>
        <v>62.47</v>
      </c>
      <c r="H36" s="21" t="n">
        <f aca="false">листопад!H36</f>
        <v>0</v>
      </c>
      <c r="I36" s="22" t="n">
        <f aca="false">листопад!I36</f>
        <v>4.1</v>
      </c>
      <c r="J36" s="23" t="n">
        <f aca="false">ROUND(G36*I36,2)</f>
        <v>256.13</v>
      </c>
      <c r="K36" s="19"/>
      <c r="L36" s="19"/>
      <c r="M36" s="19"/>
      <c r="N36" s="19" t="n">
        <f aca="false">ROUND((G36*I36)-K36-L36-M36,2)</f>
        <v>256.13</v>
      </c>
      <c r="O36" s="19"/>
      <c r="P36" s="25" t="n">
        <f aca="false">IF(D36=0,IF((N36-E36-O36)&gt;0,(N36-E36-O36),0),IF((D36+N36-O36)&gt;0,(D36+N36-O36),0))</f>
        <v>3046.87</v>
      </c>
      <c r="Q36" s="25" t="n">
        <f aca="false">IF(E36=0,IF((D36+N36-O36)&lt;0,ABS(D36+N36-O36),0),IF((N36-E36-O36)&lt;0,ABS(N36-E36-O36),0))</f>
        <v>0</v>
      </c>
    </row>
    <row r="37" customFormat="false" ht="15" hidden="false" customHeight="false" outlineLevel="0" collapsed="false">
      <c r="A37" s="17" t="s">
        <v>107</v>
      </c>
      <c r="B37" s="18" t="str">
        <f aca="false">листопад!B37</f>
        <v>Бочаров В.Л.</v>
      </c>
      <c r="C37" s="18" t="str">
        <f aca="false">листопад!C37</f>
        <v>1029</v>
      </c>
      <c r="D37" s="19" t="n">
        <f aca="false">листопад!P37</f>
        <v>4444.02</v>
      </c>
      <c r="E37" s="19" t="n">
        <f aca="false">листопад!Q37</f>
        <v>0</v>
      </c>
      <c r="F37" s="20" t="n">
        <f aca="false">листопад!F37</f>
        <v>0</v>
      </c>
      <c r="G37" s="21" t="n">
        <f aca="false">листопад!G37</f>
        <v>65.75</v>
      </c>
      <c r="H37" s="21" t="n">
        <f aca="false">листопад!H37</f>
        <v>0</v>
      </c>
      <c r="I37" s="22" t="n">
        <f aca="false">листопад!I37</f>
        <v>4.1</v>
      </c>
      <c r="J37" s="23" t="n">
        <f aca="false">ROUND(G37*I37,2)</f>
        <v>269.58</v>
      </c>
      <c r="K37" s="19"/>
      <c r="L37" s="19"/>
      <c r="M37" s="19"/>
      <c r="N37" s="19" t="n">
        <f aca="false">ROUND((G37*I37)-K37-L37-M37,2)</f>
        <v>269.58</v>
      </c>
      <c r="O37" s="19"/>
      <c r="P37" s="25" t="n">
        <f aca="false">IF(D37=0,IF((N37-E37-O37)&gt;0,(N37-E37-O37),0),IF((D37+N37-O37)&gt;0,(D37+N37-O37),0))</f>
        <v>4713.6</v>
      </c>
      <c r="Q37" s="25" t="n">
        <f aca="false">IF(E37=0,IF((D37+N37-O37)&lt;0,ABS(D37+N37-O37),0),IF((N37-E37-O37)&lt;0,ABS(N37-E37-O37),0))</f>
        <v>0</v>
      </c>
    </row>
    <row r="38" customFormat="false" ht="15" hidden="false" customHeight="false" outlineLevel="0" collapsed="false">
      <c r="A38" s="17" t="s">
        <v>110</v>
      </c>
      <c r="B38" s="18" t="str">
        <f aca="false">листопад!B38</f>
        <v>Лучков В.Л.</v>
      </c>
      <c r="C38" s="18" t="str">
        <f aca="false">листопад!C38</f>
        <v>1030</v>
      </c>
      <c r="D38" s="19" t="n">
        <f aca="false">листопад!P38</f>
        <v>4474.3</v>
      </c>
      <c r="E38" s="19" t="n">
        <f aca="false">листопад!Q38</f>
        <v>0</v>
      </c>
      <c r="F38" s="20" t="n">
        <f aca="false">листопад!F38</f>
        <v>0</v>
      </c>
      <c r="G38" s="21" t="n">
        <f aca="false">листопад!G38</f>
        <v>49.7</v>
      </c>
      <c r="H38" s="21" t="n">
        <f aca="false">листопад!H38</f>
        <v>0</v>
      </c>
      <c r="I38" s="22" t="n">
        <f aca="false">листопад!I38</f>
        <v>4.1</v>
      </c>
      <c r="J38" s="23" t="n">
        <f aca="false">ROUND(G38*I38,2)</f>
        <v>203.77</v>
      </c>
      <c r="K38" s="19"/>
      <c r="L38" s="19"/>
      <c r="M38" s="19"/>
      <c r="N38" s="19" t="n">
        <f aca="false">ROUND((G38*I38)-K38-L38-M38,2)</f>
        <v>203.77</v>
      </c>
      <c r="O38" s="19"/>
      <c r="P38" s="25" t="n">
        <f aca="false">IF(D38=0,IF((N38-E38-O38)&gt;0,(N38-E38-O38),0),IF((D38+N38-O38)&gt;0,(D38+N38-O38),0))</f>
        <v>4678.07</v>
      </c>
      <c r="Q38" s="25" t="n">
        <f aca="false">IF(E38=0,IF((D38+N38-O38)&lt;0,ABS(D38+N38-O38),0),IF((N38-E38-O38)&lt;0,ABS(N38-E38-O38),0))</f>
        <v>0</v>
      </c>
    </row>
    <row r="39" customFormat="false" ht="15" hidden="false" customHeight="false" outlineLevel="0" collapsed="false">
      <c r="A39" s="17" t="s">
        <v>113</v>
      </c>
      <c r="B39" s="18" t="str">
        <f aca="false">листопад!B39</f>
        <v>Кашкар Т.М.</v>
      </c>
      <c r="C39" s="18" t="str">
        <f aca="false">листопад!C39</f>
        <v>1031</v>
      </c>
      <c r="D39" s="19" t="n">
        <f aca="false">листопад!P39</f>
        <v>431.73</v>
      </c>
      <c r="E39" s="19" t="n">
        <f aca="false">листопад!Q39</f>
        <v>0</v>
      </c>
      <c r="F39" s="20" t="n">
        <f aca="false">листопад!F39</f>
        <v>0</v>
      </c>
      <c r="G39" s="21" t="n">
        <f aca="false">листопад!G39</f>
        <v>35.1</v>
      </c>
      <c r="H39" s="21" t="n">
        <f aca="false">листопад!H39</f>
        <v>0</v>
      </c>
      <c r="I39" s="22" t="n">
        <f aca="false">листопад!I39</f>
        <v>4.1</v>
      </c>
      <c r="J39" s="23" t="n">
        <f aca="false">ROUND(G39*I39,2)</f>
        <v>143.91</v>
      </c>
      <c r="K39" s="19"/>
      <c r="L39" s="19"/>
      <c r="M39" s="19"/>
      <c r="N39" s="19" t="n">
        <f aca="false">ROUND((G39*I39)-K39-L39-M39,2)</f>
        <v>143.91</v>
      </c>
      <c r="O39" s="19"/>
      <c r="P39" s="25" t="n">
        <f aca="false">IF(D39=0,IF((N39-E39-O39)&gt;0,(N39-E39-O39),0),IF((D39+N39-O39)&gt;0,(D39+N39-O39),0))</f>
        <v>575.64</v>
      </c>
      <c r="Q39" s="25" t="n">
        <f aca="false">IF(E39=0,IF((D39+N39-O39)&lt;0,ABS(D39+N39-O39),0),IF((N39-E39-O39)&lt;0,ABS(N39-E39-O39),0))</f>
        <v>0</v>
      </c>
    </row>
    <row r="40" customFormat="false" ht="15" hidden="false" customHeight="false" outlineLevel="0" collapsed="false">
      <c r="A40" s="17" t="s">
        <v>116</v>
      </c>
      <c r="B40" s="18" t="str">
        <f aca="false">листопад!B40</f>
        <v>Стецюк Н.П.</v>
      </c>
      <c r="C40" s="18" t="str">
        <f aca="false">листопад!C40</f>
        <v>1032</v>
      </c>
      <c r="D40" s="19" t="n">
        <f aca="false">листопад!P40</f>
        <v>4551.36</v>
      </c>
      <c r="E40" s="19" t="n">
        <f aca="false">листопад!Q40</f>
        <v>0</v>
      </c>
      <c r="F40" s="20" t="n">
        <f aca="false">листопад!F40</f>
        <v>0</v>
      </c>
      <c r="G40" s="21" t="n">
        <f aca="false">листопад!G40</f>
        <v>61.9</v>
      </c>
      <c r="H40" s="21" t="n">
        <f aca="false">листопад!H40</f>
        <v>0</v>
      </c>
      <c r="I40" s="22" t="n">
        <f aca="false">листопад!I40</f>
        <v>4.1</v>
      </c>
      <c r="J40" s="23" t="n">
        <f aca="false">ROUND(G40*I40,2)</f>
        <v>253.79</v>
      </c>
      <c r="K40" s="19"/>
      <c r="L40" s="19"/>
      <c r="M40" s="19"/>
      <c r="N40" s="19" t="n">
        <f aca="false">ROUND((G40*I40)-K40-L40-M40,2)</f>
        <v>253.79</v>
      </c>
      <c r="O40" s="19"/>
      <c r="P40" s="25" t="n">
        <f aca="false">IF(D40=0,IF((N40-E40-O40)&gt;0,(N40-E40-O40),0),IF((D40+N40-O40)&gt;0,(D40+N40-O40),0))</f>
        <v>4805.15</v>
      </c>
      <c r="Q40" s="25" t="n">
        <f aca="false">IF(E40=0,IF((D40+N40-O40)&lt;0,ABS(D40+N40-O40),0),IF((N40-E40-O40)&lt;0,ABS(N40-E40-O40),0))</f>
        <v>0</v>
      </c>
    </row>
    <row r="41" customFormat="false" ht="15" hidden="false" customHeight="false" outlineLevel="0" collapsed="false">
      <c r="A41" s="17" t="s">
        <v>119</v>
      </c>
      <c r="B41" s="18" t="str">
        <f aca="false">листопад!B41</f>
        <v>Маханько В.О.</v>
      </c>
      <c r="C41" s="18" t="str">
        <f aca="false">листопад!C41</f>
        <v>1033</v>
      </c>
      <c r="D41" s="19" t="n">
        <f aca="false">листопад!P41</f>
        <v>2844.66</v>
      </c>
      <c r="E41" s="19" t="n">
        <f aca="false">листопад!Q41</f>
        <v>0</v>
      </c>
      <c r="F41" s="20" t="n">
        <f aca="false">листопад!F41</f>
        <v>0</v>
      </c>
      <c r="G41" s="21" t="n">
        <f aca="false">листопад!G41</f>
        <v>65.53</v>
      </c>
      <c r="H41" s="21" t="n">
        <f aca="false">листопад!H41</f>
        <v>0</v>
      </c>
      <c r="I41" s="22" t="n">
        <f aca="false">листопад!I41</f>
        <v>4.1</v>
      </c>
      <c r="J41" s="23" t="n">
        <f aca="false">ROUND(G41*I41,2)</f>
        <v>268.67</v>
      </c>
      <c r="K41" s="19"/>
      <c r="L41" s="19"/>
      <c r="M41" s="19"/>
      <c r="N41" s="19" t="n">
        <f aca="false">ROUND((G41*I41)-K41-L41-M41,2)</f>
        <v>268.67</v>
      </c>
      <c r="O41" s="19"/>
      <c r="P41" s="25" t="n">
        <f aca="false">IF(D41=0,IF((N41-E41-O41)&gt;0,(N41-E41-O41),0),IF((D41+N41-O41)&gt;0,(D41+N41-O41),0))</f>
        <v>3113.33</v>
      </c>
      <c r="Q41" s="25" t="n">
        <f aca="false">IF(E41=0,IF((D41+N41-O41)&lt;0,ABS(D41+N41-O41),0),IF((N41-E41-O41)&lt;0,ABS(N41-E41-O41),0))</f>
        <v>0</v>
      </c>
    </row>
    <row r="42" customFormat="false" ht="15" hidden="false" customHeight="false" outlineLevel="0" collapsed="false">
      <c r="A42" s="17" t="s">
        <v>122</v>
      </c>
      <c r="B42" s="18" t="str">
        <f aca="false">листопад!B42</f>
        <v>Реуцька Р.С.</v>
      </c>
      <c r="C42" s="18" t="str">
        <f aca="false">листопад!C42</f>
        <v>1034</v>
      </c>
      <c r="D42" s="19" t="n">
        <f aca="false">листопад!P42</f>
        <v>3167.21</v>
      </c>
      <c r="E42" s="19" t="n">
        <f aca="false">листопад!Q42</f>
        <v>0</v>
      </c>
      <c r="F42" s="20" t="n">
        <f aca="false">листопад!F42</f>
        <v>0</v>
      </c>
      <c r="G42" s="21" t="n">
        <f aca="false">листопад!G42</f>
        <v>49.7</v>
      </c>
      <c r="H42" s="21" t="n">
        <f aca="false">листопад!H42</f>
        <v>0</v>
      </c>
      <c r="I42" s="22" t="n">
        <f aca="false">листопад!I42</f>
        <v>4.1</v>
      </c>
      <c r="J42" s="23" t="n">
        <f aca="false">ROUND(G42*I42,2)</f>
        <v>203.77</v>
      </c>
      <c r="K42" s="19"/>
      <c r="L42" s="19"/>
      <c r="M42" s="19"/>
      <c r="N42" s="19" t="n">
        <f aca="false">ROUND((G42*I42)-K42-L42-M42,2)</f>
        <v>203.77</v>
      </c>
      <c r="O42" s="19"/>
      <c r="P42" s="25" t="n">
        <f aca="false">IF(D42=0,IF((N42-E42-O42)&gt;0,(N42-E42-O42),0),IF((D42+N42-O42)&gt;0,(D42+N42-O42),0))</f>
        <v>3370.98</v>
      </c>
      <c r="Q42" s="25" t="n">
        <f aca="false">IF(E42=0,IF((D42+N42-O42)&lt;0,ABS(D42+N42-O42),0),IF((N42-E42-O42)&lt;0,ABS(N42-E42-O42),0))</f>
        <v>0</v>
      </c>
    </row>
    <row r="43" customFormat="false" ht="15" hidden="false" customHeight="false" outlineLevel="0" collapsed="false">
      <c r="A43" s="17" t="s">
        <v>125</v>
      </c>
      <c r="B43" s="18" t="str">
        <f aca="false">листопад!B43</f>
        <v>Колесникова Р.Г.</v>
      </c>
      <c r="C43" s="18" t="str">
        <f aca="false">листопад!C43</f>
        <v>1035</v>
      </c>
      <c r="D43" s="19" t="n">
        <f aca="false">листопад!P43</f>
        <v>1479.31</v>
      </c>
      <c r="E43" s="19" t="n">
        <f aca="false">листопад!Q43</f>
        <v>0</v>
      </c>
      <c r="F43" s="20" t="n">
        <f aca="false">листопад!F43</f>
        <v>0</v>
      </c>
      <c r="G43" s="21" t="n">
        <f aca="false">листопад!G43</f>
        <v>35.1</v>
      </c>
      <c r="H43" s="21" t="n">
        <f aca="false">листопад!H43</f>
        <v>0</v>
      </c>
      <c r="I43" s="22" t="n">
        <f aca="false">листопад!I43</f>
        <v>4.1</v>
      </c>
      <c r="J43" s="23" t="n">
        <f aca="false">ROUND(G43*I43,2)</f>
        <v>143.91</v>
      </c>
      <c r="K43" s="19"/>
      <c r="L43" s="19"/>
      <c r="M43" s="19"/>
      <c r="N43" s="19" t="n">
        <f aca="false">ROUND((G43*I43)-K43-L43-M43,2)</f>
        <v>143.91</v>
      </c>
      <c r="O43" s="19"/>
      <c r="P43" s="25" t="n">
        <f aca="false">IF(D43=0,IF((N43-E43-O43)&gt;0,(N43-E43-O43),0),IF((D43+N43-O43)&gt;0,(D43+N43-O43),0))</f>
        <v>1623.22</v>
      </c>
      <c r="Q43" s="25" t="n">
        <f aca="false">IF(E43=0,IF((D43+N43-O43)&lt;0,ABS(D43+N43-O43),0),IF((N43-E43-O43)&lt;0,ABS(N43-E43-O43),0))</f>
        <v>0</v>
      </c>
    </row>
    <row r="44" customFormat="false" ht="15" hidden="false" customHeight="false" outlineLevel="0" collapsed="false">
      <c r="A44" s="17" t="s">
        <v>128</v>
      </c>
      <c r="B44" s="18" t="str">
        <f aca="false">листопад!B44</f>
        <v>Кучеренко М.М.</v>
      </c>
      <c r="C44" s="18" t="str">
        <f aca="false">листопад!C44</f>
        <v>1036</v>
      </c>
      <c r="D44" s="19" t="n">
        <f aca="false">листопад!P44</f>
        <v>4878.64</v>
      </c>
      <c r="E44" s="19" t="n">
        <f aca="false">листопад!Q44</f>
        <v>0</v>
      </c>
      <c r="F44" s="20" t="n">
        <f aca="false">листопад!F44</f>
        <v>0</v>
      </c>
      <c r="G44" s="21" t="n">
        <f aca="false">листопад!G44</f>
        <v>61.88</v>
      </c>
      <c r="H44" s="21" t="n">
        <f aca="false">листопад!H44</f>
        <v>0</v>
      </c>
      <c r="I44" s="22" t="n">
        <f aca="false">листопад!I44</f>
        <v>4.1</v>
      </c>
      <c r="J44" s="23" t="n">
        <f aca="false">ROUND(G44*I44,2)</f>
        <v>253.71</v>
      </c>
      <c r="K44" s="19"/>
      <c r="L44" s="19"/>
      <c r="M44" s="19"/>
      <c r="N44" s="19" t="n">
        <f aca="false">ROUND((G44*I44)-K44-L44-M44,2)</f>
        <v>253.71</v>
      </c>
      <c r="O44" s="19"/>
      <c r="P44" s="25" t="n">
        <f aca="false">IF(D44=0,IF((N44-E44-O44)&gt;0,(N44-E44-O44),0),IF((D44+N44-O44)&gt;0,(D44+N44-O44),0))</f>
        <v>5132.35</v>
      </c>
      <c r="Q44" s="25" t="n">
        <f aca="false">IF(E44=0,IF((D44+N44-O44)&lt;0,ABS(D44+N44-O44),0),IF((N44-E44-O44)&lt;0,ABS(N44-E44-O44),0))</f>
        <v>0</v>
      </c>
    </row>
    <row r="45" customFormat="false" ht="15" hidden="false" customHeight="false" outlineLevel="0" collapsed="false">
      <c r="A45" s="17" t="s">
        <v>131</v>
      </c>
      <c r="B45" s="18" t="str">
        <f aca="false">листопад!B45</f>
        <v>Гурова О.М.</v>
      </c>
      <c r="C45" s="18" t="str">
        <f aca="false">листопад!C45</f>
        <v>2037</v>
      </c>
      <c r="D45" s="19" t="n">
        <f aca="false">листопад!P45</f>
        <v>448.63</v>
      </c>
      <c r="E45" s="19" t="n">
        <f aca="false">листопад!Q45</f>
        <v>0</v>
      </c>
      <c r="F45" s="20" t="n">
        <f aca="false">листопад!F45</f>
        <v>0</v>
      </c>
      <c r="G45" s="21" t="n">
        <f aca="false">листопад!G45</f>
        <v>62.2</v>
      </c>
      <c r="H45" s="21" t="n">
        <f aca="false">листопад!H45</f>
        <v>0</v>
      </c>
      <c r="I45" s="22" t="n">
        <f aca="false">листопад!I45</f>
        <v>4.1</v>
      </c>
      <c r="J45" s="23" t="n">
        <f aca="false">ROUND(G45*I45,2)</f>
        <v>255.02</v>
      </c>
      <c r="K45" s="19"/>
      <c r="L45" s="19"/>
      <c r="M45" s="19"/>
      <c r="N45" s="19" t="n">
        <f aca="false">ROUND((G45*I45)-K45-L45-M45,2)</f>
        <v>255.02</v>
      </c>
      <c r="O45" s="19"/>
      <c r="P45" s="25" t="n">
        <f aca="false">IF(D45=0,IF((N45-E45-O45)&gt;0,(N45-E45-O45),0),IF((D45+N45-O45)&gt;0,(D45+N45-O45),0))</f>
        <v>703.65</v>
      </c>
      <c r="Q45" s="25" t="n">
        <f aca="false">IF(E45=0,IF((D45+N45-O45)&lt;0,ABS(D45+N45-O45),0),IF((N45-E45-O45)&lt;0,ABS(N45-E45-O45),0))</f>
        <v>0</v>
      </c>
    </row>
    <row r="46" customFormat="false" ht="15" hidden="false" customHeight="false" outlineLevel="0" collapsed="false">
      <c r="A46" s="17" t="s">
        <v>134</v>
      </c>
      <c r="B46" s="18" t="str">
        <f aca="false">листопад!B46</f>
        <v>Федорова В.І.</v>
      </c>
      <c r="C46" s="18" t="str">
        <f aca="false">листопад!C46</f>
        <v>2038</v>
      </c>
      <c r="D46" s="19" t="n">
        <f aca="false">листопад!P46</f>
        <v>700.99</v>
      </c>
      <c r="E46" s="19" t="n">
        <f aca="false">листопад!Q46</f>
        <v>0</v>
      </c>
      <c r="F46" s="20" t="n">
        <f aca="false">листопад!F46</f>
        <v>0</v>
      </c>
      <c r="G46" s="21" t="n">
        <f aca="false">листопад!G46</f>
        <v>34.9</v>
      </c>
      <c r="H46" s="21" t="n">
        <f aca="false">листопад!H46</f>
        <v>0</v>
      </c>
      <c r="I46" s="22" t="n">
        <f aca="false">листопад!I46</f>
        <v>4.1</v>
      </c>
      <c r="J46" s="23" t="n">
        <f aca="false">ROUND(G46*I46,2)</f>
        <v>143.09</v>
      </c>
      <c r="K46" s="19"/>
      <c r="L46" s="19"/>
      <c r="M46" s="19"/>
      <c r="N46" s="19" t="n">
        <f aca="false">ROUND((G46*I46)-K46-L46-M46,2)</f>
        <v>143.09</v>
      </c>
      <c r="O46" s="19"/>
      <c r="P46" s="25" t="n">
        <f aca="false">IF(D46=0,IF((N46-E46-O46)&gt;0,(N46-E46-O46),0),IF((D46+N46-O46)&gt;0,(D46+N46-O46),0))</f>
        <v>844.08</v>
      </c>
      <c r="Q46" s="25" t="n">
        <f aca="false">IF(E46=0,IF((D46+N46-O46)&lt;0,ABS(D46+N46-O46),0),IF((N46-E46-O46)&lt;0,ABS(N46-E46-O46),0))</f>
        <v>0</v>
      </c>
    </row>
    <row r="47" customFormat="false" ht="15" hidden="false" customHeight="false" outlineLevel="0" collapsed="false">
      <c r="A47" s="17" t="s">
        <v>137</v>
      </c>
      <c r="B47" s="18" t="str">
        <f aca="false">листопад!B47</f>
        <v>Лаптєв В.І.</v>
      </c>
      <c r="C47" s="18" t="str">
        <f aca="false">листопад!C47</f>
        <v>2039</v>
      </c>
      <c r="D47" s="19" t="n">
        <f aca="false">листопад!P47</f>
        <v>800.220000000001</v>
      </c>
      <c r="E47" s="19" t="n">
        <f aca="false">листопад!Q47</f>
        <v>0</v>
      </c>
      <c r="F47" s="20" t="n">
        <f aca="false">листопад!F47</f>
        <v>0</v>
      </c>
      <c r="G47" s="21" t="n">
        <f aca="false">листопад!G47</f>
        <v>48.8</v>
      </c>
      <c r="H47" s="21" t="n">
        <f aca="false">листопад!H47</f>
        <v>0</v>
      </c>
      <c r="I47" s="22" t="n">
        <f aca="false">листопад!I47</f>
        <v>4.1</v>
      </c>
      <c r="J47" s="23" t="n">
        <f aca="false">ROUND(G47*I47,2)</f>
        <v>200.08</v>
      </c>
      <c r="K47" s="19"/>
      <c r="L47" s="19"/>
      <c r="M47" s="19"/>
      <c r="N47" s="19" t="n">
        <f aca="false">ROUND((G47*I47)-K47-L47-M47,2)</f>
        <v>200.08</v>
      </c>
      <c r="O47" s="19"/>
      <c r="P47" s="25" t="n">
        <f aca="false">IF(D47=0,IF((N47-E47-O47)&gt;0,(N47-E47-O47),0),IF((D47+N47-O47)&gt;0,(D47+N47-O47),0))</f>
        <v>1000.3</v>
      </c>
      <c r="Q47" s="25" t="n">
        <f aca="false">IF(E47=0,IF((D47+N47-O47)&lt;0,ABS(D47+N47-O47),0),IF((N47-E47-O47)&lt;0,ABS(N47-E47-O47),0))</f>
        <v>0</v>
      </c>
    </row>
    <row r="48" customFormat="false" ht="15" hidden="false" customHeight="false" outlineLevel="0" collapsed="false">
      <c r="A48" s="17" t="s">
        <v>140</v>
      </c>
      <c r="B48" s="18" t="str">
        <f aca="false">листопад!B48</f>
        <v>Тимощук О.Є.</v>
      </c>
      <c r="C48" s="18" t="str">
        <f aca="false">листопад!C48</f>
        <v>2040</v>
      </c>
      <c r="D48" s="19" t="n">
        <f aca="false">листопад!P48</f>
        <v>1408.5</v>
      </c>
      <c r="E48" s="19" t="n">
        <f aca="false">листопад!Q48</f>
        <v>0</v>
      </c>
      <c r="F48" s="20" t="n">
        <f aca="false">листопад!F48</f>
        <v>0</v>
      </c>
      <c r="G48" s="21" t="n">
        <f aca="false">листопад!G48</f>
        <v>57.3</v>
      </c>
      <c r="H48" s="21" t="n">
        <f aca="false">листопад!H48</f>
        <v>0</v>
      </c>
      <c r="I48" s="22" t="n">
        <f aca="false">листопад!I48</f>
        <v>4.1</v>
      </c>
      <c r="J48" s="23" t="n">
        <f aca="false">ROUND(G48*I48,2)</f>
        <v>234.93</v>
      </c>
      <c r="K48" s="19"/>
      <c r="L48" s="19"/>
      <c r="M48" s="19"/>
      <c r="N48" s="19" t="n">
        <f aca="false">ROUND((G48*I48)-K48-L48-M48,2)</f>
        <v>234.93</v>
      </c>
      <c r="O48" s="19"/>
      <c r="P48" s="25" t="n">
        <f aca="false">IF(D48=0,IF((N48-E48-O48)&gt;0,(N48-E48-O48),0),IF((D48+N48-O48)&gt;0,(D48+N48-O48),0))</f>
        <v>1643.43</v>
      </c>
      <c r="Q48" s="25" t="n">
        <f aca="false">IF(E48=0,IF((D48+N48-O48)&lt;0,ABS(D48+N48-O48),0),IF((N48-E48-O48)&lt;0,ABS(N48-E48-O48),0))</f>
        <v>0</v>
      </c>
    </row>
    <row r="49" customFormat="false" ht="15" hidden="false" customHeight="false" outlineLevel="0" collapsed="false">
      <c r="A49" s="17" t="s">
        <v>143</v>
      </c>
      <c r="B49" s="18" t="str">
        <f aca="false">листопад!B49</f>
        <v>Котяш О.В.</v>
      </c>
      <c r="C49" s="18" t="str">
        <f aca="false">листопад!C49</f>
        <v>2041</v>
      </c>
      <c r="D49" s="19" t="n">
        <f aca="false">листопад!P49</f>
        <v>4669.4</v>
      </c>
      <c r="E49" s="19" t="n">
        <f aca="false">листопад!Q49</f>
        <v>0</v>
      </c>
      <c r="F49" s="20" t="n">
        <f aca="false">листопад!F49</f>
        <v>0</v>
      </c>
      <c r="G49" s="21" t="n">
        <f aca="false">листопад!G49</f>
        <v>63.3</v>
      </c>
      <c r="H49" s="21" t="n">
        <f aca="false">листопад!H49</f>
        <v>0</v>
      </c>
      <c r="I49" s="22" t="n">
        <f aca="false">листопад!I49</f>
        <v>4.1</v>
      </c>
      <c r="J49" s="23" t="n">
        <f aca="false">ROUND(G49*I49,2)</f>
        <v>259.53</v>
      </c>
      <c r="K49" s="19"/>
      <c r="L49" s="19"/>
      <c r="M49" s="19"/>
      <c r="N49" s="19" t="n">
        <f aca="false">ROUND((G49*I49)-K49-L49-M49,2)</f>
        <v>259.53</v>
      </c>
      <c r="O49" s="19"/>
      <c r="P49" s="25" t="n">
        <f aca="false">IF(D49=0,IF((N49-E49-O49)&gt;0,(N49-E49-O49),0),IF((D49+N49-O49)&gt;0,(D49+N49-O49),0))</f>
        <v>4928.93</v>
      </c>
      <c r="Q49" s="25" t="n">
        <f aca="false">IF(E49=0,IF((D49+N49-O49)&lt;0,ABS(D49+N49-O49),0),IF((N49-E49-O49)&lt;0,ABS(N49-E49-O49),0))</f>
        <v>0</v>
      </c>
    </row>
    <row r="50" customFormat="false" ht="15" hidden="false" customHeight="false" outlineLevel="0" collapsed="false">
      <c r="A50" s="17" t="s">
        <v>146</v>
      </c>
      <c r="B50" s="18" t="str">
        <f aca="false">листопад!B50</f>
        <v>Токовило-Паращенко Л.П.</v>
      </c>
      <c r="C50" s="18" t="str">
        <f aca="false">листопад!C50</f>
        <v>2042</v>
      </c>
      <c r="D50" s="19" t="n">
        <f aca="false">листопад!P50</f>
        <v>1780.56</v>
      </c>
      <c r="E50" s="19" t="n">
        <f aca="false">листопад!Q50</f>
        <v>0</v>
      </c>
      <c r="F50" s="20" t="n">
        <f aca="false">листопад!F50</f>
        <v>0</v>
      </c>
      <c r="G50" s="21" t="n">
        <f aca="false">листопад!G50</f>
        <v>35.68</v>
      </c>
      <c r="H50" s="21" t="n">
        <f aca="false">листопад!H50</f>
        <v>0</v>
      </c>
      <c r="I50" s="22" t="n">
        <f aca="false">листопад!I50</f>
        <v>4.1</v>
      </c>
      <c r="J50" s="23" t="n">
        <f aca="false">ROUND(G50*I50,2)</f>
        <v>146.29</v>
      </c>
      <c r="K50" s="19"/>
      <c r="L50" s="19"/>
      <c r="M50" s="19"/>
      <c r="N50" s="19" t="n">
        <f aca="false">ROUND((G50*I50)-K50-L50-M50,2)</f>
        <v>146.29</v>
      </c>
      <c r="O50" s="19"/>
      <c r="P50" s="25" t="n">
        <f aca="false">IF(D50=0,IF((N50-E50-O50)&gt;0,(N50-E50-O50),0),IF((D50+N50-O50)&gt;0,(D50+N50-O50),0))</f>
        <v>1926.85</v>
      </c>
      <c r="Q50" s="25" t="n">
        <f aca="false">IF(E50=0,IF((D50+N50-O50)&lt;0,ABS(D50+N50-O50),0),IF((N50-E50-O50)&lt;0,ABS(N50-E50-O50),0))</f>
        <v>0</v>
      </c>
    </row>
    <row r="51" customFormat="false" ht="15" hidden="false" customHeight="false" outlineLevel="0" collapsed="false">
      <c r="A51" s="17" t="s">
        <v>149</v>
      </c>
      <c r="B51" s="18" t="str">
        <f aca="false">листопад!B51</f>
        <v>Бєлая К.В.</v>
      </c>
      <c r="C51" s="18" t="str">
        <f aca="false">листопад!C51</f>
        <v>2043</v>
      </c>
      <c r="D51" s="19" t="n">
        <f aca="false">листопад!P51</f>
        <v>1020.9</v>
      </c>
      <c r="E51" s="19" t="n">
        <f aca="false">листопад!Q51</f>
        <v>0</v>
      </c>
      <c r="F51" s="20" t="n">
        <f aca="false">листопад!F51</f>
        <v>0</v>
      </c>
      <c r="G51" s="21" t="n">
        <f aca="false">листопад!G51</f>
        <v>49.8</v>
      </c>
      <c r="H51" s="21" t="n">
        <f aca="false">листопад!H51</f>
        <v>0</v>
      </c>
      <c r="I51" s="22" t="n">
        <f aca="false">листопад!I51</f>
        <v>4.1</v>
      </c>
      <c r="J51" s="23" t="n">
        <f aca="false">ROUND(G51*I51,2)</f>
        <v>204.18</v>
      </c>
      <c r="K51" s="19"/>
      <c r="L51" s="19"/>
      <c r="M51" s="19"/>
      <c r="N51" s="19" t="n">
        <f aca="false">ROUND((G51*I51)-K51-L51-M51,2)</f>
        <v>204.18</v>
      </c>
      <c r="O51" s="19"/>
      <c r="P51" s="25" t="n">
        <f aca="false">IF(D51=0,IF((N51-E51-O51)&gt;0,(N51-E51-O51),0),IF((D51+N51-O51)&gt;0,(D51+N51-O51),0))</f>
        <v>1225.08</v>
      </c>
      <c r="Q51" s="25" t="n">
        <f aca="false">IF(E51=0,IF((D51+N51-O51)&lt;0,ABS(D51+N51-O51),0),IF((N51-E51-O51)&lt;0,ABS(N51-E51-O51),0))</f>
        <v>0</v>
      </c>
    </row>
    <row r="52" customFormat="false" ht="15" hidden="false" customHeight="false" outlineLevel="0" collapsed="false">
      <c r="A52" s="17" t="s">
        <v>152</v>
      </c>
      <c r="B52" s="18" t="str">
        <f aca="false">листопад!B52</f>
        <v>Стадник О.Ф.</v>
      </c>
      <c r="C52" s="18" t="str">
        <f aca="false">листопад!C52</f>
        <v>2044</v>
      </c>
      <c r="D52" s="19" t="n">
        <f aca="false">листопад!P52</f>
        <v>4374.52</v>
      </c>
      <c r="E52" s="19" t="n">
        <f aca="false">листопад!Q52</f>
        <v>0</v>
      </c>
      <c r="F52" s="20" t="n">
        <f aca="false">листопад!F52</f>
        <v>0</v>
      </c>
      <c r="G52" s="21" t="n">
        <f aca="false">листопад!G52</f>
        <v>65.9</v>
      </c>
      <c r="H52" s="21" t="n">
        <f aca="false">листопад!H52</f>
        <v>0</v>
      </c>
      <c r="I52" s="22" t="n">
        <f aca="false">листопад!I52</f>
        <v>4.1</v>
      </c>
      <c r="J52" s="23" t="n">
        <f aca="false">ROUND(G52*I52,2)</f>
        <v>270.19</v>
      </c>
      <c r="K52" s="19"/>
      <c r="L52" s="19"/>
      <c r="M52" s="19"/>
      <c r="N52" s="19" t="n">
        <f aca="false">ROUND((G52*I52)-K52-L52-M52,2)</f>
        <v>270.19</v>
      </c>
      <c r="O52" s="19"/>
      <c r="P52" s="25" t="n">
        <f aca="false">IF(D52=0,IF((N52-E52-O52)&gt;0,(N52-E52-O52),0),IF((D52+N52-O52)&gt;0,(D52+N52-O52),0))</f>
        <v>4644.71</v>
      </c>
      <c r="Q52" s="25" t="n">
        <f aca="false">IF(E52=0,IF((D52+N52-O52)&lt;0,ABS(D52+N52-O52),0),IF((N52-E52-O52)&lt;0,ABS(N52-E52-O52),0))</f>
        <v>0</v>
      </c>
    </row>
    <row r="53" customFormat="false" ht="15" hidden="false" customHeight="false" outlineLevel="0" collapsed="false">
      <c r="A53" s="17" t="s">
        <v>155</v>
      </c>
      <c r="B53" s="18" t="str">
        <f aca="false">листопад!B53</f>
        <v>Ляшенко В.М.</v>
      </c>
      <c r="C53" s="18" t="str">
        <f aca="false">листопад!C53</f>
        <v>2045</v>
      </c>
      <c r="D53" s="19" t="n">
        <f aca="false">листопад!P53</f>
        <v>1271</v>
      </c>
      <c r="E53" s="19" t="n">
        <f aca="false">листопад!Q53</f>
        <v>0</v>
      </c>
      <c r="F53" s="20" t="n">
        <f aca="false">листопад!F53</f>
        <v>0</v>
      </c>
      <c r="G53" s="21" t="n">
        <f aca="false">листопад!G53</f>
        <v>62</v>
      </c>
      <c r="H53" s="21" t="n">
        <f aca="false">листопад!H53</f>
        <v>0</v>
      </c>
      <c r="I53" s="22" t="n">
        <f aca="false">листопад!I53</f>
        <v>4.1</v>
      </c>
      <c r="J53" s="23" t="n">
        <f aca="false">ROUND(G53*I53,2)</f>
        <v>254.2</v>
      </c>
      <c r="K53" s="19"/>
      <c r="L53" s="19"/>
      <c r="M53" s="19"/>
      <c r="N53" s="19" t="n">
        <f aca="false">ROUND((G53*I53)-K53-L53-M53,2)</f>
        <v>254.2</v>
      </c>
      <c r="O53" s="19"/>
      <c r="P53" s="25" t="n">
        <f aca="false">IF(D53=0,IF((N53-E53-O53)&gt;0,(N53-E53-O53),0),IF((D53+N53-O53)&gt;0,(D53+N53-O53),0))</f>
        <v>1525.2</v>
      </c>
      <c r="Q53" s="25" t="n">
        <f aca="false">IF(E53=0,IF((D53+N53-O53)&lt;0,ABS(D53+N53-O53),0),IF((N53-E53-O53)&lt;0,ABS(N53-E53-O53),0))</f>
        <v>0</v>
      </c>
    </row>
    <row r="54" customFormat="false" ht="15" hidden="false" customHeight="false" outlineLevel="0" collapsed="false">
      <c r="A54" s="17" t="s">
        <v>158</v>
      </c>
      <c r="B54" s="18" t="str">
        <f aca="false">листопад!B54</f>
        <v>Смоленська Т.О.</v>
      </c>
      <c r="C54" s="18" t="str">
        <f aca="false">листопад!C54</f>
        <v>2046</v>
      </c>
      <c r="D54" s="19" t="n">
        <f aca="false">листопад!P54</f>
        <v>2583.01</v>
      </c>
      <c r="E54" s="19" t="n">
        <f aca="false">листопад!Q54</f>
        <v>0</v>
      </c>
      <c r="F54" s="20" t="n">
        <f aca="false">листопад!F54</f>
        <v>0</v>
      </c>
      <c r="G54" s="21" t="n">
        <f aca="false">листопад!G54</f>
        <v>35.1</v>
      </c>
      <c r="H54" s="21" t="n">
        <f aca="false">листопад!H54</f>
        <v>0</v>
      </c>
      <c r="I54" s="22" t="n">
        <f aca="false">листопад!I54</f>
        <v>4.1</v>
      </c>
      <c r="J54" s="23" t="n">
        <f aca="false">ROUND(G54*I54,2)</f>
        <v>143.91</v>
      </c>
      <c r="K54" s="19"/>
      <c r="L54" s="19"/>
      <c r="M54" s="19"/>
      <c r="N54" s="19" t="n">
        <f aca="false">ROUND((G54*I54)-K54-L54-M54,2)</f>
        <v>143.91</v>
      </c>
      <c r="O54" s="19"/>
      <c r="P54" s="25" t="n">
        <f aca="false">IF(D54=0,IF((N54-E54-O54)&gt;0,(N54-E54-O54),0),IF((D54+N54-O54)&gt;0,(D54+N54-O54),0))</f>
        <v>2726.92</v>
      </c>
      <c r="Q54" s="25" t="n">
        <f aca="false">IF(E54=0,IF((D54+N54-O54)&lt;0,ABS(D54+N54-O54),0),IF((N54-E54-O54)&lt;0,ABS(N54-E54-O54),0))</f>
        <v>0</v>
      </c>
    </row>
    <row r="55" customFormat="false" ht="15" hidden="false" customHeight="false" outlineLevel="0" collapsed="false">
      <c r="A55" s="17" t="s">
        <v>161</v>
      </c>
      <c r="B55" s="18" t="str">
        <f aca="false">листопад!B55</f>
        <v>Дудка І.В.</v>
      </c>
      <c r="C55" s="18" t="str">
        <f aca="false">листопад!C55</f>
        <v>2047</v>
      </c>
      <c r="D55" s="19" t="n">
        <f aca="false">листопад!P55</f>
        <v>1423.52</v>
      </c>
      <c r="E55" s="19" t="n">
        <f aca="false">листопад!Q55</f>
        <v>0</v>
      </c>
      <c r="F55" s="20" t="n">
        <f aca="false">листопад!F55</f>
        <v>0</v>
      </c>
      <c r="G55" s="21" t="n">
        <f aca="false">листопад!G55</f>
        <v>49.6</v>
      </c>
      <c r="H55" s="21" t="n">
        <f aca="false">листопад!H55</f>
        <v>0</v>
      </c>
      <c r="I55" s="22" t="n">
        <f aca="false">листопад!I55</f>
        <v>4.1</v>
      </c>
      <c r="J55" s="23" t="n">
        <f aca="false">ROUND(G55*I55,2)</f>
        <v>203.36</v>
      </c>
      <c r="K55" s="19"/>
      <c r="L55" s="19"/>
      <c r="M55" s="19"/>
      <c r="N55" s="19" t="n">
        <f aca="false">ROUND((G55*I55)-K55-L55-M55,2)</f>
        <v>203.36</v>
      </c>
      <c r="O55" s="19"/>
      <c r="P55" s="25" t="n">
        <f aca="false">IF(D55=0,IF((N55-E55-O55)&gt;0,(N55-E55-O55),0),IF((D55+N55-O55)&gt;0,(D55+N55-O55),0))</f>
        <v>1626.88</v>
      </c>
      <c r="Q55" s="25" t="n">
        <f aca="false">IF(E55=0,IF((D55+N55-O55)&lt;0,ABS(D55+N55-O55),0),IF((N55-E55-O55)&lt;0,ABS(N55-E55-O55),0))</f>
        <v>0</v>
      </c>
    </row>
    <row r="56" customFormat="false" ht="15" hidden="false" customHeight="false" outlineLevel="0" collapsed="false">
      <c r="A56" s="17" t="s">
        <v>164</v>
      </c>
      <c r="B56" s="18" t="str">
        <f aca="false">листопад!B56</f>
        <v>Буланова Л.І.</v>
      </c>
      <c r="C56" s="18" t="str">
        <f aca="false">листопад!C56</f>
        <v>2048</v>
      </c>
      <c r="D56" s="19" t="n">
        <f aca="false">листопад!P56</f>
        <v>1362</v>
      </c>
      <c r="E56" s="19" t="n">
        <f aca="false">листопад!Q56</f>
        <v>0</v>
      </c>
      <c r="F56" s="20" t="n">
        <f aca="false">листопад!F56</f>
        <v>0</v>
      </c>
      <c r="G56" s="21" t="n">
        <f aca="false">листопад!G56</f>
        <v>66.44</v>
      </c>
      <c r="H56" s="21" t="n">
        <f aca="false">листопад!H56</f>
        <v>0</v>
      </c>
      <c r="I56" s="22" t="n">
        <f aca="false">листопад!I56</f>
        <v>4.1</v>
      </c>
      <c r="J56" s="23" t="n">
        <f aca="false">ROUND(G56*I56,2)</f>
        <v>272.4</v>
      </c>
      <c r="K56" s="19"/>
      <c r="L56" s="19"/>
      <c r="M56" s="19"/>
      <c r="N56" s="19" t="n">
        <f aca="false">ROUND((G56*I56)-K56-L56-M56,2)</f>
        <v>272.4</v>
      </c>
      <c r="O56" s="19"/>
      <c r="P56" s="25" t="n">
        <f aca="false">IF(D56=0,IF((N56-E56-O56)&gt;0,(N56-E56-O56),0),IF((D56+N56-O56)&gt;0,(D56+N56-O56),0))</f>
        <v>1634.4</v>
      </c>
      <c r="Q56" s="25" t="n">
        <f aca="false">IF(E56=0,IF((D56+N56-O56)&lt;0,ABS(D56+N56-O56),0),IF((N56-E56-O56)&lt;0,ABS(N56-E56-O56),0))</f>
        <v>0</v>
      </c>
    </row>
    <row r="57" customFormat="false" ht="15" hidden="false" customHeight="false" outlineLevel="0" collapsed="false">
      <c r="A57" s="17" t="s">
        <v>167</v>
      </c>
      <c r="B57" s="18" t="str">
        <f aca="false">листопад!B57</f>
        <v>Шалімова О.О.</v>
      </c>
      <c r="C57" s="18" t="str">
        <f aca="false">листопад!C57</f>
        <v>2049</v>
      </c>
      <c r="D57" s="19" t="n">
        <f aca="false">листопад!P57</f>
        <v>4560.98</v>
      </c>
      <c r="E57" s="19" t="n">
        <f aca="false">листопад!Q57</f>
        <v>0</v>
      </c>
      <c r="F57" s="20" t="n">
        <f aca="false">листопад!F57</f>
        <v>0</v>
      </c>
      <c r="G57" s="21" t="n">
        <f aca="false">листопад!G57</f>
        <v>62.1</v>
      </c>
      <c r="H57" s="21" t="n">
        <f aca="false">листопад!H57</f>
        <v>0</v>
      </c>
      <c r="I57" s="22" t="n">
        <f aca="false">листопад!I57</f>
        <v>4.1</v>
      </c>
      <c r="J57" s="23" t="n">
        <f aca="false">ROUND(G57*I57,2)</f>
        <v>254.61</v>
      </c>
      <c r="K57" s="19"/>
      <c r="L57" s="19"/>
      <c r="M57" s="19"/>
      <c r="N57" s="19" t="n">
        <f aca="false">ROUND((G57*I57)-K57-L57-M57,2)</f>
        <v>254.61</v>
      </c>
      <c r="O57" s="19"/>
      <c r="P57" s="25" t="n">
        <f aca="false">IF(D57=0,IF((N57-E57-O57)&gt;0,(N57-E57-O57),0),IF((D57+N57-O57)&gt;0,(D57+N57-O57),0))</f>
        <v>4815.59</v>
      </c>
      <c r="Q57" s="25" t="n">
        <f aca="false">IF(E57=0,IF((D57+N57-O57)&lt;0,ABS(D57+N57-O57),0),IF((N57-E57-O57)&lt;0,ABS(N57-E57-O57),0))</f>
        <v>0</v>
      </c>
    </row>
    <row r="58" customFormat="false" ht="15" hidden="false" customHeight="false" outlineLevel="0" collapsed="false">
      <c r="A58" s="17" t="s">
        <v>170</v>
      </c>
      <c r="B58" s="18" t="str">
        <f aca="false">листопад!B58</f>
        <v>Андросик О.О.</v>
      </c>
      <c r="C58" s="18" t="str">
        <f aca="false">листопад!C58</f>
        <v>2050</v>
      </c>
      <c r="D58" s="19" t="n">
        <f aca="false">листопад!P58</f>
        <v>715.45</v>
      </c>
      <c r="E58" s="19" t="n">
        <f aca="false">листопад!Q58</f>
        <v>0</v>
      </c>
      <c r="F58" s="20" t="n">
        <f aca="false">листопад!F58</f>
        <v>0</v>
      </c>
      <c r="G58" s="21" t="n">
        <f aca="false">листопад!G58</f>
        <v>34.9</v>
      </c>
      <c r="H58" s="21" t="n">
        <f aca="false">листопад!H58</f>
        <v>0</v>
      </c>
      <c r="I58" s="22" t="n">
        <f aca="false">листопад!I58</f>
        <v>4.1</v>
      </c>
      <c r="J58" s="23" t="n">
        <f aca="false">ROUND(G58*I58,2)</f>
        <v>143.09</v>
      </c>
      <c r="K58" s="19"/>
      <c r="L58" s="19"/>
      <c r="M58" s="19"/>
      <c r="N58" s="19" t="n">
        <f aca="false">ROUND((G58*I58)-K58-L58-M58,2)</f>
        <v>143.09</v>
      </c>
      <c r="O58" s="19"/>
      <c r="P58" s="25" t="n">
        <f aca="false">IF(D58=0,IF((N58-E58-O58)&gt;0,(N58-E58-O58),0),IF((D58+N58-O58)&gt;0,(D58+N58-O58),0))</f>
        <v>858.54</v>
      </c>
      <c r="Q58" s="25" t="n">
        <f aca="false">IF(E58=0,IF((D58+N58-O58)&lt;0,ABS(D58+N58-O58),0),IF((N58-E58-O58)&lt;0,ABS(N58-E58-O58),0))</f>
        <v>0</v>
      </c>
    </row>
    <row r="59" customFormat="false" ht="15" hidden="false" customHeight="false" outlineLevel="0" collapsed="false">
      <c r="A59" s="17" t="s">
        <v>173</v>
      </c>
      <c r="B59" s="18" t="str">
        <f aca="false">листопад!B59</f>
        <v>Токар Є.А.</v>
      </c>
      <c r="C59" s="18" t="str">
        <f aca="false">листопад!C59</f>
        <v>2051</v>
      </c>
      <c r="D59" s="19" t="n">
        <f aca="false">листопад!P59</f>
        <v>3777.95</v>
      </c>
      <c r="E59" s="19" t="n">
        <f aca="false">листопад!Q59</f>
        <v>0</v>
      </c>
      <c r="F59" s="20" t="n">
        <f aca="false">листопад!F59</f>
        <v>0</v>
      </c>
      <c r="G59" s="21" t="n">
        <f aca="false">листопад!G59</f>
        <v>49.22</v>
      </c>
      <c r="H59" s="21" t="n">
        <f aca="false">листопад!H59</f>
        <v>0</v>
      </c>
      <c r="I59" s="22" t="n">
        <f aca="false">листопад!I59</f>
        <v>4.1</v>
      </c>
      <c r="J59" s="23" t="n">
        <f aca="false">ROUND(G59*I59,2)</f>
        <v>201.8</v>
      </c>
      <c r="K59" s="19"/>
      <c r="L59" s="19"/>
      <c r="M59" s="19"/>
      <c r="N59" s="19" t="n">
        <f aca="false">ROUND((G59*I59)-K59-L59-M59,2)</f>
        <v>201.8</v>
      </c>
      <c r="O59" s="19"/>
      <c r="P59" s="25" t="n">
        <f aca="false">IF(D59=0,IF((N59-E59-O59)&gt;0,(N59-E59-O59),0),IF((D59+N59-O59)&gt;0,(D59+N59-O59),0))</f>
        <v>3979.75</v>
      </c>
      <c r="Q59" s="25" t="n">
        <f aca="false">IF(E59=0,IF((D59+N59-O59)&lt;0,ABS(D59+N59-O59),0),IF((N59-E59-O59)&lt;0,ABS(N59-E59-O59),0))</f>
        <v>0</v>
      </c>
    </row>
    <row r="60" customFormat="false" ht="15" hidden="false" customHeight="false" outlineLevel="0" collapsed="false">
      <c r="A60" s="17" t="s">
        <v>176</v>
      </c>
      <c r="B60" s="18" t="str">
        <f aca="false">листопад!B60</f>
        <v>Констанчук І.В.</v>
      </c>
      <c r="C60" s="18" t="str">
        <f aca="false">листопад!C60</f>
        <v>2052</v>
      </c>
      <c r="D60" s="19" t="n">
        <f aca="false">листопад!P60</f>
        <v>4798.46</v>
      </c>
      <c r="E60" s="19" t="n">
        <f aca="false">листопад!Q60</f>
        <v>0</v>
      </c>
      <c r="F60" s="20" t="n">
        <f aca="false">листопад!F60</f>
        <v>0</v>
      </c>
      <c r="G60" s="21" t="n">
        <f aca="false">листопад!G60</f>
        <v>65.5</v>
      </c>
      <c r="H60" s="21" t="n">
        <f aca="false">листопад!H60</f>
        <v>0</v>
      </c>
      <c r="I60" s="22" t="n">
        <f aca="false">листопад!I60</f>
        <v>4.1</v>
      </c>
      <c r="J60" s="23" t="n">
        <f aca="false">ROUND(G60*I60,2)</f>
        <v>268.55</v>
      </c>
      <c r="K60" s="19"/>
      <c r="L60" s="19"/>
      <c r="M60" s="19"/>
      <c r="N60" s="19" t="n">
        <f aca="false">ROUND((G60*I60)-K60-L60-M60,2)</f>
        <v>268.55</v>
      </c>
      <c r="O60" s="19"/>
      <c r="P60" s="25" t="n">
        <f aca="false">IF(D60=0,IF((N60-E60-O60)&gt;0,(N60-E60-O60),0),IF((D60+N60-O60)&gt;0,(D60+N60-O60),0))</f>
        <v>5067.01</v>
      </c>
      <c r="Q60" s="25" t="n">
        <f aca="false">IF(E60=0,IF((D60+N60-O60)&lt;0,ABS(D60+N60-O60),0),IF((N60-E60-O60)&lt;0,ABS(N60-E60-O60),0))</f>
        <v>0</v>
      </c>
    </row>
    <row r="61" customFormat="false" ht="15" hidden="false" customHeight="false" outlineLevel="0" collapsed="false">
      <c r="A61" s="17" t="s">
        <v>179</v>
      </c>
      <c r="B61" s="18" t="str">
        <f aca="false">листопад!B61</f>
        <v>Гончаров В.В.</v>
      </c>
      <c r="C61" s="18" t="str">
        <f aca="false">листопад!C61</f>
        <v>2053</v>
      </c>
      <c r="D61" s="19" t="n">
        <f aca="false">листопад!P61</f>
        <v>0</v>
      </c>
      <c r="E61" s="19" t="n">
        <f aca="false">листопад!Q61</f>
        <v>256.819999999998</v>
      </c>
      <c r="F61" s="20" t="n">
        <f aca="false">листопад!F61</f>
        <v>0</v>
      </c>
      <c r="G61" s="21" t="n">
        <f aca="false">листопад!G61</f>
        <v>62.64</v>
      </c>
      <c r="H61" s="21" t="n">
        <f aca="false">листопад!H61</f>
        <v>0</v>
      </c>
      <c r="I61" s="22" t="n">
        <f aca="false">листопад!I61</f>
        <v>4.1</v>
      </c>
      <c r="J61" s="23" t="n">
        <f aca="false">ROUND(G61*I61,2)</f>
        <v>256.82</v>
      </c>
      <c r="K61" s="19"/>
      <c r="L61" s="19"/>
      <c r="M61" s="19"/>
      <c r="N61" s="19" t="n">
        <f aca="false">ROUND((G61*I61)-K61-L61-M61,2)</f>
        <v>256.82</v>
      </c>
      <c r="O61" s="19"/>
      <c r="P61" s="25" t="n">
        <f aca="false">IF(D61=0,IF((N61-E61-O61)&gt;0,(N61-E61-O61),0),IF((D61+N61-O61)&gt;0,(D61+N61-O61),0))</f>
        <v>1.70530256582424E-012</v>
      </c>
      <c r="Q61" s="25" t="n">
        <f aca="false">IF(E61=0,IF((D61+N61-O61)&lt;0,ABS(D61+N61-O61),0),IF((N61-E61-O61)&lt;0,ABS(N61-E61-O61),0))</f>
        <v>0</v>
      </c>
    </row>
    <row r="62" customFormat="false" ht="15" hidden="false" customHeight="false" outlineLevel="0" collapsed="false">
      <c r="A62" s="17" t="s">
        <v>182</v>
      </c>
      <c r="B62" s="18" t="str">
        <f aca="false">листопад!B62</f>
        <v>Ляхомський В.О.</v>
      </c>
      <c r="C62" s="18" t="str">
        <f aca="false">листопад!C62</f>
        <v>2054</v>
      </c>
      <c r="D62" s="19" t="n">
        <f aca="false">листопад!P62</f>
        <v>1435.38</v>
      </c>
      <c r="E62" s="19" t="n">
        <f aca="false">листопад!Q62</f>
        <v>0</v>
      </c>
      <c r="F62" s="20" t="n">
        <f aca="false">листопад!F62</f>
        <v>0</v>
      </c>
      <c r="G62" s="21" t="n">
        <f aca="false">листопад!G62</f>
        <v>34.9</v>
      </c>
      <c r="H62" s="21" t="n">
        <f aca="false">листопад!H62</f>
        <v>0</v>
      </c>
      <c r="I62" s="22" t="n">
        <f aca="false">листопад!I62</f>
        <v>4.1</v>
      </c>
      <c r="J62" s="23" t="n">
        <f aca="false">ROUND(G62*I62,2)</f>
        <v>143.09</v>
      </c>
      <c r="K62" s="19"/>
      <c r="L62" s="19"/>
      <c r="M62" s="19"/>
      <c r="N62" s="19" t="n">
        <f aca="false">ROUND((G62*I62)-K62-L62-M62,2)</f>
        <v>143.09</v>
      </c>
      <c r="O62" s="19"/>
      <c r="P62" s="25" t="n">
        <f aca="false">IF(D62=0,IF((N62-E62-O62)&gt;0,(N62-E62-O62),0),IF((D62+N62-O62)&gt;0,(D62+N62-O62),0))</f>
        <v>1578.47</v>
      </c>
      <c r="Q62" s="25" t="n">
        <f aca="false">IF(E62=0,IF((D62+N62-O62)&lt;0,ABS(D62+N62-O62),0),IF((N62-E62-O62)&lt;0,ABS(N62-E62-O62),0))</f>
        <v>0</v>
      </c>
    </row>
    <row r="63" customFormat="false" ht="15" hidden="false" customHeight="false" outlineLevel="0" collapsed="false">
      <c r="A63" s="17" t="s">
        <v>185</v>
      </c>
      <c r="B63" s="18" t="str">
        <f aca="false">листопад!B63</f>
        <v>Крамаренко В.П.</v>
      </c>
      <c r="C63" s="18" t="str">
        <f aca="false">листопад!C63</f>
        <v>2055</v>
      </c>
      <c r="D63" s="19" t="n">
        <f aca="false">листопад!P63</f>
        <v>3681.48</v>
      </c>
      <c r="E63" s="19" t="n">
        <f aca="false">листопад!Q63</f>
        <v>0</v>
      </c>
      <c r="F63" s="20" t="n">
        <f aca="false">листопад!F63</f>
        <v>0</v>
      </c>
      <c r="G63" s="21" t="n">
        <f aca="false">листопад!G63</f>
        <v>49.79</v>
      </c>
      <c r="H63" s="21" t="n">
        <f aca="false">листопад!H63</f>
        <v>0</v>
      </c>
      <c r="I63" s="22" t="n">
        <f aca="false">листопад!I63</f>
        <v>4.1</v>
      </c>
      <c r="J63" s="23" t="n">
        <f aca="false">ROUND(G63*I63,2)</f>
        <v>204.14</v>
      </c>
      <c r="K63" s="19"/>
      <c r="L63" s="19"/>
      <c r="M63" s="19"/>
      <c r="N63" s="19" t="n">
        <f aca="false">ROUND((G63*I63)-K63-L63-M63,2)</f>
        <v>204.14</v>
      </c>
      <c r="O63" s="19"/>
      <c r="P63" s="25" t="n">
        <f aca="false">IF(D63=0,IF((N63-E63-O63)&gt;0,(N63-E63-O63),0),IF((D63+N63-O63)&gt;0,(D63+N63-O63),0))</f>
        <v>3885.62</v>
      </c>
      <c r="Q63" s="25" t="n">
        <f aca="false">IF(E63=0,IF((D63+N63-O63)&lt;0,ABS(D63+N63-O63),0),IF((N63-E63-O63)&lt;0,ABS(N63-E63-O63),0))</f>
        <v>0</v>
      </c>
    </row>
    <row r="64" customFormat="false" ht="15" hidden="false" customHeight="false" outlineLevel="0" collapsed="false">
      <c r="A64" s="17" t="s">
        <v>188</v>
      </c>
      <c r="B64" s="18" t="str">
        <f aca="false">листопад!B64</f>
        <v>Родзик С.Г.</v>
      </c>
      <c r="C64" s="18" t="str">
        <f aca="false">листопад!C64</f>
        <v>2056</v>
      </c>
      <c r="D64" s="19" t="n">
        <f aca="false">листопад!P64</f>
        <v>2092.17</v>
      </c>
      <c r="E64" s="19" t="n">
        <f aca="false">листопад!Q64</f>
        <v>0</v>
      </c>
      <c r="F64" s="20" t="n">
        <f aca="false">листопад!F64</f>
        <v>0</v>
      </c>
      <c r="G64" s="21" t="n">
        <f aca="false">листопад!G64</f>
        <v>65.2</v>
      </c>
      <c r="H64" s="21" t="n">
        <f aca="false">листопад!H64</f>
        <v>0</v>
      </c>
      <c r="I64" s="22" t="n">
        <f aca="false">листопад!I64</f>
        <v>4.1</v>
      </c>
      <c r="J64" s="23" t="n">
        <f aca="false">ROUND(G64*I64,2)</f>
        <v>267.32</v>
      </c>
      <c r="K64" s="19"/>
      <c r="L64" s="19"/>
      <c r="M64" s="19"/>
      <c r="N64" s="19" t="n">
        <f aca="false">ROUND((G64*I64)-K64-L64-M64,2)</f>
        <v>267.32</v>
      </c>
      <c r="O64" s="19"/>
      <c r="P64" s="25" t="n">
        <f aca="false">IF(D64=0,IF((N64-E64-O64)&gt;0,(N64-E64-O64),0),IF((D64+N64-O64)&gt;0,(D64+N64-O64),0))</f>
        <v>2359.49</v>
      </c>
      <c r="Q64" s="25" t="n">
        <f aca="false">IF(E64=0,IF((D64+N64-O64)&lt;0,ABS(D64+N64-O64),0),IF((N64-E64-O64)&lt;0,ABS(N64-E64-O64),0))</f>
        <v>0</v>
      </c>
    </row>
    <row r="65" customFormat="false" ht="15" hidden="false" customHeight="false" outlineLevel="0" collapsed="false">
      <c r="A65" s="17" t="s">
        <v>191</v>
      </c>
      <c r="B65" s="18" t="str">
        <f aca="false">листопад!B65</f>
        <v>Никоненко Н.С.</v>
      </c>
      <c r="C65" s="18" t="str">
        <f aca="false">листопад!C65</f>
        <v>2057</v>
      </c>
      <c r="D65" s="19" t="n">
        <f aca="false">листопад!P65</f>
        <v>3700.27</v>
      </c>
      <c r="E65" s="19" t="n">
        <f aca="false">листопад!Q65</f>
        <v>0</v>
      </c>
      <c r="F65" s="20" t="n">
        <f aca="false">листопад!F65</f>
        <v>0</v>
      </c>
      <c r="G65" s="21" t="n">
        <f aca="false">листопад!G65</f>
        <v>61.88</v>
      </c>
      <c r="H65" s="21" t="n">
        <f aca="false">листопад!H65</f>
        <v>0</v>
      </c>
      <c r="I65" s="22" t="n">
        <f aca="false">листопад!I65</f>
        <v>4.1</v>
      </c>
      <c r="J65" s="23" t="n">
        <f aca="false">ROUND(G65*I65,2)</f>
        <v>253.71</v>
      </c>
      <c r="K65" s="19"/>
      <c r="L65" s="19"/>
      <c r="M65" s="19"/>
      <c r="N65" s="19" t="n">
        <f aca="false">ROUND((G65*I65)-K65-L65-M65,2)</f>
        <v>253.71</v>
      </c>
      <c r="O65" s="19"/>
      <c r="P65" s="25" t="n">
        <f aca="false">IF(D65=0,IF((N65-E65-O65)&gt;0,(N65-E65-O65),0),IF((D65+N65-O65)&gt;0,(D65+N65-O65),0))</f>
        <v>3953.98</v>
      </c>
      <c r="Q65" s="25" t="n">
        <f aca="false">IF(E65=0,IF((D65+N65-O65)&lt;0,ABS(D65+N65-O65),0),IF((N65-E65-O65)&lt;0,ABS(N65-E65-O65),0))</f>
        <v>0</v>
      </c>
    </row>
    <row r="66" customFormat="false" ht="15" hidden="false" customHeight="false" outlineLevel="0" collapsed="false">
      <c r="A66" s="17" t="s">
        <v>194</v>
      </c>
      <c r="B66" s="18" t="str">
        <f aca="false">листопад!B66</f>
        <v>Чепок О.В.</v>
      </c>
      <c r="C66" s="18" t="str">
        <f aca="false">листопад!C66</f>
        <v>2058</v>
      </c>
      <c r="D66" s="19" t="n">
        <f aca="false">листопад!P66</f>
        <v>4196.41</v>
      </c>
      <c r="E66" s="19" t="n">
        <f aca="false">листопад!Q66</f>
        <v>0</v>
      </c>
      <c r="F66" s="20" t="n">
        <f aca="false">листопад!F66</f>
        <v>0</v>
      </c>
      <c r="G66" s="21" t="n">
        <f aca="false">листопад!G66</f>
        <v>35</v>
      </c>
      <c r="H66" s="21" t="n">
        <f aca="false">листопад!H66</f>
        <v>0</v>
      </c>
      <c r="I66" s="22" t="n">
        <f aca="false">листопад!I66</f>
        <v>4.1</v>
      </c>
      <c r="J66" s="23" t="n">
        <f aca="false">ROUND(G66*I66,2)</f>
        <v>143.5</v>
      </c>
      <c r="K66" s="19"/>
      <c r="L66" s="19"/>
      <c r="M66" s="19"/>
      <c r="N66" s="19" t="n">
        <f aca="false">ROUND((G66*I66)-K66-L66-M66,2)</f>
        <v>143.5</v>
      </c>
      <c r="O66" s="19"/>
      <c r="P66" s="25" t="n">
        <f aca="false">IF(D66=0,IF((N66-E66-O66)&gt;0,(N66-E66-O66),0),IF((D66+N66-O66)&gt;0,(D66+N66-O66),0))</f>
        <v>4339.91</v>
      </c>
      <c r="Q66" s="25" t="n">
        <f aca="false">IF(E66=0,IF((D66+N66-O66)&lt;0,ABS(D66+N66-O66),0),IF((N66-E66-O66)&lt;0,ABS(N66-E66-O66),0))</f>
        <v>0</v>
      </c>
    </row>
    <row r="67" customFormat="false" ht="15" hidden="false" customHeight="false" outlineLevel="0" collapsed="false">
      <c r="A67" s="17" t="s">
        <v>197</v>
      </c>
      <c r="B67" s="18" t="str">
        <f aca="false">листопад!B67</f>
        <v>Горошенко Л.С.</v>
      </c>
      <c r="C67" s="18" t="str">
        <f aca="false">листопад!C67</f>
        <v>2059</v>
      </c>
      <c r="D67" s="19" t="n">
        <f aca="false">листопад!P67</f>
        <v>0</v>
      </c>
      <c r="E67" s="19" t="n">
        <f aca="false">листопад!Q67</f>
        <v>1155.2</v>
      </c>
      <c r="F67" s="20" t="n">
        <f aca="false">листопад!F67</f>
        <v>0</v>
      </c>
      <c r="G67" s="21" t="n">
        <f aca="false">листопад!G67</f>
        <v>49.3</v>
      </c>
      <c r="H67" s="21" t="n">
        <f aca="false">листопад!H67</f>
        <v>0</v>
      </c>
      <c r="I67" s="22" t="n">
        <f aca="false">листопад!I67</f>
        <v>4.1</v>
      </c>
      <c r="J67" s="23" t="n">
        <f aca="false">ROUND(G67*I67,2)</f>
        <v>202.13</v>
      </c>
      <c r="K67" s="19"/>
      <c r="L67" s="19"/>
      <c r="M67" s="19"/>
      <c r="N67" s="19" t="n">
        <f aca="false">ROUND((G67*I67)-K67-L67-M67,2)</f>
        <v>202.13</v>
      </c>
      <c r="O67" s="19"/>
      <c r="P67" s="25" t="n">
        <f aca="false">IF(D67=0,IF((N67-E67-O67)&gt;0,(N67-E67-O67),0),IF((D67+N67-O67)&gt;0,(D67+N67-O67),0))</f>
        <v>0</v>
      </c>
      <c r="Q67" s="25" t="n">
        <f aca="false">IF(E67=0,IF((D67+N67-O67)&lt;0,ABS(D67+N67-O67),0),IF((N67-E67-O67)&lt;0,ABS(N67-E67-O67),0))</f>
        <v>953.069999999999</v>
      </c>
    </row>
    <row r="68" customFormat="false" ht="15" hidden="false" customHeight="false" outlineLevel="0" collapsed="false">
      <c r="A68" s="17" t="s">
        <v>200</v>
      </c>
      <c r="B68" s="18" t="str">
        <f aca="false">листопад!B68</f>
        <v>Неграчева Л.Г.</v>
      </c>
      <c r="C68" s="18" t="str">
        <f aca="false">листопад!C68</f>
        <v>2060</v>
      </c>
      <c r="D68" s="19" t="n">
        <f aca="false">листопад!P68</f>
        <v>894.439999999999</v>
      </c>
      <c r="E68" s="19" t="n">
        <f aca="false">листопад!Q68</f>
        <v>0</v>
      </c>
      <c r="F68" s="20" t="n">
        <f aca="false">листопад!F68</f>
        <v>0</v>
      </c>
      <c r="G68" s="21" t="n">
        <f aca="false">листопад!G68</f>
        <v>66.6</v>
      </c>
      <c r="H68" s="21" t="n">
        <f aca="false">листопад!H68</f>
        <v>0</v>
      </c>
      <c r="I68" s="22" t="n">
        <f aca="false">листопад!I68</f>
        <v>4.1</v>
      </c>
      <c r="J68" s="23" t="n">
        <f aca="false">ROUND(G68*I68,2)</f>
        <v>273.06</v>
      </c>
      <c r="K68" s="19"/>
      <c r="L68" s="19"/>
      <c r="M68" s="19"/>
      <c r="N68" s="19" t="n">
        <f aca="false">ROUND((G68*I68)-K68-L68-M68,2)</f>
        <v>273.06</v>
      </c>
      <c r="O68" s="19"/>
      <c r="P68" s="25" t="n">
        <f aca="false">IF(D68=0,IF((N68-E68-O68)&gt;0,(N68-E68-O68),0),IF((D68+N68-O68)&gt;0,(D68+N68-O68),0))</f>
        <v>1167.5</v>
      </c>
      <c r="Q68" s="25" t="n">
        <f aca="false">IF(E68=0,IF((D68+N68-O68)&lt;0,ABS(D68+N68-O68),0),IF((N68-E68-O68)&lt;0,ABS(N68-E68-O68),0))</f>
        <v>0</v>
      </c>
    </row>
    <row r="69" customFormat="false" ht="15" hidden="false" customHeight="false" outlineLevel="0" collapsed="false">
      <c r="A69" s="17" t="s">
        <v>203</v>
      </c>
      <c r="B69" s="18" t="str">
        <f aca="false">листопад!B69</f>
        <v>Брежнєв О.В.</v>
      </c>
      <c r="C69" s="18" t="str">
        <f aca="false">листопад!C69</f>
        <v>2061</v>
      </c>
      <c r="D69" s="19" t="n">
        <f aca="false">листопад!P69</f>
        <v>4061.49</v>
      </c>
      <c r="E69" s="19" t="n">
        <f aca="false">листопад!Q69</f>
        <v>0</v>
      </c>
      <c r="F69" s="20" t="n">
        <f aca="false">листопад!F69</f>
        <v>0</v>
      </c>
      <c r="G69" s="21" t="n">
        <f aca="false">листопад!G69</f>
        <v>61.88</v>
      </c>
      <c r="H69" s="21" t="n">
        <f aca="false">листопад!H69</f>
        <v>0</v>
      </c>
      <c r="I69" s="22" t="n">
        <f aca="false">листопад!I69</f>
        <v>4.1</v>
      </c>
      <c r="J69" s="23" t="n">
        <f aca="false">ROUND(G69*I69,2)</f>
        <v>253.71</v>
      </c>
      <c r="K69" s="19"/>
      <c r="L69" s="19"/>
      <c r="M69" s="19"/>
      <c r="N69" s="19" t="n">
        <f aca="false">ROUND((G69*I69)-K69-L69-M69,2)</f>
        <v>253.71</v>
      </c>
      <c r="O69" s="19"/>
      <c r="P69" s="25" t="n">
        <f aca="false">IF(D69=0,IF((N69-E69-O69)&gt;0,(N69-E69-O69),0),IF((D69+N69-O69)&gt;0,(D69+N69-O69),0))</f>
        <v>4315.2</v>
      </c>
      <c r="Q69" s="25" t="n">
        <f aca="false">IF(E69=0,IF((D69+N69-O69)&lt;0,ABS(D69+N69-O69),0),IF((N69-E69-O69)&lt;0,ABS(N69-E69-O69),0))</f>
        <v>0</v>
      </c>
    </row>
    <row r="70" customFormat="false" ht="15" hidden="false" customHeight="false" outlineLevel="0" collapsed="false">
      <c r="A70" s="17" t="s">
        <v>206</v>
      </c>
      <c r="B70" s="18" t="str">
        <f aca="false">листопад!B70</f>
        <v>Горбатюк К.О.</v>
      </c>
      <c r="C70" s="18" t="str">
        <f aca="false">листопад!C70</f>
        <v>2062</v>
      </c>
      <c r="D70" s="19" t="n">
        <f aca="false">листопад!P70</f>
        <v>2423.82</v>
      </c>
      <c r="E70" s="19" t="n">
        <f aca="false">листопад!Q70</f>
        <v>0</v>
      </c>
      <c r="F70" s="20" t="n">
        <f aca="false">листопад!F70</f>
        <v>0</v>
      </c>
      <c r="G70" s="21" t="n">
        <f aca="false">листопад!G70</f>
        <v>34.96</v>
      </c>
      <c r="H70" s="21" t="n">
        <f aca="false">листопад!H70</f>
        <v>0</v>
      </c>
      <c r="I70" s="22" t="n">
        <f aca="false">листопад!I70</f>
        <v>4.1</v>
      </c>
      <c r="J70" s="23" t="n">
        <f aca="false">ROUND(G70*I70,2)</f>
        <v>143.34</v>
      </c>
      <c r="K70" s="19"/>
      <c r="L70" s="19"/>
      <c r="M70" s="19"/>
      <c r="N70" s="19" t="n">
        <f aca="false">ROUND((G70*I70)-K70-L70-M70,2)</f>
        <v>143.34</v>
      </c>
      <c r="O70" s="19"/>
      <c r="P70" s="25" t="n">
        <f aca="false">IF(D70=0,IF((N70-E70-O70)&gt;0,(N70-E70-O70),0),IF((D70+N70-O70)&gt;0,(D70+N70-O70),0))</f>
        <v>2567.16</v>
      </c>
      <c r="Q70" s="25" t="n">
        <f aca="false">IF(E70=0,IF((D70+N70-O70)&lt;0,ABS(D70+N70-O70),0),IF((N70-E70-O70)&lt;0,ABS(N70-E70-O70),0))</f>
        <v>0</v>
      </c>
    </row>
    <row r="71" customFormat="false" ht="15" hidden="false" customHeight="false" outlineLevel="0" collapsed="false">
      <c r="A71" s="17" t="s">
        <v>209</v>
      </c>
      <c r="B71" s="18" t="str">
        <f aca="false">листопад!B71</f>
        <v>Божик М.О.</v>
      </c>
      <c r="C71" s="18" t="str">
        <f aca="false">листопад!C71</f>
        <v>2063</v>
      </c>
      <c r="D71" s="19" t="n">
        <f aca="false">листопад!P71</f>
        <v>1244.32</v>
      </c>
      <c r="E71" s="19" t="n">
        <f aca="false">листопад!Q71</f>
        <v>0</v>
      </c>
      <c r="F71" s="20" t="n">
        <f aca="false">листопад!F71</f>
        <v>0</v>
      </c>
      <c r="G71" s="21" t="n">
        <f aca="false">листопад!G71</f>
        <v>50.03</v>
      </c>
      <c r="H71" s="21" t="n">
        <f aca="false">листопад!H71</f>
        <v>0</v>
      </c>
      <c r="I71" s="22" t="n">
        <f aca="false">листопад!I71</f>
        <v>4.1</v>
      </c>
      <c r="J71" s="23" t="n">
        <f aca="false">ROUND(G71*I71,2)</f>
        <v>205.12</v>
      </c>
      <c r="K71" s="19"/>
      <c r="L71" s="19"/>
      <c r="M71" s="19"/>
      <c r="N71" s="19" t="n">
        <f aca="false">ROUND((G71*I71)-K71-L71-M71,2)</f>
        <v>205.12</v>
      </c>
      <c r="O71" s="19"/>
      <c r="P71" s="25" t="n">
        <f aca="false">IF(D71=0,IF((N71-E71-O71)&gt;0,(N71-E71-O71),0),IF((D71+N71-O71)&gt;0,(D71+N71-O71),0))</f>
        <v>1449.44</v>
      </c>
      <c r="Q71" s="25" t="n">
        <f aca="false">IF(E71=0,IF((D71+N71-O71)&lt;0,ABS(D71+N71-O71),0),IF((N71-E71-O71)&lt;0,ABS(N71-E71-O71),0))</f>
        <v>0</v>
      </c>
    </row>
    <row r="72" customFormat="false" ht="15" hidden="false" customHeight="false" outlineLevel="0" collapsed="false">
      <c r="A72" s="17" t="s">
        <v>212</v>
      </c>
      <c r="B72" s="18" t="str">
        <f aca="false">листопад!B72</f>
        <v>Зайченко С.Л</v>
      </c>
      <c r="C72" s="18" t="str">
        <f aca="false">листопад!C72</f>
        <v>2064</v>
      </c>
      <c r="D72" s="19" t="n">
        <f aca="false">листопад!P72</f>
        <v>5846.97</v>
      </c>
      <c r="E72" s="19" t="n">
        <f aca="false">листопад!Q72</f>
        <v>0</v>
      </c>
      <c r="F72" s="20" t="n">
        <f aca="false">листопад!F72</f>
        <v>0</v>
      </c>
      <c r="G72" s="21" t="n">
        <f aca="false">листопад!G72</f>
        <v>65.15</v>
      </c>
      <c r="H72" s="21" t="n">
        <f aca="false">листопад!H72</f>
        <v>0</v>
      </c>
      <c r="I72" s="22" t="n">
        <f aca="false">листопад!I72</f>
        <v>4.1</v>
      </c>
      <c r="J72" s="23" t="n">
        <f aca="false">ROUND(G72*I72,2)</f>
        <v>267.12</v>
      </c>
      <c r="K72" s="19"/>
      <c r="L72" s="19"/>
      <c r="M72" s="19"/>
      <c r="N72" s="19" t="n">
        <f aca="false">ROUND((G72*I72)-K72-L72-M72,2)</f>
        <v>267.12</v>
      </c>
      <c r="O72" s="19"/>
      <c r="P72" s="25" t="n">
        <f aca="false">IF(D72=0,IF((N72-E72-O72)&gt;0,(N72-E72-O72),0),IF((D72+N72-O72)&gt;0,(D72+N72-O72),0))</f>
        <v>6114.09</v>
      </c>
      <c r="Q72" s="25" t="n">
        <f aca="false">IF(E72=0,IF((D72+N72-O72)&lt;0,ABS(D72+N72-O72),0),IF((N72-E72-O72)&lt;0,ABS(N72-E72-O72),0))</f>
        <v>0</v>
      </c>
    </row>
    <row r="73" customFormat="false" ht="15" hidden="false" customHeight="false" outlineLevel="0" collapsed="false">
      <c r="A73" s="17" t="s">
        <v>215</v>
      </c>
      <c r="B73" s="18" t="str">
        <f aca="false">листопад!B73</f>
        <v>Бессараб Н.Г.</v>
      </c>
      <c r="C73" s="18" t="str">
        <f aca="false">листопад!C73</f>
        <v>2065</v>
      </c>
      <c r="D73" s="19" t="n">
        <f aca="false">листопад!P73</f>
        <v>448.47</v>
      </c>
      <c r="E73" s="19" t="n">
        <f aca="false">листопад!Q73</f>
        <v>0</v>
      </c>
      <c r="F73" s="20" t="n">
        <f aca="false">листопад!F73</f>
        <v>0</v>
      </c>
      <c r="G73" s="21" t="n">
        <f aca="false">листопад!G73</f>
        <v>63.41</v>
      </c>
      <c r="H73" s="21" t="n">
        <f aca="false">листопад!H73</f>
        <v>0</v>
      </c>
      <c r="I73" s="22" t="n">
        <f aca="false">листопад!I73</f>
        <v>4.1</v>
      </c>
      <c r="J73" s="23" t="n">
        <f aca="false">ROUND(G73*I73,2)</f>
        <v>259.98</v>
      </c>
      <c r="K73" s="19"/>
      <c r="L73" s="19"/>
      <c r="M73" s="19"/>
      <c r="N73" s="19" t="n">
        <f aca="false">ROUND((G73*I73)-K73-L73-M73,2)</f>
        <v>259.98</v>
      </c>
      <c r="O73" s="19"/>
      <c r="P73" s="25" t="n">
        <f aca="false">IF(D73=0,IF((N73-E73-O73)&gt;0,(N73-E73-O73),0),IF((D73+N73-O73)&gt;0,(D73+N73-O73),0))</f>
        <v>708.45</v>
      </c>
      <c r="Q73" s="25" t="n">
        <f aca="false">IF(E73=0,IF((D73+N73-O73)&lt;0,ABS(D73+N73-O73),0),IF((N73-E73-O73)&lt;0,ABS(N73-E73-O73),0))</f>
        <v>0</v>
      </c>
    </row>
    <row r="74" customFormat="false" ht="15" hidden="false" customHeight="false" outlineLevel="0" collapsed="false">
      <c r="A74" s="17" t="s">
        <v>218</v>
      </c>
      <c r="B74" s="18" t="str">
        <f aca="false">листопад!B74</f>
        <v>Прохорова С.І.</v>
      </c>
      <c r="C74" s="18" t="str">
        <f aca="false">листопад!C74</f>
        <v>2066</v>
      </c>
      <c r="D74" s="19" t="n">
        <f aca="false">листопад!P74</f>
        <v>2961.07</v>
      </c>
      <c r="E74" s="19" t="n">
        <f aca="false">листопад!Q74</f>
        <v>0</v>
      </c>
      <c r="F74" s="20" t="n">
        <f aca="false">листопад!F74</f>
        <v>0</v>
      </c>
      <c r="G74" s="21" t="n">
        <f aca="false">листопад!G74</f>
        <v>35.19</v>
      </c>
      <c r="H74" s="21" t="n">
        <f aca="false">листопад!H74</f>
        <v>0</v>
      </c>
      <c r="I74" s="22" t="n">
        <f aca="false">листопад!I74</f>
        <v>4.1</v>
      </c>
      <c r="J74" s="23" t="n">
        <f aca="false">ROUND(G74*I74,2)</f>
        <v>144.28</v>
      </c>
      <c r="K74" s="19"/>
      <c r="L74" s="19"/>
      <c r="M74" s="19"/>
      <c r="N74" s="19" t="n">
        <f aca="false">ROUND((G74*I74)-K74-L74-M74,2)</f>
        <v>144.28</v>
      </c>
      <c r="O74" s="19"/>
      <c r="P74" s="25" t="n">
        <f aca="false">IF(D74=0,IF((N74-E74-O74)&gt;0,(N74-E74-O74),0),IF((D74+N74-O74)&gt;0,(D74+N74-O74),0))</f>
        <v>3105.35</v>
      </c>
      <c r="Q74" s="25" t="n">
        <f aca="false">IF(E74=0,IF((D74+N74-O74)&lt;0,ABS(D74+N74-O74),0),IF((N74-E74-O74)&lt;0,ABS(N74-E74-O74),0))</f>
        <v>0</v>
      </c>
    </row>
    <row r="75" customFormat="false" ht="15" hidden="false" customHeight="false" outlineLevel="0" collapsed="false">
      <c r="A75" s="17" t="s">
        <v>221</v>
      </c>
      <c r="B75" s="18" t="str">
        <f aca="false">листопад!B75</f>
        <v>Браташ А.Ф.</v>
      </c>
      <c r="C75" s="18" t="str">
        <f aca="false">листопад!C75</f>
        <v>2067</v>
      </c>
      <c r="D75" s="19" t="n">
        <f aca="false">листопад!P75</f>
        <v>4767.32</v>
      </c>
      <c r="E75" s="19" t="n">
        <f aca="false">листопад!Q75</f>
        <v>0</v>
      </c>
      <c r="F75" s="20" t="n">
        <f aca="false">листопад!F75</f>
        <v>0</v>
      </c>
      <c r="G75" s="21" t="n">
        <f aca="false">листопад!G75</f>
        <v>49.89</v>
      </c>
      <c r="H75" s="21" t="n">
        <f aca="false">листопад!H75</f>
        <v>0</v>
      </c>
      <c r="I75" s="22" t="n">
        <f aca="false">листопад!I75</f>
        <v>4.1</v>
      </c>
      <c r="J75" s="23" t="n">
        <f aca="false">ROUND(G75*I75,2)</f>
        <v>204.55</v>
      </c>
      <c r="K75" s="19"/>
      <c r="L75" s="19"/>
      <c r="M75" s="19"/>
      <c r="N75" s="19" t="n">
        <f aca="false">ROUND((G75*I75)-K75-L75-M75,2)</f>
        <v>204.55</v>
      </c>
      <c r="O75" s="19"/>
      <c r="P75" s="25" t="n">
        <f aca="false">IF(D75=0,IF((N75-E75-O75)&gt;0,(N75-E75-O75),0),IF((D75+N75-O75)&gt;0,(D75+N75-O75),0))</f>
        <v>4971.87</v>
      </c>
      <c r="Q75" s="25" t="n">
        <f aca="false">IF(E75=0,IF((D75+N75-O75)&lt;0,ABS(D75+N75-O75),0),IF((N75-E75-O75)&lt;0,ABS(N75-E75-O75),0))</f>
        <v>0</v>
      </c>
    </row>
    <row r="76" customFormat="false" ht="15" hidden="false" customHeight="false" outlineLevel="0" collapsed="false">
      <c r="A76" s="17" t="s">
        <v>224</v>
      </c>
      <c r="B76" s="18" t="str">
        <f aca="false">листопад!B76</f>
        <v>Кудас Д.О.</v>
      </c>
      <c r="C76" s="18" t="str">
        <f aca="false">листопад!C76</f>
        <v>2068</v>
      </c>
      <c r="D76" s="19" t="n">
        <f aca="false">листопад!P76</f>
        <v>1398.82</v>
      </c>
      <c r="E76" s="19" t="n">
        <f aca="false">листопад!Q76</f>
        <v>0</v>
      </c>
      <c r="F76" s="20" t="n">
        <f aca="false">листопад!F76</f>
        <v>0</v>
      </c>
      <c r="G76" s="21" t="n">
        <f aca="false">листопад!G76</f>
        <v>65.03</v>
      </c>
      <c r="H76" s="21" t="n">
        <f aca="false">листопад!H76</f>
        <v>0</v>
      </c>
      <c r="I76" s="22" t="n">
        <f aca="false">листопад!I76</f>
        <v>4.1</v>
      </c>
      <c r="J76" s="23" t="n">
        <f aca="false">ROUND(G76*I76,2)</f>
        <v>266.62</v>
      </c>
      <c r="K76" s="19"/>
      <c r="L76" s="19"/>
      <c r="M76" s="19"/>
      <c r="N76" s="19" t="n">
        <f aca="false">ROUND((G76*I76)-K76-L76-M76,2)</f>
        <v>266.62</v>
      </c>
      <c r="O76" s="19"/>
      <c r="P76" s="25" t="n">
        <f aca="false">IF(D76=0,IF((N76-E76-O76)&gt;0,(N76-E76-O76),0),IF((D76+N76-O76)&gt;0,(D76+N76-O76),0))</f>
        <v>1665.44</v>
      </c>
      <c r="Q76" s="25" t="n">
        <f aca="false">IF(E76=0,IF((D76+N76-O76)&lt;0,ABS(D76+N76-O76),0),IF((N76-E76-O76)&lt;0,ABS(N76-E76-O76),0))</f>
        <v>0</v>
      </c>
    </row>
    <row r="77" customFormat="false" ht="15" hidden="false" customHeight="false" outlineLevel="0" collapsed="false">
      <c r="A77" s="17" t="s">
        <v>227</v>
      </c>
      <c r="B77" s="18" t="str">
        <f aca="false">листопад!B77</f>
        <v>Шушлєбін Б.В.</v>
      </c>
      <c r="C77" s="18" t="str">
        <f aca="false">листопад!C77</f>
        <v>2069</v>
      </c>
      <c r="D77" s="19" t="n">
        <f aca="false">листопад!P77</f>
        <v>1507.76</v>
      </c>
      <c r="E77" s="19" t="n">
        <f aca="false">листопад!Q77</f>
        <v>0</v>
      </c>
      <c r="F77" s="20" t="n">
        <f aca="false">листопад!F77</f>
        <v>0</v>
      </c>
      <c r="G77" s="21" t="n">
        <f aca="false">листопад!G77</f>
        <v>62.11</v>
      </c>
      <c r="H77" s="21" t="n">
        <f aca="false">листопад!H77</f>
        <v>0</v>
      </c>
      <c r="I77" s="22" t="n">
        <f aca="false">листопад!I77</f>
        <v>4.1</v>
      </c>
      <c r="J77" s="23" t="n">
        <f aca="false">ROUND(G77*I77,2)</f>
        <v>254.65</v>
      </c>
      <c r="K77" s="19"/>
      <c r="L77" s="19"/>
      <c r="M77" s="19"/>
      <c r="N77" s="19" t="n">
        <f aca="false">ROUND((G77*I77)-K77-L77-M77,2)</f>
        <v>254.65</v>
      </c>
      <c r="O77" s="19"/>
      <c r="P77" s="25" t="n">
        <f aca="false">IF(D77=0,IF((N77-E77-O77)&gt;0,(N77-E77-O77),0),IF((D77+N77-O77)&gt;0,(D77+N77-O77),0))</f>
        <v>1762.41</v>
      </c>
      <c r="Q77" s="25" t="n">
        <f aca="false">IF(E77=0,IF((D77+N77-O77)&lt;0,ABS(D77+N77-O77),0),IF((N77-E77-O77)&lt;0,ABS(N77-E77-O77),0))</f>
        <v>0</v>
      </c>
    </row>
    <row r="78" customFormat="false" ht="15" hidden="false" customHeight="false" outlineLevel="0" collapsed="false">
      <c r="A78" s="17" t="s">
        <v>230</v>
      </c>
      <c r="B78" s="18" t="str">
        <f aca="false">листопад!B78</f>
        <v>Бородіна І.О.</v>
      </c>
      <c r="C78" s="18" t="str">
        <f aca="false">листопад!C78</f>
        <v>2070</v>
      </c>
      <c r="D78" s="19" t="n">
        <f aca="false">листопад!P78</f>
        <v>3188.74</v>
      </c>
      <c r="E78" s="19" t="n">
        <f aca="false">листопад!Q78</f>
        <v>0</v>
      </c>
      <c r="F78" s="20" t="n">
        <f aca="false">листопад!F78</f>
        <v>0</v>
      </c>
      <c r="G78" s="21" t="n">
        <f aca="false">листопад!G78</f>
        <v>34.9</v>
      </c>
      <c r="H78" s="21" t="n">
        <f aca="false">листопад!H78</f>
        <v>0</v>
      </c>
      <c r="I78" s="22" t="n">
        <f aca="false">листопад!I78</f>
        <v>4.1</v>
      </c>
      <c r="J78" s="23" t="n">
        <f aca="false">ROUND(G78*I78,2)</f>
        <v>143.09</v>
      </c>
      <c r="K78" s="19"/>
      <c r="L78" s="19"/>
      <c r="M78" s="19"/>
      <c r="N78" s="19" t="n">
        <f aca="false">ROUND((G78*I78)-K78-L78-M78,2)</f>
        <v>143.09</v>
      </c>
      <c r="O78" s="19"/>
      <c r="P78" s="25" t="n">
        <f aca="false">IF(D78=0,IF((N78-E78-O78)&gt;0,(N78-E78-O78),0),IF((D78+N78-O78)&gt;0,(D78+N78-O78),0))</f>
        <v>3331.83</v>
      </c>
      <c r="Q78" s="25" t="n">
        <f aca="false">IF(E78=0,IF((D78+N78-O78)&lt;0,ABS(D78+N78-O78),0),IF((N78-E78-O78)&lt;0,ABS(N78-E78-O78),0))</f>
        <v>0</v>
      </c>
    </row>
    <row r="79" customFormat="false" ht="15" hidden="false" customHeight="false" outlineLevel="0" collapsed="false">
      <c r="A79" s="17" t="s">
        <v>233</v>
      </c>
      <c r="B79" s="18" t="str">
        <f aca="false">листопад!B79</f>
        <v>Котурга Л.Й.</v>
      </c>
      <c r="C79" s="18" t="str">
        <f aca="false">листопад!C79</f>
        <v>2071</v>
      </c>
      <c r="D79" s="19" t="n">
        <f aca="false">листопад!P79</f>
        <v>2659.1</v>
      </c>
      <c r="E79" s="19" t="n">
        <f aca="false">листопад!Q79</f>
        <v>0</v>
      </c>
      <c r="F79" s="20" t="n">
        <f aca="false">листопад!F79</f>
        <v>0</v>
      </c>
      <c r="G79" s="21" t="n">
        <f aca="false">листопад!G79</f>
        <v>49.2</v>
      </c>
      <c r="H79" s="21" t="n">
        <f aca="false">листопад!H79</f>
        <v>0</v>
      </c>
      <c r="I79" s="22" t="n">
        <f aca="false">листопад!I79</f>
        <v>4.1</v>
      </c>
      <c r="J79" s="23" t="n">
        <f aca="false">ROUND(G79*I79,2)</f>
        <v>201.72</v>
      </c>
      <c r="K79" s="19"/>
      <c r="L79" s="19"/>
      <c r="M79" s="19"/>
      <c r="N79" s="19" t="n">
        <f aca="false">ROUND((G79*I79)-K79-L79-M79,2)</f>
        <v>201.72</v>
      </c>
      <c r="O79" s="19"/>
      <c r="P79" s="25" t="n">
        <f aca="false">IF(D79=0,IF((N79-E79-O79)&gt;0,(N79-E79-O79),0),IF((D79+N79-O79)&gt;0,(D79+N79-O79),0))</f>
        <v>2860.82</v>
      </c>
      <c r="Q79" s="25" t="n">
        <f aca="false">IF(E79=0,IF((D79+N79-O79)&lt;0,ABS(D79+N79-O79),0),IF((N79-E79-O79)&lt;0,ABS(N79-E79-O79),0))</f>
        <v>0</v>
      </c>
    </row>
    <row r="80" customFormat="false" ht="15" hidden="false" customHeight="false" outlineLevel="0" collapsed="false">
      <c r="A80" s="17" t="s">
        <v>236</v>
      </c>
      <c r="B80" s="18" t="str">
        <f aca="false">листопад!B80</f>
        <v>Горова О.І.</v>
      </c>
      <c r="C80" s="18" t="str">
        <f aca="false">листопад!C80</f>
        <v>2072</v>
      </c>
      <c r="D80" s="19" t="n">
        <f aca="false">листопад!P80</f>
        <v>4627.33</v>
      </c>
      <c r="E80" s="19" t="n">
        <f aca="false">листопад!Q80</f>
        <v>0</v>
      </c>
      <c r="F80" s="20" t="n">
        <f aca="false">листопад!F80</f>
        <v>0</v>
      </c>
      <c r="G80" s="21" t="n">
        <f aca="false">листопад!G80</f>
        <v>65.43</v>
      </c>
      <c r="H80" s="21" t="n">
        <f aca="false">листопад!H80</f>
        <v>0</v>
      </c>
      <c r="I80" s="22" t="n">
        <f aca="false">листопад!I80</f>
        <v>4.1</v>
      </c>
      <c r="J80" s="23" t="n">
        <f aca="false">ROUND(G80*I80,2)</f>
        <v>268.26</v>
      </c>
      <c r="K80" s="19"/>
      <c r="L80" s="19"/>
      <c r="M80" s="19"/>
      <c r="N80" s="19" t="n">
        <f aca="false">ROUND((G80*I80)-K80-L80-M80,2)</f>
        <v>268.26</v>
      </c>
      <c r="O80" s="19"/>
      <c r="P80" s="25" t="n">
        <f aca="false">IF(D80=0,IF((N80-E80-O80)&gt;0,(N80-E80-O80),0),IF((D80+N80-O80)&gt;0,(D80+N80-O80),0))</f>
        <v>4895.59</v>
      </c>
      <c r="Q80" s="25" t="n">
        <f aca="false">IF(E80=0,IF((D80+N80-O80)&lt;0,ABS(D80+N80-O80),0),IF((N80-E80-O80)&lt;0,ABS(N80-E80-O80),0))</f>
        <v>0</v>
      </c>
    </row>
    <row r="81" customFormat="false" ht="15" hidden="false" customHeight="false" outlineLevel="0" collapsed="false">
      <c r="A81" s="17" t="s">
        <v>239</v>
      </c>
      <c r="B81" s="18" t="str">
        <f aca="false">листопад!B81</f>
        <v>Рибакевич М.П.</v>
      </c>
      <c r="C81" s="18" t="str">
        <f aca="false">листопад!C81</f>
        <v>3073</v>
      </c>
      <c r="D81" s="19" t="n">
        <f aca="false">листопад!P81</f>
        <v>5031.05</v>
      </c>
      <c r="E81" s="19" t="n">
        <f aca="false">листопад!Q81</f>
        <v>0</v>
      </c>
      <c r="F81" s="20" t="n">
        <f aca="false">листопад!F81</f>
        <v>0</v>
      </c>
      <c r="G81" s="21" t="n">
        <f aca="false">листопад!G81</f>
        <v>64.5</v>
      </c>
      <c r="H81" s="21" t="n">
        <f aca="false">листопад!H81</f>
        <v>0</v>
      </c>
      <c r="I81" s="22" t="n">
        <f aca="false">листопад!I81</f>
        <v>4.1</v>
      </c>
      <c r="J81" s="23" t="n">
        <f aca="false">ROUND(G81*I81,2)</f>
        <v>264.45</v>
      </c>
      <c r="K81" s="19"/>
      <c r="L81" s="19"/>
      <c r="M81" s="19"/>
      <c r="N81" s="19" t="n">
        <f aca="false">ROUND((G81*I81)-K81-L81-M81,2)</f>
        <v>264.45</v>
      </c>
      <c r="O81" s="19"/>
      <c r="P81" s="25" t="n">
        <f aca="false">IF(D81=0,IF((N81-E81-O81)&gt;0,(N81-E81-O81),0),IF((D81+N81-O81)&gt;0,(D81+N81-O81),0))</f>
        <v>5295.5</v>
      </c>
      <c r="Q81" s="25" t="n">
        <f aca="false">IF(E81=0,IF((D81+N81-O81)&lt;0,ABS(D81+N81-O81),0),IF((N81-E81-O81)&lt;0,ABS(N81-E81-O81),0))</f>
        <v>0</v>
      </c>
    </row>
    <row r="82" customFormat="false" ht="15" hidden="false" customHeight="false" outlineLevel="0" collapsed="false">
      <c r="A82" s="17" t="s">
        <v>242</v>
      </c>
      <c r="B82" s="18" t="str">
        <f aca="false">листопад!B82</f>
        <v>Башкалов В.В.</v>
      </c>
      <c r="C82" s="18" t="str">
        <f aca="false">листопад!C82</f>
        <v>3074</v>
      </c>
      <c r="D82" s="19" t="n">
        <f aca="false">листопад!P82</f>
        <v>1026.08</v>
      </c>
      <c r="E82" s="19" t="n">
        <f aca="false">листопад!Q82</f>
        <v>0</v>
      </c>
      <c r="F82" s="20" t="n">
        <f aca="false">листопад!F82</f>
        <v>0</v>
      </c>
      <c r="G82" s="21" t="n">
        <f aca="false">листопад!G82</f>
        <v>50.8</v>
      </c>
      <c r="H82" s="21" t="n">
        <f aca="false">листопад!H82</f>
        <v>0</v>
      </c>
      <c r="I82" s="22" t="n">
        <f aca="false">листопад!I82</f>
        <v>4.1</v>
      </c>
      <c r="J82" s="23" t="n">
        <f aca="false">ROUND(G82*I82,2)</f>
        <v>208.28</v>
      </c>
      <c r="K82" s="19"/>
      <c r="L82" s="19"/>
      <c r="M82" s="19"/>
      <c r="N82" s="19" t="n">
        <f aca="false">ROUND((G82*I82)-K82-L82-M82,2)</f>
        <v>208.28</v>
      </c>
      <c r="O82" s="19"/>
      <c r="P82" s="25" t="n">
        <f aca="false">IF(D82=0,IF((N82-E82-O82)&gt;0,(N82-E82-O82),0),IF((D82+N82-O82)&gt;0,(D82+N82-O82),0))</f>
        <v>1234.36</v>
      </c>
      <c r="Q82" s="25" t="n">
        <f aca="false">IF(E82=0,IF((D82+N82-O82)&lt;0,ABS(D82+N82-O82),0),IF((N82-E82-O82)&lt;0,ABS(N82-E82-O82),0))</f>
        <v>0</v>
      </c>
    </row>
    <row r="83" customFormat="false" ht="15" hidden="false" customHeight="false" outlineLevel="0" collapsed="false">
      <c r="A83" s="17" t="s">
        <v>245</v>
      </c>
      <c r="B83" s="18" t="str">
        <f aca="false">листопад!B83</f>
        <v>Тіхенко Г.Д.</v>
      </c>
      <c r="C83" s="18" t="str">
        <f aca="false">листопад!C83</f>
        <v>3075</v>
      </c>
      <c r="D83" s="19" t="n">
        <f aca="false">листопад!P83</f>
        <v>2440.26</v>
      </c>
      <c r="E83" s="19" t="n">
        <f aca="false">листопад!Q83</f>
        <v>0</v>
      </c>
      <c r="F83" s="20" t="n">
        <f aca="false">листопад!F83</f>
        <v>0</v>
      </c>
      <c r="G83" s="21" t="n">
        <f aca="false">листопад!G83</f>
        <v>34.9</v>
      </c>
      <c r="H83" s="21" t="n">
        <f aca="false">листопад!H83</f>
        <v>0</v>
      </c>
      <c r="I83" s="22" t="n">
        <f aca="false">листопад!I83</f>
        <v>4.1</v>
      </c>
      <c r="J83" s="23" t="n">
        <f aca="false">ROUND(G83*I83,2)</f>
        <v>143.09</v>
      </c>
      <c r="K83" s="19"/>
      <c r="L83" s="19"/>
      <c r="M83" s="19"/>
      <c r="N83" s="19" t="n">
        <f aca="false">ROUND((G83*I83)-K83-L83-M83,2)</f>
        <v>143.09</v>
      </c>
      <c r="O83" s="19"/>
      <c r="P83" s="25" t="n">
        <f aca="false">IF(D83=0,IF((N83-E83-O83)&gt;0,(N83-E83-O83),0),IF((D83+N83-O83)&gt;0,(D83+N83-O83),0))</f>
        <v>2583.35</v>
      </c>
      <c r="Q83" s="25" t="n">
        <f aca="false">IF(E83=0,IF((D83+N83-O83)&lt;0,ABS(D83+N83-O83),0),IF((N83-E83-O83)&lt;0,ABS(N83-E83-O83),0))</f>
        <v>0</v>
      </c>
    </row>
    <row r="84" customFormat="false" ht="15" hidden="false" customHeight="false" outlineLevel="0" collapsed="false">
      <c r="A84" s="17" t="s">
        <v>248</v>
      </c>
      <c r="B84" s="18" t="str">
        <f aca="false">листопад!B84</f>
        <v>Головченко В.Г.</v>
      </c>
      <c r="C84" s="18" t="str">
        <f aca="false">листопад!C84</f>
        <v>3076</v>
      </c>
      <c r="D84" s="19" t="n">
        <f aca="false">листопад!P84</f>
        <v>948.68</v>
      </c>
      <c r="E84" s="19" t="n">
        <f aca="false">листопад!Q84</f>
        <v>0</v>
      </c>
      <c r="F84" s="20" t="n">
        <f aca="false">листопад!F84</f>
        <v>0</v>
      </c>
      <c r="G84" s="21" t="n">
        <f aca="false">листопад!G84</f>
        <v>61</v>
      </c>
      <c r="H84" s="21" t="n">
        <f aca="false">листопад!H84</f>
        <v>0</v>
      </c>
      <c r="I84" s="22" t="n">
        <f aca="false">листопад!I84</f>
        <v>4.1</v>
      </c>
      <c r="J84" s="23" t="n">
        <f aca="false">ROUND(G84*I84,2)</f>
        <v>250.1</v>
      </c>
      <c r="K84" s="19"/>
      <c r="L84" s="19"/>
      <c r="M84" s="19"/>
      <c r="N84" s="19" t="n">
        <f aca="false">ROUND((G84*I84)-K84-L84-M84,2)</f>
        <v>250.1</v>
      </c>
      <c r="O84" s="19"/>
      <c r="P84" s="25" t="n">
        <f aca="false">IF(D84=0,IF((N84-E84-O84)&gt;0,(N84-E84-O84),0),IF((D84+N84-O84)&gt;0,(D84+N84-O84),0))</f>
        <v>1198.78</v>
      </c>
      <c r="Q84" s="25" t="n">
        <f aca="false">IF(E84=0,IF((D84+N84-O84)&lt;0,ABS(D84+N84-O84),0),IF((N84-E84-O84)&lt;0,ABS(N84-E84-O84),0))</f>
        <v>0</v>
      </c>
    </row>
    <row r="85" customFormat="false" ht="15" hidden="false" customHeight="false" outlineLevel="0" collapsed="false">
      <c r="A85" s="17" t="s">
        <v>251</v>
      </c>
      <c r="B85" s="18" t="str">
        <f aca="false">листопад!B85</f>
        <v>Семанішина Є.С.</v>
      </c>
      <c r="C85" s="18" t="str">
        <f aca="false">листопад!C85</f>
        <v>3077</v>
      </c>
      <c r="D85" s="19" t="n">
        <f aca="false">листопад!P85</f>
        <v>4488.4</v>
      </c>
      <c r="E85" s="19" t="n">
        <f aca="false">листопад!Q85</f>
        <v>0</v>
      </c>
      <c r="F85" s="20" t="n">
        <f aca="false">листопад!F85</f>
        <v>0</v>
      </c>
      <c r="G85" s="21" t="n">
        <f aca="false">листопад!G85</f>
        <v>64.5</v>
      </c>
      <c r="H85" s="21" t="n">
        <f aca="false">листопад!H85</f>
        <v>0</v>
      </c>
      <c r="I85" s="22" t="n">
        <f aca="false">листопад!I85</f>
        <v>4.1</v>
      </c>
      <c r="J85" s="23" t="n">
        <f aca="false">ROUND(G85*I85,2)</f>
        <v>264.45</v>
      </c>
      <c r="K85" s="19"/>
      <c r="L85" s="19"/>
      <c r="M85" s="19"/>
      <c r="N85" s="19" t="n">
        <f aca="false">ROUND((G85*I85)-K85-L85-M85,2)</f>
        <v>264.45</v>
      </c>
      <c r="O85" s="19"/>
      <c r="P85" s="25" t="n">
        <f aca="false">IF(D85=0,IF((N85-E85-O85)&gt;0,(N85-E85-O85),0),IF((D85+N85-O85)&gt;0,(D85+N85-O85),0))</f>
        <v>4752.85</v>
      </c>
      <c r="Q85" s="25" t="n">
        <f aca="false">IF(E85=0,IF((D85+N85-O85)&lt;0,ABS(D85+N85-O85),0),IF((N85-E85-O85)&lt;0,ABS(N85-E85-O85),0))</f>
        <v>0</v>
      </c>
    </row>
    <row r="86" customFormat="false" ht="15" hidden="false" customHeight="false" outlineLevel="0" collapsed="false">
      <c r="A86" s="17" t="s">
        <v>254</v>
      </c>
      <c r="B86" s="18" t="str">
        <f aca="false">листопад!B86</f>
        <v>Зінченко Ю.В.</v>
      </c>
      <c r="C86" s="18" t="str">
        <f aca="false">листопад!C86</f>
        <v>3078</v>
      </c>
      <c r="D86" s="19" t="n">
        <f aca="false">листопад!P86</f>
        <v>987.04</v>
      </c>
      <c r="E86" s="19" t="n">
        <f aca="false">листопад!Q86</f>
        <v>0</v>
      </c>
      <c r="F86" s="20" t="n">
        <f aca="false">листопад!F86</f>
        <v>0</v>
      </c>
      <c r="G86" s="21" t="n">
        <f aca="false">листопад!G86</f>
        <v>49.3</v>
      </c>
      <c r="H86" s="21" t="n">
        <f aca="false">листопад!H86</f>
        <v>0</v>
      </c>
      <c r="I86" s="22" t="n">
        <f aca="false">листопад!I86</f>
        <v>4.1</v>
      </c>
      <c r="J86" s="23" t="n">
        <f aca="false">ROUND(G86*I86,2)</f>
        <v>202.13</v>
      </c>
      <c r="K86" s="19"/>
      <c r="L86" s="19"/>
      <c r="M86" s="19"/>
      <c r="N86" s="19" t="n">
        <f aca="false">ROUND((G86*I86)-K86-L86-M86,2)</f>
        <v>202.13</v>
      </c>
      <c r="O86" s="19"/>
      <c r="P86" s="25" t="n">
        <f aca="false">IF(D86=0,IF((N86-E86-O86)&gt;0,(N86-E86-O86),0),IF((D86+N86-O86)&gt;0,(D86+N86-O86),0))</f>
        <v>1189.17</v>
      </c>
      <c r="Q86" s="25" t="n">
        <f aca="false">IF(E86=0,IF((D86+N86-O86)&lt;0,ABS(D86+N86-O86),0),IF((N86-E86-O86)&lt;0,ABS(N86-E86-O86),0))</f>
        <v>0</v>
      </c>
    </row>
    <row r="87" customFormat="false" ht="15" hidden="false" customHeight="false" outlineLevel="0" collapsed="false">
      <c r="A87" s="17" t="s">
        <v>257</v>
      </c>
      <c r="B87" s="18" t="str">
        <f aca="false">листопад!B87</f>
        <v>Рилова Г.П.</v>
      </c>
      <c r="C87" s="18" t="str">
        <f aca="false">листопад!C87</f>
        <v>3079</v>
      </c>
      <c r="D87" s="19" t="n">
        <f aca="false">листопад!P87</f>
        <v>410.9</v>
      </c>
      <c r="E87" s="19" t="n">
        <f aca="false">листопад!Q87</f>
        <v>0</v>
      </c>
      <c r="F87" s="20" t="n">
        <f aca="false">листопад!F87</f>
        <v>0</v>
      </c>
      <c r="G87" s="21" t="n">
        <f aca="false">листопад!G87</f>
        <v>35</v>
      </c>
      <c r="H87" s="21" t="n">
        <f aca="false">листопад!H87</f>
        <v>0</v>
      </c>
      <c r="I87" s="22" t="n">
        <f aca="false">листопад!I87</f>
        <v>4.1</v>
      </c>
      <c r="J87" s="23" t="n">
        <f aca="false">ROUND(G87*I87,2)</f>
        <v>143.5</v>
      </c>
      <c r="K87" s="19"/>
      <c r="L87" s="19"/>
      <c r="M87" s="19"/>
      <c r="N87" s="19" t="n">
        <f aca="false">ROUND((G87*I87)-K87-L87-M87,2)</f>
        <v>143.5</v>
      </c>
      <c r="O87" s="19"/>
      <c r="P87" s="25" t="n">
        <f aca="false">IF(D87=0,IF((N87-E87-O87)&gt;0,(N87-E87-O87),0),IF((D87+N87-O87)&gt;0,(D87+N87-O87),0))</f>
        <v>554.4</v>
      </c>
      <c r="Q87" s="25" t="n">
        <f aca="false">IF(E87=0,IF((D87+N87-O87)&lt;0,ABS(D87+N87-O87),0),IF((N87-E87-O87)&lt;0,ABS(N87-E87-O87),0))</f>
        <v>0</v>
      </c>
    </row>
    <row r="88" customFormat="false" ht="15" hidden="false" customHeight="false" outlineLevel="0" collapsed="false">
      <c r="A88" s="17" t="s">
        <v>260</v>
      </c>
      <c r="B88" s="18" t="str">
        <f aca="false">листопад!B88</f>
        <v>Ленський І.О.</v>
      </c>
      <c r="C88" s="18" t="str">
        <f aca="false">листопад!C88</f>
        <v>3080</v>
      </c>
      <c r="D88" s="19" t="n">
        <f aca="false">листопад!P88</f>
        <v>1483.63</v>
      </c>
      <c r="E88" s="19" t="n">
        <f aca="false">листопад!Q88</f>
        <v>0</v>
      </c>
      <c r="F88" s="20" t="n">
        <f aca="false">листопад!F88</f>
        <v>0</v>
      </c>
      <c r="G88" s="21" t="n">
        <f aca="false">листопад!G88</f>
        <v>61.8</v>
      </c>
      <c r="H88" s="21" t="n">
        <f aca="false">листопад!H88</f>
        <v>0</v>
      </c>
      <c r="I88" s="22" t="n">
        <f aca="false">листопад!I88</f>
        <v>4.1</v>
      </c>
      <c r="J88" s="23" t="n">
        <f aca="false">ROUND(G88*I88,2)</f>
        <v>253.38</v>
      </c>
      <c r="K88" s="19"/>
      <c r="L88" s="19"/>
      <c r="M88" s="19"/>
      <c r="N88" s="19" t="n">
        <f aca="false">ROUND((G88*I88)-K88-L88-M88,2)</f>
        <v>253.38</v>
      </c>
      <c r="O88" s="19"/>
      <c r="P88" s="25" t="n">
        <f aca="false">IF(D88=0,IF((N88-E88-O88)&gt;0,(N88-E88-O88),0),IF((D88+N88-O88)&gt;0,(D88+N88-O88),0))</f>
        <v>1737.01</v>
      </c>
      <c r="Q88" s="25" t="n">
        <f aca="false">IF(E88=0,IF((D88+N88-O88)&lt;0,ABS(D88+N88-O88),0),IF((N88-E88-O88)&lt;0,ABS(N88-E88-O88),0))</f>
        <v>0</v>
      </c>
    </row>
    <row r="89" customFormat="false" ht="15" hidden="false" customHeight="false" outlineLevel="0" collapsed="false">
      <c r="A89" s="17" t="s">
        <v>263</v>
      </c>
      <c r="B89" s="18" t="str">
        <f aca="false">листопад!B89</f>
        <v>Слюсар О.О.</v>
      </c>
      <c r="C89" s="18" t="str">
        <f aca="false">листопад!C89</f>
        <v>3081</v>
      </c>
      <c r="D89" s="19" t="n">
        <f aca="false">листопад!P89</f>
        <v>5801.57</v>
      </c>
      <c r="E89" s="19" t="n">
        <f aca="false">листопад!Q89</f>
        <v>0</v>
      </c>
      <c r="F89" s="20" t="n">
        <f aca="false">листопад!F89</f>
        <v>0</v>
      </c>
      <c r="G89" s="21" t="n">
        <f aca="false">листопад!G89</f>
        <v>65.81</v>
      </c>
      <c r="H89" s="21" t="n">
        <f aca="false">листопад!H89</f>
        <v>0</v>
      </c>
      <c r="I89" s="22" t="n">
        <f aca="false">листопад!I89</f>
        <v>4.1</v>
      </c>
      <c r="J89" s="23" t="n">
        <f aca="false">ROUND(G89*I89,2)</f>
        <v>269.82</v>
      </c>
      <c r="K89" s="19"/>
      <c r="L89" s="19"/>
      <c r="M89" s="19"/>
      <c r="N89" s="19" t="n">
        <f aca="false">ROUND((G89*I89)-K89-L89-M89,2)</f>
        <v>269.82</v>
      </c>
      <c r="O89" s="19"/>
      <c r="P89" s="25" t="n">
        <f aca="false">IF(D89=0,IF((N89-E89-O89)&gt;0,(N89-E89-O89),0),IF((D89+N89-O89)&gt;0,(D89+N89-O89),0))</f>
        <v>6071.39</v>
      </c>
      <c r="Q89" s="25" t="n">
        <f aca="false">IF(E89=0,IF((D89+N89-O89)&lt;0,ABS(D89+N89-O89),0),IF((N89-E89-O89)&lt;0,ABS(N89-E89-O89),0))</f>
        <v>0</v>
      </c>
    </row>
    <row r="90" customFormat="false" ht="15" hidden="false" customHeight="false" outlineLevel="0" collapsed="false">
      <c r="A90" s="17" t="s">
        <v>266</v>
      </c>
      <c r="B90" s="18" t="str">
        <f aca="false">листопад!B90</f>
        <v>Кісельов Г.О.</v>
      </c>
      <c r="C90" s="18" t="str">
        <f aca="false">листопад!C90</f>
        <v>3082</v>
      </c>
      <c r="D90" s="19" t="n">
        <f aca="false">листопад!P90</f>
        <v>1050.54</v>
      </c>
      <c r="E90" s="19" t="n">
        <f aca="false">листопад!Q90</f>
        <v>0</v>
      </c>
      <c r="F90" s="20" t="n">
        <f aca="false">листопад!F90</f>
        <v>0</v>
      </c>
      <c r="G90" s="21" t="n">
        <f aca="false">листопад!G90</f>
        <v>49.7</v>
      </c>
      <c r="H90" s="21" t="n">
        <f aca="false">листопад!H90</f>
        <v>0</v>
      </c>
      <c r="I90" s="22" t="n">
        <f aca="false">листопад!I90</f>
        <v>4.1</v>
      </c>
      <c r="J90" s="23" t="n">
        <f aca="false">ROUND(G90*I90,2)</f>
        <v>203.77</v>
      </c>
      <c r="K90" s="19"/>
      <c r="L90" s="19"/>
      <c r="M90" s="19"/>
      <c r="N90" s="19" t="n">
        <f aca="false">ROUND((G90*I90)-K90-L90-M90,2)</f>
        <v>203.77</v>
      </c>
      <c r="O90" s="19"/>
      <c r="P90" s="25" t="n">
        <f aca="false">IF(D90=0,IF((N90-E90-O90)&gt;0,(N90-E90-O90),0),IF((D90+N90-O90)&gt;0,(D90+N90-O90),0))</f>
        <v>1254.31</v>
      </c>
      <c r="Q90" s="25" t="n">
        <f aca="false">IF(E90=0,IF((D90+N90-O90)&lt;0,ABS(D90+N90-O90),0),IF((N90-E90-O90)&lt;0,ABS(N90-E90-O90),0))</f>
        <v>0</v>
      </c>
    </row>
    <row r="91" customFormat="false" ht="15" hidden="false" customHeight="false" outlineLevel="0" collapsed="false">
      <c r="A91" s="17" t="s">
        <v>269</v>
      </c>
      <c r="B91" s="18" t="str">
        <f aca="false">листопад!B91</f>
        <v>Губанова Н.С.</v>
      </c>
      <c r="C91" s="18" t="str">
        <f aca="false">листопад!C91</f>
        <v>3083</v>
      </c>
      <c r="D91" s="19" t="n">
        <f aca="false">листопад!P91</f>
        <v>2263.2</v>
      </c>
      <c r="E91" s="19" t="n">
        <f aca="false">листопад!Q91</f>
        <v>0</v>
      </c>
      <c r="F91" s="20" t="n">
        <f aca="false">листопад!F91</f>
        <v>0</v>
      </c>
      <c r="G91" s="21" t="n">
        <f aca="false">листопад!G91</f>
        <v>34.5</v>
      </c>
      <c r="H91" s="21" t="n">
        <f aca="false">листопад!H91</f>
        <v>0</v>
      </c>
      <c r="I91" s="22" t="n">
        <f aca="false">листопад!I91</f>
        <v>4.1</v>
      </c>
      <c r="J91" s="23" t="n">
        <f aca="false">ROUND(G91*I91,2)</f>
        <v>141.45</v>
      </c>
      <c r="K91" s="19"/>
      <c r="L91" s="19"/>
      <c r="M91" s="19"/>
      <c r="N91" s="19" t="n">
        <f aca="false">ROUND((G91*I91)-K91-L91-M91,2)</f>
        <v>141.45</v>
      </c>
      <c r="O91" s="19"/>
      <c r="P91" s="25" t="n">
        <f aca="false">IF(D91=0,IF((N91-E91-O91)&gt;0,(N91-E91-O91),0),IF((D91+N91-O91)&gt;0,(D91+N91-O91),0))</f>
        <v>2404.65</v>
      </c>
      <c r="Q91" s="25" t="n">
        <f aca="false">IF(E91=0,IF((D91+N91-O91)&lt;0,ABS(D91+N91-O91),0),IF((N91-E91-O91)&lt;0,ABS(N91-E91-O91),0))</f>
        <v>0</v>
      </c>
    </row>
    <row r="92" customFormat="false" ht="15" hidden="false" customHeight="false" outlineLevel="0" collapsed="false">
      <c r="A92" s="17" t="s">
        <v>272</v>
      </c>
      <c r="B92" s="18" t="str">
        <f aca="false">листопад!B92</f>
        <v>Попова А.В.</v>
      </c>
      <c r="C92" s="18" t="str">
        <f aca="false">листопад!C92</f>
        <v>3084</v>
      </c>
      <c r="D92" s="19" t="n">
        <f aca="false">листопад!P92</f>
        <v>2813.43</v>
      </c>
      <c r="E92" s="19" t="n">
        <f aca="false">листопад!Q92</f>
        <v>0</v>
      </c>
      <c r="F92" s="20" t="n">
        <f aca="false">листопад!F92</f>
        <v>0</v>
      </c>
      <c r="G92" s="21" t="n">
        <f aca="false">листопад!G92</f>
        <v>62.4</v>
      </c>
      <c r="H92" s="21" t="n">
        <f aca="false">листопад!H92</f>
        <v>0</v>
      </c>
      <c r="I92" s="22" t="n">
        <f aca="false">листопад!I92</f>
        <v>4.1</v>
      </c>
      <c r="J92" s="23" t="n">
        <f aca="false">ROUND(G92*I92,2)</f>
        <v>255.84</v>
      </c>
      <c r="K92" s="19"/>
      <c r="L92" s="19"/>
      <c r="M92" s="19"/>
      <c r="N92" s="19" t="n">
        <f aca="false">ROUND((G92*I92)-K92-L92-M92,2)</f>
        <v>255.84</v>
      </c>
      <c r="O92" s="19"/>
      <c r="P92" s="25" t="n">
        <f aca="false">IF(D92=0,IF((N92-E92-O92)&gt;0,(N92-E92-O92),0),IF((D92+N92-O92)&gt;0,(D92+N92-O92),0))</f>
        <v>3069.27</v>
      </c>
      <c r="Q92" s="25" t="n">
        <f aca="false">IF(E92=0,IF((D92+N92-O92)&lt;0,ABS(D92+N92-O92),0),IF((N92-E92-O92)&lt;0,ABS(N92-E92-O92),0))</f>
        <v>0</v>
      </c>
    </row>
    <row r="93" customFormat="false" ht="15" hidden="false" customHeight="false" outlineLevel="0" collapsed="false">
      <c r="A93" s="17" t="s">
        <v>275</v>
      </c>
      <c r="B93" s="18" t="str">
        <f aca="false">листопад!B93</f>
        <v>Стародубець О.К.</v>
      </c>
      <c r="C93" s="18" t="str">
        <f aca="false">листопад!C93</f>
        <v>3085</v>
      </c>
      <c r="D93" s="19" t="n">
        <f aca="false">листопад!P93</f>
        <v>5945.04</v>
      </c>
      <c r="E93" s="19" t="n">
        <f aca="false">листопад!Q93</f>
        <v>0</v>
      </c>
      <c r="F93" s="20" t="n">
        <f aca="false">листопад!F93</f>
        <v>0</v>
      </c>
      <c r="G93" s="21" t="n">
        <f aca="false">листопад!G93</f>
        <v>66.46</v>
      </c>
      <c r="H93" s="21" t="n">
        <f aca="false">листопад!H93</f>
        <v>0</v>
      </c>
      <c r="I93" s="22" t="n">
        <f aca="false">листопад!I93</f>
        <v>4.1</v>
      </c>
      <c r="J93" s="23" t="n">
        <f aca="false">ROUND(G93*I93,2)</f>
        <v>272.49</v>
      </c>
      <c r="K93" s="19"/>
      <c r="L93" s="19"/>
      <c r="M93" s="19"/>
      <c r="N93" s="19" t="n">
        <f aca="false">ROUND((G93*I93)-K93-L93-M93,2)</f>
        <v>272.49</v>
      </c>
      <c r="O93" s="19"/>
      <c r="P93" s="25" t="n">
        <f aca="false">IF(D93=0,IF((N93-E93-O93)&gt;0,(N93-E93-O93),0),IF((D93+N93-O93)&gt;0,(D93+N93-O93),0))</f>
        <v>6217.53</v>
      </c>
      <c r="Q93" s="25" t="n">
        <f aca="false">IF(E93=0,IF((D93+N93-O93)&lt;0,ABS(D93+N93-O93),0),IF((N93-E93-O93)&lt;0,ABS(N93-E93-O93),0))</f>
        <v>0</v>
      </c>
    </row>
    <row r="94" customFormat="false" ht="15" hidden="false" customHeight="false" outlineLevel="0" collapsed="false">
      <c r="A94" s="17" t="s">
        <v>278</v>
      </c>
      <c r="B94" s="18" t="str">
        <f aca="false">листопад!B94</f>
        <v>Сакун Т.А.</v>
      </c>
      <c r="C94" s="18" t="str">
        <f aca="false">листопад!C94</f>
        <v>3086</v>
      </c>
      <c r="D94" s="19" t="n">
        <f aca="false">листопад!P94</f>
        <v>4689.37</v>
      </c>
      <c r="E94" s="19" t="n">
        <f aca="false">листопад!Q94</f>
        <v>0</v>
      </c>
      <c r="F94" s="20" t="n">
        <f aca="false">листопад!F94</f>
        <v>0</v>
      </c>
      <c r="G94" s="21" t="n">
        <f aca="false">листопад!G94</f>
        <v>49.73</v>
      </c>
      <c r="H94" s="21" t="n">
        <f aca="false">листопад!H94</f>
        <v>0</v>
      </c>
      <c r="I94" s="22" t="n">
        <f aca="false">листопад!I94</f>
        <v>4.1</v>
      </c>
      <c r="J94" s="23" t="n">
        <f aca="false">ROUND(G94*I94,2)</f>
        <v>203.89</v>
      </c>
      <c r="K94" s="19"/>
      <c r="L94" s="19"/>
      <c r="M94" s="19"/>
      <c r="N94" s="19" t="n">
        <f aca="false">ROUND((G94*I94)-K94-L94-M94,2)</f>
        <v>203.89</v>
      </c>
      <c r="O94" s="19"/>
      <c r="P94" s="25" t="n">
        <f aca="false">IF(D94=0,IF((N94-E94-O94)&gt;0,(N94-E94-O94),0),IF((D94+N94-O94)&gt;0,(D94+N94-O94),0))</f>
        <v>4893.26</v>
      </c>
      <c r="Q94" s="25" t="n">
        <f aca="false">IF(E94=0,IF((D94+N94-O94)&lt;0,ABS(D94+N94-O94),0),IF((N94-E94-O94)&lt;0,ABS(N94-E94-O94),0))</f>
        <v>0</v>
      </c>
    </row>
    <row r="95" customFormat="false" ht="15" hidden="false" customHeight="false" outlineLevel="0" collapsed="false">
      <c r="A95" s="17" t="s">
        <v>281</v>
      </c>
      <c r="B95" s="18" t="str">
        <f aca="false">листопад!B95</f>
        <v>Фатєєв Ю.О.</v>
      </c>
      <c r="C95" s="18" t="str">
        <f aca="false">листопад!C95</f>
        <v>3087</v>
      </c>
      <c r="D95" s="19" t="n">
        <f aca="false">листопад!P95</f>
        <v>5366.44</v>
      </c>
      <c r="E95" s="19" t="n">
        <f aca="false">листопад!Q95</f>
        <v>0</v>
      </c>
      <c r="F95" s="20" t="n">
        <f aca="false">листопад!F95</f>
        <v>0</v>
      </c>
      <c r="G95" s="21" t="n">
        <f aca="false">листопад!G95</f>
        <v>34.9</v>
      </c>
      <c r="H95" s="21" t="n">
        <f aca="false">листопад!H95</f>
        <v>0</v>
      </c>
      <c r="I95" s="22" t="n">
        <f aca="false">листопад!I95</f>
        <v>4.1</v>
      </c>
      <c r="J95" s="23" t="n">
        <f aca="false">ROUND(G95*I95,2)</f>
        <v>143.09</v>
      </c>
      <c r="K95" s="19"/>
      <c r="L95" s="19"/>
      <c r="M95" s="19"/>
      <c r="N95" s="19" t="n">
        <f aca="false">ROUND((G95*I95)-K95-L95-M95,2)</f>
        <v>143.09</v>
      </c>
      <c r="O95" s="19"/>
      <c r="P95" s="25" t="n">
        <f aca="false">IF(D95=0,IF((N95-E95-O95)&gt;0,(N95-E95-O95),0),IF((D95+N95-O95)&gt;0,(D95+N95-O95),0))</f>
        <v>5509.53</v>
      </c>
      <c r="Q95" s="25" t="n">
        <f aca="false">IF(E95=0,IF((D95+N95-O95)&lt;0,ABS(D95+N95-O95),0),IF((N95-E95-O95)&lt;0,ABS(N95-E95-O95),0))</f>
        <v>0</v>
      </c>
    </row>
    <row r="96" customFormat="false" ht="15" hidden="false" customHeight="false" outlineLevel="0" collapsed="false">
      <c r="A96" s="17" t="s">
        <v>284</v>
      </c>
      <c r="B96" s="18" t="str">
        <f aca="false">листопад!B96</f>
        <v>Лукашов Є.В.</v>
      </c>
      <c r="C96" s="18" t="str">
        <f aca="false">листопад!C96</f>
        <v>3088</v>
      </c>
      <c r="D96" s="19" t="n">
        <f aca="false">листопад!P96</f>
        <v>10232.64</v>
      </c>
      <c r="E96" s="19" t="n">
        <f aca="false">листопад!Q96</f>
        <v>0</v>
      </c>
      <c r="F96" s="20" t="n">
        <f aca="false">листопад!F96</f>
        <v>0</v>
      </c>
      <c r="G96" s="21" t="n">
        <f aca="false">листопад!G96</f>
        <v>61.9</v>
      </c>
      <c r="H96" s="21" t="n">
        <f aca="false">листопад!H96</f>
        <v>0</v>
      </c>
      <c r="I96" s="22" t="n">
        <f aca="false">листопад!I96</f>
        <v>4.1</v>
      </c>
      <c r="J96" s="23" t="n">
        <f aca="false">ROUND(G96*I96,2)</f>
        <v>253.79</v>
      </c>
      <c r="K96" s="19"/>
      <c r="L96" s="19"/>
      <c r="M96" s="19"/>
      <c r="N96" s="19" t="n">
        <f aca="false">ROUND((G96*I96)-K96-L96-M96,2)</f>
        <v>253.79</v>
      </c>
      <c r="O96" s="19"/>
      <c r="P96" s="25" t="n">
        <f aca="false">IF(D96=0,IF((N96-E96-O96)&gt;0,(N96-E96-O96),0),IF((D96+N96-O96)&gt;0,(D96+N96-O96),0))</f>
        <v>10486.43</v>
      </c>
      <c r="Q96" s="25" t="n">
        <f aca="false">IF(E96=0,IF((D96+N96-O96)&lt;0,ABS(D96+N96-O96),0),IF((N96-E96-O96)&lt;0,ABS(N96-E96-O96),0))</f>
        <v>0</v>
      </c>
    </row>
    <row r="97" customFormat="false" ht="15" hidden="false" customHeight="false" outlineLevel="0" collapsed="false">
      <c r="A97" s="17" t="s">
        <v>287</v>
      </c>
      <c r="B97" s="18" t="str">
        <f aca="false">листопад!B97</f>
        <v>Довбета В.М.</v>
      </c>
      <c r="C97" s="18" t="str">
        <f aca="false">листопад!C97</f>
        <v>3089</v>
      </c>
      <c r="D97" s="19" t="n">
        <f aca="false">листопад!P97</f>
        <v>759.700000000001</v>
      </c>
      <c r="E97" s="19" t="n">
        <f aca="false">листопад!Q97</f>
        <v>0</v>
      </c>
      <c r="F97" s="20" t="n">
        <f aca="false">листопад!F97</f>
        <v>0</v>
      </c>
      <c r="G97" s="21" t="n">
        <f aca="false">листопад!G97</f>
        <v>65.3</v>
      </c>
      <c r="H97" s="21" t="n">
        <f aca="false">листопад!H97</f>
        <v>0</v>
      </c>
      <c r="I97" s="22" t="n">
        <f aca="false">листопад!I97</f>
        <v>4.1</v>
      </c>
      <c r="J97" s="23" t="n">
        <f aca="false">ROUND(G97*I97,2)</f>
        <v>267.73</v>
      </c>
      <c r="K97" s="19"/>
      <c r="L97" s="19"/>
      <c r="M97" s="19"/>
      <c r="N97" s="19" t="n">
        <f aca="false">ROUND((G97*I97)-K97-L97-M97,2)</f>
        <v>267.73</v>
      </c>
      <c r="O97" s="19"/>
      <c r="P97" s="25" t="n">
        <f aca="false">IF(D97=0,IF((N97-E97-O97)&gt;0,(N97-E97-O97),0),IF((D97+N97-O97)&gt;0,(D97+N97-O97),0))</f>
        <v>1027.43</v>
      </c>
      <c r="Q97" s="25" t="n">
        <f aca="false">IF(E97=0,IF((D97+N97-O97)&lt;0,ABS(D97+N97-O97),0),IF((N97-E97-O97)&lt;0,ABS(N97-E97-O97),0))</f>
        <v>0</v>
      </c>
    </row>
    <row r="98" customFormat="false" ht="15" hidden="false" customHeight="false" outlineLevel="0" collapsed="false">
      <c r="A98" s="17" t="s">
        <v>290</v>
      </c>
      <c r="B98" s="18" t="str">
        <f aca="false">листопад!B98</f>
        <v>Черняк К.В.</v>
      </c>
      <c r="C98" s="18" t="str">
        <f aca="false">листопад!C98</f>
        <v>3090</v>
      </c>
      <c r="D98" s="19" t="n">
        <f aca="false">листопад!P98</f>
        <v>605.94</v>
      </c>
      <c r="E98" s="19" t="n">
        <f aca="false">листопад!Q98</f>
        <v>0</v>
      </c>
      <c r="F98" s="20" t="n">
        <f aca="false">листопад!F98</f>
        <v>0</v>
      </c>
      <c r="G98" s="21" t="n">
        <f aca="false">листопад!G98</f>
        <v>49.48</v>
      </c>
      <c r="H98" s="21" t="n">
        <f aca="false">листопад!H98</f>
        <v>0</v>
      </c>
      <c r="I98" s="22" t="n">
        <f aca="false">листопад!I98</f>
        <v>4.1</v>
      </c>
      <c r="J98" s="23" t="n">
        <f aca="false">ROUND(G98*I98,2)</f>
        <v>202.87</v>
      </c>
      <c r="K98" s="19"/>
      <c r="L98" s="19"/>
      <c r="M98" s="19"/>
      <c r="N98" s="19" t="n">
        <f aca="false">ROUND((G98*I98)-K98-L98-M98,2)</f>
        <v>202.87</v>
      </c>
      <c r="O98" s="19"/>
      <c r="P98" s="25" t="n">
        <f aca="false">IF(D98=0,IF((N98-E98-O98)&gt;0,(N98-E98-O98),0),IF((D98+N98-O98)&gt;0,(D98+N98-O98),0))</f>
        <v>808.81</v>
      </c>
      <c r="Q98" s="25" t="n">
        <f aca="false">IF(E98=0,IF((D98+N98-O98)&lt;0,ABS(D98+N98-O98),0),IF((N98-E98-O98)&lt;0,ABS(N98-E98-O98),0))</f>
        <v>0</v>
      </c>
    </row>
    <row r="99" customFormat="false" ht="15" hidden="false" customHeight="false" outlineLevel="0" collapsed="false">
      <c r="A99" s="17" t="s">
        <v>293</v>
      </c>
      <c r="B99" s="18" t="str">
        <f aca="false">листопад!B99</f>
        <v>Удінцева Г.А.</v>
      </c>
      <c r="C99" s="18" t="str">
        <f aca="false">листопад!C99</f>
        <v>3091</v>
      </c>
      <c r="D99" s="19" t="n">
        <f aca="false">листопад!P99</f>
        <v>861.489999999999</v>
      </c>
      <c r="E99" s="19" t="n">
        <f aca="false">листопад!Q99</f>
        <v>0</v>
      </c>
      <c r="F99" s="20" t="n">
        <f aca="false">листопад!F99</f>
        <v>0</v>
      </c>
      <c r="G99" s="21" t="n">
        <f aca="false">листопад!G99</f>
        <v>35.1</v>
      </c>
      <c r="H99" s="21" t="n">
        <f aca="false">листопад!H99</f>
        <v>0</v>
      </c>
      <c r="I99" s="22" t="n">
        <f aca="false">листопад!I99</f>
        <v>4.1</v>
      </c>
      <c r="J99" s="23" t="n">
        <f aca="false">ROUND(G99*I99,2)</f>
        <v>143.91</v>
      </c>
      <c r="K99" s="19"/>
      <c r="L99" s="19"/>
      <c r="M99" s="19"/>
      <c r="N99" s="19" t="n">
        <f aca="false">ROUND((G99*I99)-K99-L99-M99,2)</f>
        <v>143.91</v>
      </c>
      <c r="O99" s="19"/>
      <c r="P99" s="25" t="n">
        <f aca="false">IF(D99=0,IF((N99-E99-O99)&gt;0,(N99-E99-O99),0),IF((D99+N99-O99)&gt;0,(D99+N99-O99),0))</f>
        <v>1005.4</v>
      </c>
      <c r="Q99" s="25" t="n">
        <f aca="false">IF(E99=0,IF((D99+N99-O99)&lt;0,ABS(D99+N99-O99),0),IF((N99-E99-O99)&lt;0,ABS(N99-E99-O99),0))</f>
        <v>0</v>
      </c>
    </row>
    <row r="100" customFormat="false" ht="15" hidden="false" customHeight="false" outlineLevel="0" collapsed="false">
      <c r="A100" s="17" t="s">
        <v>296</v>
      </c>
      <c r="B100" s="18" t="str">
        <f aca="false">листопад!B100</f>
        <v>Липка Г.Ю.</v>
      </c>
      <c r="C100" s="18" t="str">
        <f aca="false">листопад!C100</f>
        <v>3092</v>
      </c>
      <c r="D100" s="19" t="n">
        <f aca="false">листопад!P100</f>
        <v>6478</v>
      </c>
      <c r="E100" s="19" t="n">
        <f aca="false">листопад!Q100</f>
        <v>0</v>
      </c>
      <c r="F100" s="20" t="n">
        <f aca="false">листопад!F100</f>
        <v>0</v>
      </c>
      <c r="G100" s="21" t="n">
        <f aca="false">листопад!G100</f>
        <v>63.2</v>
      </c>
      <c r="H100" s="21" t="n">
        <f aca="false">листопад!H100</f>
        <v>0</v>
      </c>
      <c r="I100" s="22" t="n">
        <f aca="false">листопад!I100</f>
        <v>4.1</v>
      </c>
      <c r="J100" s="23" t="n">
        <f aca="false">ROUND(G100*I100,2)</f>
        <v>259.12</v>
      </c>
      <c r="K100" s="19"/>
      <c r="L100" s="19"/>
      <c r="M100" s="19"/>
      <c r="N100" s="19" t="n">
        <f aca="false">ROUND((G100*I100)-K100-L100-M100,2)</f>
        <v>259.12</v>
      </c>
      <c r="O100" s="19"/>
      <c r="P100" s="25" t="n">
        <f aca="false">IF(D100=0,IF((N100-E100-O100)&gt;0,(N100-E100-O100),0),IF((D100+N100-O100)&gt;0,(D100+N100-O100),0))</f>
        <v>6737.12</v>
      </c>
      <c r="Q100" s="25" t="n">
        <f aca="false">IF(E100=0,IF((D100+N100-O100)&lt;0,ABS(D100+N100-O100),0),IF((N100-E100-O100)&lt;0,ABS(N100-E100-O100),0))</f>
        <v>0</v>
      </c>
    </row>
    <row r="101" customFormat="false" ht="15" hidden="false" customHeight="false" outlineLevel="0" collapsed="false">
      <c r="A101" s="17" t="s">
        <v>299</v>
      </c>
      <c r="B101" s="18" t="str">
        <f aca="false">листопад!B101</f>
        <v>Утьосов Д.М.</v>
      </c>
      <c r="C101" s="18" t="str">
        <f aca="false">листопад!C101</f>
        <v>3093</v>
      </c>
      <c r="D101" s="19" t="n">
        <f aca="false">листопад!P101</f>
        <v>619.590000000002</v>
      </c>
      <c r="E101" s="19" t="n">
        <f aca="false">листопад!Q101</f>
        <v>0</v>
      </c>
      <c r="F101" s="20" t="n">
        <f aca="false">листопад!F101</f>
        <v>0</v>
      </c>
      <c r="G101" s="21" t="n">
        <f aca="false">листопад!G101</f>
        <v>66.1</v>
      </c>
      <c r="H101" s="21" t="n">
        <f aca="false">листопад!H101</f>
        <v>0</v>
      </c>
      <c r="I101" s="22" t="n">
        <f aca="false">листопад!I101</f>
        <v>4.1</v>
      </c>
      <c r="J101" s="23" t="n">
        <f aca="false">ROUND(G101*I101,2)</f>
        <v>271.01</v>
      </c>
      <c r="K101" s="19"/>
      <c r="L101" s="19"/>
      <c r="M101" s="19"/>
      <c r="N101" s="19" t="n">
        <f aca="false">ROUND((G101*I101)-K101-L101-M101,2)</f>
        <v>271.01</v>
      </c>
      <c r="O101" s="19"/>
      <c r="P101" s="25" t="n">
        <f aca="false">IF(D101=0,IF((N101-E101-O101)&gt;0,(N101-E101-O101),0),IF((D101+N101-O101)&gt;0,(D101+N101-O101),0))</f>
        <v>890.600000000002</v>
      </c>
      <c r="Q101" s="25" t="n">
        <f aca="false">IF(E101=0,IF((D101+N101-O101)&lt;0,ABS(D101+N101-O101),0),IF((N101-E101-O101)&lt;0,ABS(N101-E101-O101),0))</f>
        <v>0</v>
      </c>
    </row>
    <row r="102" customFormat="false" ht="15" hidden="false" customHeight="false" outlineLevel="0" collapsed="false">
      <c r="A102" s="17" t="s">
        <v>302</v>
      </c>
      <c r="B102" s="18" t="str">
        <f aca="false">листопад!B102</f>
        <v>Стеценко Д.М.</v>
      </c>
      <c r="C102" s="18" t="str">
        <f aca="false">листопад!C102</f>
        <v>3094</v>
      </c>
      <c r="D102" s="19" t="n">
        <f aca="false">листопад!P102</f>
        <v>2246.05</v>
      </c>
      <c r="E102" s="19" t="n">
        <f aca="false">листопад!Q102</f>
        <v>0</v>
      </c>
      <c r="F102" s="20" t="n">
        <f aca="false">листопад!F102</f>
        <v>0</v>
      </c>
      <c r="G102" s="21" t="n">
        <f aca="false">листопад!G102</f>
        <v>49.8</v>
      </c>
      <c r="H102" s="21" t="n">
        <f aca="false">листопад!H102</f>
        <v>0</v>
      </c>
      <c r="I102" s="22" t="n">
        <f aca="false">листопад!I102</f>
        <v>4.1</v>
      </c>
      <c r="J102" s="23" t="n">
        <f aca="false">ROUND(G102*I102,2)</f>
        <v>204.18</v>
      </c>
      <c r="K102" s="19"/>
      <c r="L102" s="19"/>
      <c r="M102" s="19"/>
      <c r="N102" s="19" t="n">
        <f aca="false">ROUND((G102*I102)-K102-L102-M102,2)</f>
        <v>204.18</v>
      </c>
      <c r="O102" s="19"/>
      <c r="P102" s="25" t="n">
        <f aca="false">IF(D102=0,IF((N102-E102-O102)&gt;0,(N102-E102-O102),0),IF((D102+N102-O102)&gt;0,(D102+N102-O102),0))</f>
        <v>2450.23</v>
      </c>
      <c r="Q102" s="25" t="n">
        <f aca="false">IF(E102=0,IF((D102+N102-O102)&lt;0,ABS(D102+N102-O102),0),IF((N102-E102-O102)&lt;0,ABS(N102-E102-O102),0))</f>
        <v>0</v>
      </c>
    </row>
    <row r="103" customFormat="false" ht="15" hidden="false" customHeight="false" outlineLevel="0" collapsed="false">
      <c r="A103" s="17" t="s">
        <v>305</v>
      </c>
      <c r="B103" s="18" t="str">
        <f aca="false">листопад!B103</f>
        <v>Задніпряна О.М.</v>
      </c>
      <c r="C103" s="18" t="str">
        <f aca="false">листопад!C103</f>
        <v>3095</v>
      </c>
      <c r="D103" s="19" t="n">
        <f aca="false">листопад!P103</f>
        <v>2696.94</v>
      </c>
      <c r="E103" s="19" t="n">
        <f aca="false">листопад!Q103</f>
        <v>0</v>
      </c>
      <c r="F103" s="20" t="n">
        <f aca="false">листопад!F103</f>
        <v>0</v>
      </c>
      <c r="G103" s="21" t="n">
        <f aca="false">листопад!G103</f>
        <v>34.6</v>
      </c>
      <c r="H103" s="21" t="n">
        <f aca="false">листопад!H103</f>
        <v>0</v>
      </c>
      <c r="I103" s="22" t="n">
        <f aca="false">листопад!I103</f>
        <v>4.1</v>
      </c>
      <c r="J103" s="23" t="n">
        <f aca="false">ROUND(G103*I103,2)</f>
        <v>141.86</v>
      </c>
      <c r="K103" s="19"/>
      <c r="L103" s="19"/>
      <c r="M103" s="19"/>
      <c r="N103" s="19" t="n">
        <f aca="false">ROUND((G103*I103)-K103-L103-M103,2)</f>
        <v>141.86</v>
      </c>
      <c r="O103" s="19"/>
      <c r="P103" s="25" t="n">
        <f aca="false">IF(D103=0,IF((N103-E103-O103)&gt;0,(N103-E103-O103),0),IF((D103+N103-O103)&gt;0,(D103+N103-O103),0))</f>
        <v>2838.8</v>
      </c>
      <c r="Q103" s="25" t="n">
        <f aca="false">IF(E103=0,IF((D103+N103-O103)&lt;0,ABS(D103+N103-O103),0),IF((N103-E103-O103)&lt;0,ABS(N103-E103-O103),0))</f>
        <v>0</v>
      </c>
    </row>
    <row r="104" customFormat="false" ht="15" hidden="false" customHeight="false" outlineLevel="0" collapsed="false">
      <c r="A104" s="17" t="s">
        <v>308</v>
      </c>
      <c r="B104" s="18" t="str">
        <f aca="false">листопад!B104</f>
        <v>Геращенко М.Д.</v>
      </c>
      <c r="C104" s="18" t="str">
        <f aca="false">листопад!C104</f>
        <v>3096</v>
      </c>
      <c r="D104" s="19" t="n">
        <f aca="false">листопад!P104</f>
        <v>2622.56</v>
      </c>
      <c r="E104" s="19" t="n">
        <f aca="false">листопад!Q104</f>
        <v>0</v>
      </c>
      <c r="F104" s="20" t="n">
        <f aca="false">листопад!F104</f>
        <v>0</v>
      </c>
      <c r="G104" s="21" t="n">
        <f aca="false">листопад!G104</f>
        <v>62.6</v>
      </c>
      <c r="H104" s="21" t="n">
        <f aca="false">листопад!H104</f>
        <v>0</v>
      </c>
      <c r="I104" s="22" t="n">
        <f aca="false">листопад!I104</f>
        <v>4.1</v>
      </c>
      <c r="J104" s="23" t="n">
        <f aca="false">ROUND(G104*I104,2)</f>
        <v>256.66</v>
      </c>
      <c r="K104" s="19"/>
      <c r="L104" s="19"/>
      <c r="M104" s="19"/>
      <c r="N104" s="19" t="n">
        <f aca="false">ROUND((G104*I104)-K104-L104-M104,2)</f>
        <v>256.66</v>
      </c>
      <c r="O104" s="19"/>
      <c r="P104" s="25" t="n">
        <f aca="false">IF(D104=0,IF((N104-E104-O104)&gt;0,(N104-E104-O104),0),IF((D104+N104-O104)&gt;0,(D104+N104-O104),0))</f>
        <v>2879.22</v>
      </c>
      <c r="Q104" s="25" t="n">
        <f aca="false">IF(E104=0,IF((D104+N104-O104)&lt;0,ABS(D104+N104-O104),0),IF((N104-E104-O104)&lt;0,ABS(N104-E104-O104),0))</f>
        <v>0</v>
      </c>
    </row>
    <row r="105" customFormat="false" ht="15" hidden="false" customHeight="false" outlineLevel="0" collapsed="false">
      <c r="A105" s="17" t="s">
        <v>311</v>
      </c>
      <c r="B105" s="18" t="str">
        <f aca="false">листопад!B105</f>
        <v>Горб В.М.</v>
      </c>
      <c r="C105" s="18" t="str">
        <f aca="false">листопад!C105</f>
        <v>3097</v>
      </c>
      <c r="D105" s="19" t="n">
        <f aca="false">листопад!P105</f>
        <v>4567.59</v>
      </c>
      <c r="E105" s="19" t="n">
        <f aca="false">листопад!Q105</f>
        <v>0</v>
      </c>
      <c r="F105" s="20" t="n">
        <f aca="false">листопад!F105</f>
        <v>0</v>
      </c>
      <c r="G105" s="21" t="n">
        <f aca="false">листопад!G105</f>
        <v>65.57</v>
      </c>
      <c r="H105" s="21" t="n">
        <f aca="false">листопад!H105</f>
        <v>0</v>
      </c>
      <c r="I105" s="22" t="n">
        <f aca="false">листопад!I105</f>
        <v>4.1</v>
      </c>
      <c r="J105" s="23" t="n">
        <f aca="false">ROUND(G105*I105,2)</f>
        <v>268.84</v>
      </c>
      <c r="K105" s="19"/>
      <c r="L105" s="19"/>
      <c r="M105" s="19"/>
      <c r="N105" s="19" t="n">
        <f aca="false">ROUND((G105*I105)-K105-L105-M105,2)</f>
        <v>268.84</v>
      </c>
      <c r="O105" s="19"/>
      <c r="P105" s="25" t="n">
        <f aca="false">IF(D105=0,IF((N105-E105-O105)&gt;0,(N105-E105-O105),0),IF((D105+N105-O105)&gt;0,(D105+N105-O105),0))</f>
        <v>4836.43</v>
      </c>
      <c r="Q105" s="25" t="n">
        <f aca="false">IF(E105=0,IF((D105+N105-O105)&lt;0,ABS(D105+N105-O105),0),IF((N105-E105-O105)&lt;0,ABS(N105-E105-O105),0))</f>
        <v>0</v>
      </c>
    </row>
    <row r="106" customFormat="false" ht="15" hidden="false" customHeight="false" outlineLevel="0" collapsed="false">
      <c r="A106" s="17" t="s">
        <v>314</v>
      </c>
      <c r="B106" s="18" t="str">
        <f aca="false">листопад!B106</f>
        <v>Нойок Г.К.</v>
      </c>
      <c r="C106" s="18" t="str">
        <f aca="false">листопад!C106</f>
        <v>3098</v>
      </c>
      <c r="D106" s="19" t="n">
        <f aca="false">листопад!P106</f>
        <v>2259.65</v>
      </c>
      <c r="E106" s="19" t="n">
        <f aca="false">листопад!Q106</f>
        <v>0</v>
      </c>
      <c r="F106" s="20" t="n">
        <f aca="false">листопад!F106</f>
        <v>0</v>
      </c>
      <c r="G106" s="21" t="n">
        <f aca="false">листопад!G106</f>
        <v>49.8</v>
      </c>
      <c r="H106" s="21" t="n">
        <f aca="false">листопад!H106</f>
        <v>0</v>
      </c>
      <c r="I106" s="22" t="n">
        <f aca="false">листопад!I106</f>
        <v>4.1</v>
      </c>
      <c r="J106" s="23" t="n">
        <f aca="false">ROUND(G106*I106,2)</f>
        <v>204.18</v>
      </c>
      <c r="K106" s="19"/>
      <c r="L106" s="19"/>
      <c r="M106" s="19"/>
      <c r="N106" s="19" t="n">
        <f aca="false">ROUND((G106*I106)-K106-L106-M106,2)</f>
        <v>204.18</v>
      </c>
      <c r="O106" s="19"/>
      <c r="P106" s="25" t="n">
        <f aca="false">IF(D106=0,IF((N106-E106-O106)&gt;0,(N106-E106-O106),0),IF((D106+N106-O106)&gt;0,(D106+N106-O106),0))</f>
        <v>2463.83</v>
      </c>
      <c r="Q106" s="25" t="n">
        <f aca="false">IF(E106=0,IF((D106+N106-O106)&lt;0,ABS(D106+N106-O106),0),IF((N106-E106-O106)&lt;0,ABS(N106-E106-O106),0))</f>
        <v>0</v>
      </c>
    </row>
    <row r="107" customFormat="false" ht="15" hidden="false" customHeight="false" outlineLevel="0" collapsed="false">
      <c r="A107" s="17" t="s">
        <v>317</v>
      </c>
      <c r="B107" s="18" t="str">
        <f aca="false">листопад!B107</f>
        <v>Сафонова О.В.</v>
      </c>
      <c r="C107" s="18" t="str">
        <f aca="false">листопад!C107</f>
        <v>3099</v>
      </c>
      <c r="D107" s="19" t="n">
        <f aca="false">листопад!P107</f>
        <v>2386.71</v>
      </c>
      <c r="E107" s="19" t="n">
        <f aca="false">листопад!Q107</f>
        <v>0</v>
      </c>
      <c r="F107" s="20" t="n">
        <f aca="false">листопад!F107</f>
        <v>0</v>
      </c>
      <c r="G107" s="21" t="n">
        <f aca="false">листопад!G107</f>
        <v>34.9</v>
      </c>
      <c r="H107" s="21" t="n">
        <f aca="false">листопад!H107</f>
        <v>0</v>
      </c>
      <c r="I107" s="22" t="n">
        <f aca="false">листопад!I107</f>
        <v>4.1</v>
      </c>
      <c r="J107" s="23" t="n">
        <f aca="false">ROUND(G107*I107,2)</f>
        <v>143.09</v>
      </c>
      <c r="K107" s="19"/>
      <c r="L107" s="19"/>
      <c r="M107" s="19"/>
      <c r="N107" s="19" t="n">
        <f aca="false">ROUND((G107*I107)-K107-L107-M107,2)</f>
        <v>143.09</v>
      </c>
      <c r="O107" s="19"/>
      <c r="P107" s="25" t="n">
        <f aca="false">IF(D107=0,IF((N107-E107-O107)&gt;0,(N107-E107-O107),0),IF((D107+N107-O107)&gt;0,(D107+N107-O107),0))</f>
        <v>2529.8</v>
      </c>
      <c r="Q107" s="25" t="n">
        <f aca="false">IF(E107=0,IF((D107+N107-O107)&lt;0,ABS(D107+N107-O107),0),IF((N107-E107-O107)&lt;0,ABS(N107-E107-O107),0))</f>
        <v>0</v>
      </c>
    </row>
    <row r="108" customFormat="false" ht="15" hidden="false" customHeight="false" outlineLevel="0" collapsed="false">
      <c r="A108" s="17" t="s">
        <v>320</v>
      </c>
      <c r="B108" s="18" t="str">
        <f aca="false">листопад!B108</f>
        <v>Вінарська Н.П.</v>
      </c>
      <c r="C108" s="18" t="str">
        <f aca="false">листопад!C108</f>
        <v>30100</v>
      </c>
      <c r="D108" s="19" t="n">
        <f aca="false">листопад!P108</f>
        <v>5662.04</v>
      </c>
      <c r="E108" s="19" t="n">
        <f aca="false">листопад!Q108</f>
        <v>0</v>
      </c>
      <c r="F108" s="20" t="n">
        <f aca="false">листопад!F108</f>
        <v>0</v>
      </c>
      <c r="G108" s="21" t="n">
        <f aca="false">листопад!G108</f>
        <v>62.78</v>
      </c>
      <c r="H108" s="21" t="n">
        <f aca="false">листопад!H108</f>
        <v>0</v>
      </c>
      <c r="I108" s="22" t="n">
        <f aca="false">листопад!I108</f>
        <v>4.1</v>
      </c>
      <c r="J108" s="23" t="n">
        <f aca="false">ROUND(G108*I108,2)</f>
        <v>257.4</v>
      </c>
      <c r="K108" s="19"/>
      <c r="L108" s="19"/>
      <c r="M108" s="19"/>
      <c r="N108" s="19" t="n">
        <f aca="false">ROUND((G108*I108)-K108-L108-M108,2)</f>
        <v>257.4</v>
      </c>
      <c r="O108" s="19"/>
      <c r="P108" s="25" t="n">
        <f aca="false">IF(D108=0,IF((N108-E108-O108)&gt;0,(N108-E108-O108),0),IF((D108+N108-O108)&gt;0,(D108+N108-O108),0))</f>
        <v>5919.44</v>
      </c>
      <c r="Q108" s="25" t="n">
        <f aca="false">IF(E108=0,IF((D108+N108-O108)&lt;0,ABS(D108+N108-O108),0),IF((N108-E108-O108)&lt;0,ABS(N108-E108-O108),0))</f>
        <v>0</v>
      </c>
    </row>
    <row r="109" customFormat="false" ht="15" hidden="false" customHeight="false" outlineLevel="0" collapsed="false">
      <c r="A109" s="17" t="s">
        <v>323</v>
      </c>
      <c r="B109" s="18" t="str">
        <f aca="false">листопад!B109</f>
        <v>Чернова Н.І.</v>
      </c>
      <c r="C109" s="18" t="str">
        <f aca="false">листопад!C109</f>
        <v>30101</v>
      </c>
      <c r="D109" s="19" t="n">
        <f aca="false">листопад!P109</f>
        <v>5898.45</v>
      </c>
      <c r="E109" s="19" t="n">
        <f aca="false">листопад!Q109</f>
        <v>0</v>
      </c>
      <c r="F109" s="20" t="n">
        <f aca="false">листопад!F109</f>
        <v>0</v>
      </c>
      <c r="G109" s="21" t="n">
        <f aca="false">листопад!G109</f>
        <v>66.29</v>
      </c>
      <c r="H109" s="21" t="n">
        <f aca="false">листопад!H109</f>
        <v>0</v>
      </c>
      <c r="I109" s="22" t="n">
        <f aca="false">листопад!I109</f>
        <v>4.1</v>
      </c>
      <c r="J109" s="23" t="n">
        <f aca="false">ROUND(G109*I109,2)</f>
        <v>271.79</v>
      </c>
      <c r="K109" s="19"/>
      <c r="L109" s="19"/>
      <c r="M109" s="19"/>
      <c r="N109" s="19" t="n">
        <f aca="false">ROUND((G109*I109)-K109-L109-M109,2)</f>
        <v>271.79</v>
      </c>
      <c r="O109" s="19"/>
      <c r="P109" s="25" t="n">
        <f aca="false">IF(D109=0,IF((N109-E109-O109)&gt;0,(N109-E109-O109),0),IF((D109+N109-O109)&gt;0,(D109+N109-O109),0))</f>
        <v>6170.24</v>
      </c>
      <c r="Q109" s="25" t="n">
        <f aca="false">IF(E109=0,IF((D109+N109-O109)&lt;0,ABS(D109+N109-O109),0),IF((N109-E109-O109)&lt;0,ABS(N109-E109-O109),0))</f>
        <v>0</v>
      </c>
    </row>
    <row r="110" customFormat="false" ht="15" hidden="false" customHeight="false" outlineLevel="0" collapsed="false">
      <c r="A110" s="17" t="s">
        <v>326</v>
      </c>
      <c r="B110" s="18" t="str">
        <f aca="false">листопад!B110</f>
        <v>Кошева Н.П</v>
      </c>
      <c r="C110" s="18" t="str">
        <f aca="false">листопад!C110</f>
        <v>30102</v>
      </c>
      <c r="D110" s="19" t="n">
        <f aca="false">листопад!P110</f>
        <v>4124</v>
      </c>
      <c r="E110" s="19" t="n">
        <f aca="false">листопад!Q110</f>
        <v>0</v>
      </c>
      <c r="F110" s="20" t="n">
        <f aca="false">листопад!F110</f>
        <v>0</v>
      </c>
      <c r="G110" s="21" t="n">
        <f aca="false">листопад!G110</f>
        <v>50</v>
      </c>
      <c r="H110" s="21" t="n">
        <f aca="false">листопад!H110</f>
        <v>0</v>
      </c>
      <c r="I110" s="22" t="n">
        <f aca="false">листопад!I110</f>
        <v>4.1</v>
      </c>
      <c r="J110" s="23" t="n">
        <f aca="false">ROUND(G110*I110,2)</f>
        <v>205</v>
      </c>
      <c r="K110" s="19"/>
      <c r="L110" s="19"/>
      <c r="M110" s="19"/>
      <c r="N110" s="19" t="n">
        <f aca="false">ROUND((G110*I110)-K110-L110-M110,2)</f>
        <v>205</v>
      </c>
      <c r="O110" s="19"/>
      <c r="P110" s="25" t="n">
        <f aca="false">IF(D110=0,IF((N110-E110-O110)&gt;0,(N110-E110-O110),0),IF((D110+N110-O110)&gt;0,(D110+N110-O110),0))</f>
        <v>4329</v>
      </c>
      <c r="Q110" s="25" t="n">
        <f aca="false">IF(E110=0,IF((D110+N110-O110)&lt;0,ABS(D110+N110-O110),0),IF((N110-E110-O110)&lt;0,ABS(N110-E110-O110),0))</f>
        <v>0</v>
      </c>
    </row>
    <row r="111" customFormat="false" ht="15" hidden="false" customHeight="false" outlineLevel="0" collapsed="false">
      <c r="A111" s="17" t="s">
        <v>329</v>
      </c>
      <c r="B111" s="18" t="str">
        <f aca="false">листопад!B111</f>
        <v>Уривський Д.Б.</v>
      </c>
      <c r="C111" s="18" t="str">
        <f aca="false">листопад!C111</f>
        <v>30103</v>
      </c>
      <c r="D111" s="19" t="n">
        <f aca="false">листопад!P111</f>
        <v>3233.59</v>
      </c>
      <c r="E111" s="19" t="n">
        <f aca="false">листопад!Q111</f>
        <v>0</v>
      </c>
      <c r="F111" s="20" t="n">
        <f aca="false">листопад!F111</f>
        <v>0</v>
      </c>
      <c r="G111" s="21" t="n">
        <f aca="false">листопад!G111</f>
        <v>35</v>
      </c>
      <c r="H111" s="21" t="n">
        <f aca="false">листопад!H111</f>
        <v>0</v>
      </c>
      <c r="I111" s="22" t="n">
        <f aca="false">листопад!I111</f>
        <v>4.1</v>
      </c>
      <c r="J111" s="23" t="n">
        <f aca="false">ROUND(G111*I111,2)</f>
        <v>143.5</v>
      </c>
      <c r="K111" s="19"/>
      <c r="L111" s="19"/>
      <c r="M111" s="19"/>
      <c r="N111" s="19" t="n">
        <f aca="false">ROUND((G111*I111)-K111-L111-M111,2)</f>
        <v>143.5</v>
      </c>
      <c r="O111" s="19"/>
      <c r="P111" s="25" t="n">
        <f aca="false">IF(D111=0,IF((N111-E111-O111)&gt;0,(N111-E111-O111),0),IF((D111+N111-O111)&gt;0,(D111+N111-O111),0))</f>
        <v>3377.09</v>
      </c>
      <c r="Q111" s="25" t="n">
        <f aca="false">IF(E111=0,IF((D111+N111-O111)&lt;0,ABS(D111+N111-O111),0),IF((N111-E111-O111)&lt;0,ABS(N111-E111-O111),0))</f>
        <v>0</v>
      </c>
    </row>
    <row r="112" customFormat="false" ht="15" hidden="false" customHeight="false" outlineLevel="0" collapsed="false">
      <c r="A112" s="17" t="s">
        <v>332</v>
      </c>
      <c r="B112" s="18" t="str">
        <f aca="false">листопад!B112</f>
        <v>АДПСУ (Чорноморець В.М.)</v>
      </c>
      <c r="C112" s="18" t="str">
        <f aca="false">листопад!C112</f>
        <v>30104</v>
      </c>
      <c r="D112" s="19" t="n">
        <f aca="false">листопад!P112</f>
        <v>4032.93</v>
      </c>
      <c r="E112" s="19" t="n">
        <f aca="false">листопад!Q112</f>
        <v>0</v>
      </c>
      <c r="F112" s="20" t="n">
        <f aca="false">листопад!F112</f>
        <v>0</v>
      </c>
      <c r="G112" s="21" t="n">
        <f aca="false">листопад!G112</f>
        <v>61.1</v>
      </c>
      <c r="H112" s="21" t="n">
        <f aca="false">листопад!H112</f>
        <v>0</v>
      </c>
      <c r="I112" s="22" t="n">
        <f aca="false">листопад!I112</f>
        <v>4.1</v>
      </c>
      <c r="J112" s="23" t="n">
        <f aca="false">ROUND(G112*I112,2)</f>
        <v>250.51</v>
      </c>
      <c r="K112" s="19"/>
      <c r="L112" s="19"/>
      <c r="M112" s="19"/>
      <c r="N112" s="19" t="n">
        <f aca="false">ROUND((G112*I112)-K112-L112-M112,2)</f>
        <v>250.51</v>
      </c>
      <c r="O112" s="19"/>
      <c r="P112" s="25" t="n">
        <f aca="false">IF(D112=0,IF((N112-E112-O112)&gt;0,(N112-E112-O112),0),IF((D112+N112-O112)&gt;0,(D112+N112-O112),0))</f>
        <v>4283.44</v>
      </c>
      <c r="Q112" s="25" t="n">
        <f aca="false">IF(E112=0,IF((D112+N112-O112)&lt;0,ABS(D112+N112-O112),0),IF((N112-E112-O112)&lt;0,ABS(N112-E112-O112),0))</f>
        <v>0</v>
      </c>
    </row>
    <row r="113" customFormat="false" ht="15" hidden="false" customHeight="false" outlineLevel="0" collapsed="false">
      <c r="A113" s="17" t="s">
        <v>335</v>
      </c>
      <c r="B113" s="18" t="str">
        <f aca="false">листопад!B113</f>
        <v>Дмитренко Г.В.</v>
      </c>
      <c r="C113" s="18" t="str">
        <f aca="false">листопад!C113</f>
        <v>30105</v>
      </c>
      <c r="D113" s="19" t="n">
        <f aca="false">листопад!P113</f>
        <v>4834.52</v>
      </c>
      <c r="E113" s="19" t="n">
        <f aca="false">листопад!Q113</f>
        <v>0</v>
      </c>
      <c r="F113" s="20" t="n">
        <f aca="false">листопад!F113</f>
        <v>0</v>
      </c>
      <c r="G113" s="21" t="n">
        <f aca="false">листопад!G113</f>
        <v>64.89</v>
      </c>
      <c r="H113" s="21" t="n">
        <f aca="false">листопад!H113</f>
        <v>0</v>
      </c>
      <c r="I113" s="22" t="n">
        <f aca="false">листопад!I113</f>
        <v>4.1</v>
      </c>
      <c r="J113" s="23" t="n">
        <f aca="false">ROUND(G113*I113,2)</f>
        <v>266.05</v>
      </c>
      <c r="K113" s="19"/>
      <c r="L113" s="19"/>
      <c r="M113" s="19"/>
      <c r="N113" s="19" t="n">
        <f aca="false">ROUND((G113*I113)-K113-L113-M113,2)</f>
        <v>266.05</v>
      </c>
      <c r="O113" s="19"/>
      <c r="P113" s="25" t="n">
        <f aca="false">IF(D113=0,IF((N113-E113-O113)&gt;0,(N113-E113-O113),0),IF((D113+N113-O113)&gt;0,(D113+N113-O113),0))</f>
        <v>5100.57</v>
      </c>
      <c r="Q113" s="25" t="n">
        <f aca="false">IF(E113=0,IF((D113+N113-O113)&lt;0,ABS(D113+N113-O113),0),IF((N113-E113-O113)&lt;0,ABS(N113-E113-O113),0))</f>
        <v>0</v>
      </c>
    </row>
    <row r="114" customFormat="false" ht="15" hidden="false" customHeight="false" outlineLevel="0" collapsed="false">
      <c r="A114" s="17" t="s">
        <v>338</v>
      </c>
      <c r="B114" s="18" t="str">
        <f aca="false">листопад!B114</f>
        <v>Номерова Т.В.</v>
      </c>
      <c r="C114" s="18" t="str">
        <f aca="false">листопад!C114</f>
        <v>30106</v>
      </c>
      <c r="D114" s="19" t="n">
        <f aca="false">листопад!P114</f>
        <v>1404.04</v>
      </c>
      <c r="E114" s="19" t="n">
        <f aca="false">листопад!Q114</f>
        <v>0</v>
      </c>
      <c r="F114" s="20" t="n">
        <f aca="false">листопад!F114</f>
        <v>0</v>
      </c>
      <c r="G114" s="21" t="n">
        <f aca="false">листопад!G114</f>
        <v>49.96</v>
      </c>
      <c r="H114" s="21" t="n">
        <f aca="false">листопад!H114</f>
        <v>0</v>
      </c>
      <c r="I114" s="22" t="n">
        <f aca="false">листопад!I114</f>
        <v>4.1</v>
      </c>
      <c r="J114" s="23" t="n">
        <f aca="false">ROUND(G114*I114,2)</f>
        <v>204.84</v>
      </c>
      <c r="K114" s="19"/>
      <c r="L114" s="19"/>
      <c r="M114" s="19"/>
      <c r="N114" s="19" t="n">
        <f aca="false">ROUND((G114*I114)-K114-L114-M114,2)</f>
        <v>204.84</v>
      </c>
      <c r="O114" s="19"/>
      <c r="P114" s="25" t="n">
        <f aca="false">IF(D114=0,IF((N114-E114-O114)&gt;0,(N114-E114-O114),0),IF((D114+N114-O114)&gt;0,(D114+N114-O114),0))</f>
        <v>1608.88</v>
      </c>
      <c r="Q114" s="25" t="n">
        <f aca="false">IF(E114=0,IF((D114+N114-O114)&lt;0,ABS(D114+N114-O114),0),IF((N114-E114-O114)&lt;0,ABS(N114-E114-O114),0))</f>
        <v>0</v>
      </c>
    </row>
    <row r="115" customFormat="false" ht="15" hidden="false" customHeight="false" outlineLevel="0" collapsed="false">
      <c r="A115" s="17" t="s">
        <v>341</v>
      </c>
      <c r="B115" s="18" t="str">
        <f aca="false">листопад!B115</f>
        <v>Самойлова О.В.</v>
      </c>
      <c r="C115" s="18" t="str">
        <f aca="false">листопад!C115</f>
        <v>30107</v>
      </c>
      <c r="D115" s="19" t="n">
        <f aca="false">листопад!P115</f>
        <v>707.25</v>
      </c>
      <c r="E115" s="19" t="n">
        <f aca="false">листопад!Q115</f>
        <v>0</v>
      </c>
      <c r="F115" s="20" t="n">
        <f aca="false">листопад!F115</f>
        <v>0</v>
      </c>
      <c r="G115" s="21" t="n">
        <f aca="false">листопад!G115</f>
        <v>34.5</v>
      </c>
      <c r="H115" s="21" t="n">
        <f aca="false">листопад!H115</f>
        <v>0</v>
      </c>
      <c r="I115" s="22" t="n">
        <f aca="false">листопад!I115</f>
        <v>4.1</v>
      </c>
      <c r="J115" s="23" t="n">
        <f aca="false">ROUND(G115*I115,2)</f>
        <v>141.45</v>
      </c>
      <c r="K115" s="19"/>
      <c r="L115" s="19"/>
      <c r="M115" s="19"/>
      <c r="N115" s="19" t="n">
        <f aca="false">ROUND((G115*I115)-K115-L115-M115,2)</f>
        <v>141.45</v>
      </c>
      <c r="O115" s="19"/>
      <c r="P115" s="25" t="n">
        <f aca="false">IF(D115=0,IF((N115-E115-O115)&gt;0,(N115-E115-O115),0),IF((D115+N115-O115)&gt;0,(D115+N115-O115),0))</f>
        <v>848.7</v>
      </c>
      <c r="Q115" s="25" t="n">
        <f aca="false">IF(E115=0,IF((D115+N115-O115)&lt;0,ABS(D115+N115-O115),0),IF((N115-E115-O115)&lt;0,ABS(N115-E115-O115),0))</f>
        <v>0</v>
      </c>
    </row>
    <row r="116" customFormat="false" ht="15" hidden="false" customHeight="false" outlineLevel="0" collapsed="false">
      <c r="A116" s="17" t="s">
        <v>344</v>
      </c>
      <c r="B116" s="18" t="str">
        <f aca="false">листопад!B116</f>
        <v>Випенко О.І.</v>
      </c>
      <c r="C116" s="18" t="str">
        <f aca="false">листопад!C116</f>
        <v>30108</v>
      </c>
      <c r="D116" s="19" t="n">
        <f aca="false">листопад!P116</f>
        <v>8993.79</v>
      </c>
      <c r="E116" s="19" t="n">
        <f aca="false">листопад!Q116</f>
        <v>0</v>
      </c>
      <c r="F116" s="20" t="n">
        <f aca="false">листопад!F116</f>
        <v>0</v>
      </c>
      <c r="G116" s="21" t="n">
        <f aca="false">листопад!G116</f>
        <v>62.9</v>
      </c>
      <c r="H116" s="21" t="n">
        <f aca="false">листопад!H116</f>
        <v>0</v>
      </c>
      <c r="I116" s="22" t="n">
        <f aca="false">листопад!I116</f>
        <v>4.1</v>
      </c>
      <c r="J116" s="23" t="n">
        <f aca="false">ROUND(G116*I116,2)</f>
        <v>257.89</v>
      </c>
      <c r="K116" s="19"/>
      <c r="L116" s="19"/>
      <c r="M116" s="19"/>
      <c r="N116" s="19" t="n">
        <f aca="false">ROUND((G116*I116)-K116-L116-M116,2)</f>
        <v>257.89</v>
      </c>
      <c r="O116" s="19"/>
      <c r="P116" s="25" t="n">
        <f aca="false">IF(D116=0,IF((N116-E116-O116)&gt;0,(N116-E116-O116),0),IF((D116+N116-O116)&gt;0,(D116+N116-O116),0))</f>
        <v>9251.68</v>
      </c>
      <c r="Q116" s="25" t="n">
        <f aca="false">IF(E116=0,IF((D116+N116-O116)&lt;0,ABS(D116+N116-O116),0),IF((N116-E116-O116)&lt;0,ABS(N116-E116-O116),0))</f>
        <v>0</v>
      </c>
    </row>
    <row r="117" customFormat="false" ht="15" hidden="false" customHeight="false" outlineLevel="0" collapsed="false">
      <c r="A117" s="17" t="s">
        <v>347</v>
      </c>
      <c r="B117" s="18" t="str">
        <f aca="false">листопад!B117</f>
        <v>Саприкін Ю.О.</v>
      </c>
      <c r="C117" s="18" t="str">
        <f aca="false">листопад!C117</f>
        <v>40109</v>
      </c>
      <c r="D117" s="19" t="n">
        <f aca="false">листопад!P117</f>
        <v>1992.6</v>
      </c>
      <c r="E117" s="19" t="n">
        <f aca="false">листопад!Q117</f>
        <v>0</v>
      </c>
      <c r="F117" s="20" t="n">
        <f aca="false">листопад!F117</f>
        <v>0</v>
      </c>
      <c r="G117" s="21" t="n">
        <f aca="false">листопад!G117</f>
        <v>97.2</v>
      </c>
      <c r="H117" s="21" t="n">
        <f aca="false">листопад!H117</f>
        <v>0</v>
      </c>
      <c r="I117" s="22" t="n">
        <f aca="false">листопад!I117</f>
        <v>4.1</v>
      </c>
      <c r="J117" s="23" t="n">
        <f aca="false">ROUND(G117*I117,2)</f>
        <v>398.52</v>
      </c>
      <c r="K117" s="19"/>
      <c r="L117" s="19"/>
      <c r="M117" s="19"/>
      <c r="N117" s="19" t="n">
        <f aca="false">ROUND((G117*I117)-K117-L117-M117,2)</f>
        <v>398.52</v>
      </c>
      <c r="O117" s="19"/>
      <c r="P117" s="25" t="n">
        <f aca="false">IF(D117=0,IF((N117-E117-O117)&gt;0,(N117-E117-O117),0),IF((D117+N117-O117)&gt;0,(D117+N117-O117),0))</f>
        <v>2391.12</v>
      </c>
      <c r="Q117" s="25" t="n">
        <f aca="false">IF(E117=0,IF((D117+N117-O117)&lt;0,ABS(D117+N117-O117),0),IF((N117-E117-O117)&lt;0,ABS(N117-E117-O117),0))</f>
        <v>0</v>
      </c>
    </row>
    <row r="118" customFormat="false" ht="15" hidden="false" customHeight="false" outlineLevel="0" collapsed="false">
      <c r="A118" s="17" t="s">
        <v>350</v>
      </c>
      <c r="B118" s="18" t="str">
        <f aca="false">листопад!B118</f>
        <v>Мовчан В.М.</v>
      </c>
      <c r="C118" s="18" t="str">
        <f aca="false">листопад!C118</f>
        <v>40110</v>
      </c>
      <c r="D118" s="19" t="n">
        <f aca="false">листопад!P118</f>
        <v>998.37</v>
      </c>
      <c r="E118" s="19" t="n">
        <f aca="false">листопад!Q118</f>
        <v>0</v>
      </c>
      <c r="F118" s="20" t="n">
        <f aca="false">листопад!F118</f>
        <v>0</v>
      </c>
      <c r="G118" s="21" t="n">
        <f aca="false">листопад!G118</f>
        <v>48.75</v>
      </c>
      <c r="H118" s="21" t="n">
        <f aca="false">листопад!H118</f>
        <v>0</v>
      </c>
      <c r="I118" s="22" t="n">
        <f aca="false">листопад!I118</f>
        <v>4.1</v>
      </c>
      <c r="J118" s="23" t="n">
        <f aca="false">ROUND(G118*I118,2)</f>
        <v>199.88</v>
      </c>
      <c r="K118" s="19"/>
      <c r="L118" s="19"/>
      <c r="M118" s="19"/>
      <c r="N118" s="19" t="n">
        <f aca="false">ROUND((G118*I118)-K118-L118-M118,2)</f>
        <v>199.88</v>
      </c>
      <c r="O118" s="19"/>
      <c r="P118" s="25" t="n">
        <f aca="false">IF(D118=0,IF((N118-E118-O118)&gt;0,(N118-E118-O118),0),IF((D118+N118-O118)&gt;0,(D118+N118-O118),0))</f>
        <v>1198.25</v>
      </c>
      <c r="Q118" s="25" t="n">
        <f aca="false">IF(E118=0,IF((D118+N118-O118)&lt;0,ABS(D118+N118-O118),0),IF((N118-E118-O118)&lt;0,ABS(N118-E118-O118),0))</f>
        <v>0</v>
      </c>
    </row>
    <row r="119" customFormat="false" ht="15" hidden="false" customHeight="false" outlineLevel="0" collapsed="false">
      <c r="A119" s="17" t="s">
        <v>353</v>
      </c>
      <c r="B119" s="18" t="str">
        <f aca="false">листопад!B119</f>
        <v>Величко Н.М.</v>
      </c>
      <c r="C119" s="18" t="str">
        <f aca="false">листопад!C119</f>
        <v>40111</v>
      </c>
      <c r="D119" s="19" t="n">
        <f aca="false">листопад!P119</f>
        <v>1966.8</v>
      </c>
      <c r="E119" s="19" t="n">
        <f aca="false">листопад!Q119</f>
        <v>0</v>
      </c>
      <c r="F119" s="20" t="n">
        <f aca="false">листопад!F119</f>
        <v>0</v>
      </c>
      <c r="G119" s="21" t="n">
        <f aca="false">листопад!G119</f>
        <v>63.8</v>
      </c>
      <c r="H119" s="21" t="n">
        <f aca="false">листопад!H119</f>
        <v>0</v>
      </c>
      <c r="I119" s="22" t="n">
        <f aca="false">листопад!I119</f>
        <v>4.1</v>
      </c>
      <c r="J119" s="23" t="n">
        <f aca="false">ROUND(G119*I119,2)</f>
        <v>261.58</v>
      </c>
      <c r="K119" s="19"/>
      <c r="L119" s="19"/>
      <c r="M119" s="19"/>
      <c r="N119" s="19" t="n">
        <f aca="false">ROUND((G119*I119)-K119-L119-M119,2)</f>
        <v>261.58</v>
      </c>
      <c r="O119" s="19"/>
      <c r="P119" s="25" t="n">
        <f aca="false">IF(D119=0,IF((N119-E119-O119)&gt;0,(N119-E119-O119),0),IF((D119+N119-O119)&gt;0,(D119+N119-O119),0))</f>
        <v>2228.38</v>
      </c>
      <c r="Q119" s="25" t="n">
        <f aca="false">IF(E119=0,IF((D119+N119-O119)&lt;0,ABS(D119+N119-O119),0),IF((N119-E119-O119)&lt;0,ABS(N119-E119-O119),0))</f>
        <v>0</v>
      </c>
    </row>
    <row r="120" customFormat="false" ht="15" hidden="false" customHeight="false" outlineLevel="0" collapsed="false">
      <c r="A120" s="17" t="s">
        <v>356</v>
      </c>
      <c r="B120" s="18" t="str">
        <f aca="false">листопад!B120</f>
        <v>Бухлов С.В.</v>
      </c>
      <c r="C120" s="18" t="str">
        <f aca="false">листопад!C120</f>
        <v>40112</v>
      </c>
      <c r="D120" s="19" t="n">
        <f aca="false">листопад!P120</f>
        <v>10817.75</v>
      </c>
      <c r="E120" s="19" t="n">
        <f aca="false">листопад!Q120</f>
        <v>0</v>
      </c>
      <c r="F120" s="20" t="n">
        <f aca="false">листопад!F120</f>
        <v>0</v>
      </c>
      <c r="G120" s="21" t="n">
        <f aca="false">листопад!G120</f>
        <v>62.6</v>
      </c>
      <c r="H120" s="21" t="n">
        <f aca="false">листопад!H120</f>
        <v>0</v>
      </c>
      <c r="I120" s="22" t="n">
        <f aca="false">листопад!I120</f>
        <v>4.1</v>
      </c>
      <c r="J120" s="23" t="n">
        <f aca="false">ROUND(G120*I120,2)</f>
        <v>256.66</v>
      </c>
      <c r="K120" s="19"/>
      <c r="L120" s="19"/>
      <c r="M120" s="19"/>
      <c r="N120" s="19" t="n">
        <f aca="false">ROUND((G120*I120)-K120-L120-M120,2)</f>
        <v>256.66</v>
      </c>
      <c r="O120" s="19"/>
      <c r="P120" s="25" t="n">
        <f aca="false">IF(D120=0,IF((N120-E120-O120)&gt;0,(N120-E120-O120),0),IF((D120+N120-O120)&gt;0,(D120+N120-O120),0))</f>
        <v>11074.41</v>
      </c>
      <c r="Q120" s="25" t="n">
        <f aca="false">IF(E120=0,IF((D120+N120-O120)&lt;0,ABS(D120+N120-O120),0),IF((N120-E120-O120)&lt;0,ABS(N120-E120-O120),0))</f>
        <v>0</v>
      </c>
    </row>
    <row r="121" customFormat="false" ht="15" hidden="false" customHeight="false" outlineLevel="0" collapsed="false">
      <c r="A121" s="17" t="s">
        <v>359</v>
      </c>
      <c r="B121" s="18" t="str">
        <f aca="false">листопад!B121</f>
        <v>Перепеліцина Т.Ю.</v>
      </c>
      <c r="C121" s="18" t="str">
        <f aca="false">листопад!C121</f>
        <v>40113</v>
      </c>
      <c r="D121" s="19" t="n">
        <f aca="false">листопад!P121</f>
        <v>496.44</v>
      </c>
      <c r="E121" s="19" t="n">
        <f aca="false">листопад!Q121</f>
        <v>0</v>
      </c>
      <c r="F121" s="20" t="n">
        <f aca="false">листопад!F121</f>
        <v>0</v>
      </c>
      <c r="G121" s="21" t="n">
        <f aca="false">листопад!G121</f>
        <v>34.7</v>
      </c>
      <c r="H121" s="21" t="n">
        <f aca="false">листопад!H121</f>
        <v>0</v>
      </c>
      <c r="I121" s="22" t="n">
        <f aca="false">листопад!I121</f>
        <v>4.1</v>
      </c>
      <c r="J121" s="23" t="n">
        <f aca="false">ROUND(G121*I121,2)</f>
        <v>142.27</v>
      </c>
      <c r="K121" s="19"/>
      <c r="L121" s="19"/>
      <c r="M121" s="19"/>
      <c r="N121" s="19" t="n">
        <f aca="false">ROUND((G121*I121)-K121-L121-M121,2)</f>
        <v>142.27</v>
      </c>
      <c r="O121" s="19"/>
      <c r="P121" s="25" t="n">
        <f aca="false">IF(D121=0,IF((N121-E121-O121)&gt;0,(N121-E121-O121),0),IF((D121+N121-O121)&gt;0,(D121+N121-O121),0))</f>
        <v>638.71</v>
      </c>
      <c r="Q121" s="25" t="n">
        <f aca="false">IF(E121=0,IF((D121+N121-O121)&lt;0,ABS(D121+N121-O121),0),IF((N121-E121-O121)&lt;0,ABS(N121-E121-O121),0))</f>
        <v>0</v>
      </c>
    </row>
    <row r="122" customFormat="false" ht="15" hidden="false" customHeight="false" outlineLevel="0" collapsed="false">
      <c r="A122" s="17" t="s">
        <v>362</v>
      </c>
      <c r="B122" s="18" t="str">
        <f aca="false">листопад!B122</f>
        <v>Свєтлова Т.Ю.</v>
      </c>
      <c r="C122" s="18" t="str">
        <f aca="false">листопад!C122</f>
        <v>40114</v>
      </c>
      <c r="D122" s="19" t="n">
        <f aca="false">листопад!P122</f>
        <v>2243.95</v>
      </c>
      <c r="E122" s="19" t="n">
        <f aca="false">листопад!Q122</f>
        <v>0</v>
      </c>
      <c r="F122" s="20" t="n">
        <f aca="false">листопад!F122</f>
        <v>0</v>
      </c>
      <c r="G122" s="21" t="n">
        <f aca="false">листопад!G122</f>
        <v>49.72</v>
      </c>
      <c r="H122" s="21" t="n">
        <f aca="false">листопад!H122</f>
        <v>0</v>
      </c>
      <c r="I122" s="22" t="n">
        <f aca="false">листопад!I122</f>
        <v>4.1</v>
      </c>
      <c r="J122" s="23" t="n">
        <f aca="false">ROUND(G122*I122,2)</f>
        <v>203.85</v>
      </c>
      <c r="K122" s="19"/>
      <c r="L122" s="19"/>
      <c r="M122" s="19"/>
      <c r="N122" s="19" t="n">
        <f aca="false">ROUND((G122*I122)-K122-L122-M122,2)</f>
        <v>203.85</v>
      </c>
      <c r="O122" s="19"/>
      <c r="P122" s="25" t="n">
        <f aca="false">IF(D122=0,IF((N122-E122-O122)&gt;0,(N122-E122-O122),0),IF((D122+N122-O122)&gt;0,(D122+N122-O122),0))</f>
        <v>2447.8</v>
      </c>
      <c r="Q122" s="25" t="n">
        <f aca="false">IF(E122=0,IF((D122+N122-O122)&lt;0,ABS(D122+N122-O122),0),IF((N122-E122-O122)&lt;0,ABS(N122-E122-O122),0))</f>
        <v>0</v>
      </c>
    </row>
    <row r="123" customFormat="false" ht="15" hidden="false" customHeight="false" outlineLevel="0" collapsed="false">
      <c r="A123" s="17" t="s">
        <v>365</v>
      </c>
      <c r="B123" s="18" t="str">
        <f aca="false">листопад!B123</f>
        <v>Маркова О.М.</v>
      </c>
      <c r="C123" s="18" t="str">
        <f aca="false">листопад!C123</f>
        <v>40115</v>
      </c>
      <c r="D123" s="19" t="n">
        <f aca="false">листопад!P123</f>
        <v>5892.02</v>
      </c>
      <c r="E123" s="19" t="n">
        <f aca="false">листопад!Q123</f>
        <v>0</v>
      </c>
      <c r="F123" s="20" t="n">
        <f aca="false">листопад!F123</f>
        <v>0</v>
      </c>
      <c r="G123" s="21" t="n">
        <f aca="false">листопад!G123</f>
        <v>65.1</v>
      </c>
      <c r="H123" s="21" t="n">
        <f aca="false">листопад!H123</f>
        <v>0</v>
      </c>
      <c r="I123" s="22" t="n">
        <f aca="false">листопад!I123</f>
        <v>4.1</v>
      </c>
      <c r="J123" s="23" t="n">
        <f aca="false">ROUND(G123*I123,2)</f>
        <v>266.91</v>
      </c>
      <c r="K123" s="19"/>
      <c r="L123" s="19"/>
      <c r="M123" s="19"/>
      <c r="N123" s="19" t="n">
        <f aca="false">ROUND((G123*I123)-K123-L123-M123,2)</f>
        <v>266.91</v>
      </c>
      <c r="O123" s="19"/>
      <c r="P123" s="25" t="n">
        <f aca="false">IF(D123=0,IF((N123-E123-O123)&gt;0,(N123-E123-O123),0),IF((D123+N123-O123)&gt;0,(D123+N123-O123),0))</f>
        <v>6158.93</v>
      </c>
      <c r="Q123" s="25" t="n">
        <f aca="false">IF(E123=0,IF((D123+N123-O123)&lt;0,ABS(D123+N123-O123),0),IF((N123-E123-O123)&lt;0,ABS(N123-E123-O123),0))</f>
        <v>0</v>
      </c>
    </row>
    <row r="124" customFormat="false" ht="15" hidden="false" customHeight="false" outlineLevel="0" collapsed="false">
      <c r="A124" s="17" t="s">
        <v>368</v>
      </c>
      <c r="B124" s="18" t="str">
        <f aca="false">листопад!B124</f>
        <v>Ракитська А.М.</v>
      </c>
      <c r="C124" s="18" t="str">
        <f aca="false">листопад!C124</f>
        <v>40116</v>
      </c>
      <c r="D124" s="19" t="n">
        <f aca="false">листопад!P124</f>
        <v>4259.18</v>
      </c>
      <c r="E124" s="19" t="n">
        <f aca="false">листопад!Q124</f>
        <v>0</v>
      </c>
      <c r="F124" s="20" t="n">
        <f aca="false">листопад!F124</f>
        <v>0</v>
      </c>
      <c r="G124" s="21" t="n">
        <f aca="false">листопад!G124</f>
        <v>62.18</v>
      </c>
      <c r="H124" s="21" t="n">
        <f aca="false">листопад!H124</f>
        <v>0</v>
      </c>
      <c r="I124" s="22" t="n">
        <f aca="false">листопад!I124</f>
        <v>4.1</v>
      </c>
      <c r="J124" s="23" t="n">
        <f aca="false">ROUND(G124*I124,2)</f>
        <v>254.94</v>
      </c>
      <c r="K124" s="19"/>
      <c r="L124" s="19"/>
      <c r="M124" s="19"/>
      <c r="N124" s="19" t="n">
        <f aca="false">ROUND((G124*I124)-K124-L124-M124,2)</f>
        <v>254.94</v>
      </c>
      <c r="O124" s="19"/>
      <c r="P124" s="25" t="n">
        <f aca="false">IF(D124=0,IF((N124-E124-O124)&gt;0,(N124-E124-O124),0),IF((D124+N124-O124)&gt;0,(D124+N124-O124),0))</f>
        <v>4514.12</v>
      </c>
      <c r="Q124" s="25" t="n">
        <f aca="false">IF(E124=0,IF((D124+N124-O124)&lt;0,ABS(D124+N124-O124),0),IF((N124-E124-O124)&lt;0,ABS(N124-E124-O124),0))</f>
        <v>0</v>
      </c>
    </row>
    <row r="125" customFormat="false" ht="15" hidden="false" customHeight="false" outlineLevel="0" collapsed="false">
      <c r="A125" s="17" t="s">
        <v>371</v>
      </c>
      <c r="B125" s="18" t="str">
        <f aca="false">листопад!B125</f>
        <v>Гусак К.С.</v>
      </c>
      <c r="C125" s="18" t="str">
        <f aca="false">листопад!C125</f>
        <v>40117</v>
      </c>
      <c r="D125" s="19" t="n">
        <f aca="false">листопад!P125</f>
        <v>3083.25</v>
      </c>
      <c r="E125" s="19" t="n">
        <f aca="false">листопад!Q125</f>
        <v>0</v>
      </c>
      <c r="F125" s="20" t="n">
        <f aca="false">листопад!F125</f>
        <v>0</v>
      </c>
      <c r="G125" s="21" t="n">
        <f aca="false">листопад!G125</f>
        <v>35.1</v>
      </c>
      <c r="H125" s="21" t="n">
        <f aca="false">листопад!H125</f>
        <v>0</v>
      </c>
      <c r="I125" s="22" t="n">
        <f aca="false">листопад!I125</f>
        <v>4.1</v>
      </c>
      <c r="J125" s="23" t="n">
        <f aca="false">ROUND(G125*I125,2)</f>
        <v>143.91</v>
      </c>
      <c r="K125" s="19"/>
      <c r="L125" s="19"/>
      <c r="M125" s="19"/>
      <c r="N125" s="19" t="n">
        <f aca="false">ROUND((G125*I125)-K125-L125-M125,2)</f>
        <v>143.91</v>
      </c>
      <c r="O125" s="19"/>
      <c r="P125" s="25" t="n">
        <f aca="false">IF(D125=0,IF((N125-E125-O125)&gt;0,(N125-E125-O125),0),IF((D125+N125-O125)&gt;0,(D125+N125-O125),0))</f>
        <v>3227.16</v>
      </c>
      <c r="Q125" s="25" t="n">
        <f aca="false">IF(E125=0,IF((D125+N125-O125)&lt;0,ABS(D125+N125-O125),0),IF((N125-E125-O125)&lt;0,ABS(N125-E125-O125),0))</f>
        <v>0</v>
      </c>
    </row>
    <row r="126" customFormat="false" ht="15" hidden="false" customHeight="false" outlineLevel="0" collapsed="false">
      <c r="A126" s="17" t="s">
        <v>374</v>
      </c>
      <c r="B126" s="18" t="str">
        <f aca="false">листопад!B126</f>
        <v>Пісоченко М.Г.</v>
      </c>
      <c r="C126" s="18" t="str">
        <f aca="false">листопад!C126</f>
        <v>40118</v>
      </c>
      <c r="D126" s="19" t="n">
        <f aca="false">листопад!P126</f>
        <v>816.72</v>
      </c>
      <c r="E126" s="19" t="n">
        <f aca="false">листопад!Q126</f>
        <v>0</v>
      </c>
      <c r="F126" s="20" t="n">
        <f aca="false">листопад!F126</f>
        <v>0</v>
      </c>
      <c r="G126" s="21" t="n">
        <f aca="false">листопад!G126</f>
        <v>49.8</v>
      </c>
      <c r="H126" s="21" t="n">
        <f aca="false">листопад!H126</f>
        <v>0</v>
      </c>
      <c r="I126" s="22" t="n">
        <f aca="false">листопад!I126</f>
        <v>4.1</v>
      </c>
      <c r="J126" s="23" t="n">
        <f aca="false">ROUND(G126*I126,2)</f>
        <v>204.18</v>
      </c>
      <c r="K126" s="19"/>
      <c r="L126" s="19"/>
      <c r="M126" s="19"/>
      <c r="N126" s="19" t="n">
        <f aca="false">ROUND((G126*I126)-K126-L126-M126,2)</f>
        <v>204.18</v>
      </c>
      <c r="O126" s="19"/>
      <c r="P126" s="25" t="n">
        <f aca="false">IF(D126=0,IF((N126-E126-O126)&gt;0,(N126-E126-O126),0),IF((D126+N126-O126)&gt;0,(D126+N126-O126),0))</f>
        <v>1020.9</v>
      </c>
      <c r="Q126" s="25" t="n">
        <f aca="false">IF(E126=0,IF((D126+N126-O126)&lt;0,ABS(D126+N126-O126),0),IF((N126-E126-O126)&lt;0,ABS(N126-E126-O126),0))</f>
        <v>0</v>
      </c>
    </row>
    <row r="127" customFormat="false" ht="15" hidden="false" customHeight="false" outlineLevel="0" collapsed="false">
      <c r="A127" s="17" t="s">
        <v>377</v>
      </c>
      <c r="B127" s="18" t="str">
        <f aca="false">листопад!B127</f>
        <v>Столяр О.М.</v>
      </c>
      <c r="C127" s="18" t="str">
        <f aca="false">листопад!C127</f>
        <v>40119</v>
      </c>
      <c r="D127" s="19" t="n">
        <f aca="false">листопад!P127</f>
        <v>9444.48999999999</v>
      </c>
      <c r="E127" s="19" t="n">
        <f aca="false">листопад!Q127</f>
        <v>0</v>
      </c>
      <c r="F127" s="20" t="n">
        <f aca="false">листопад!F127</f>
        <v>0</v>
      </c>
      <c r="G127" s="21" t="n">
        <f aca="false">листопад!G127</f>
        <v>65.3</v>
      </c>
      <c r="H127" s="21" t="n">
        <f aca="false">листопад!H127</f>
        <v>0</v>
      </c>
      <c r="I127" s="22" t="n">
        <f aca="false">листопад!I127</f>
        <v>4.1</v>
      </c>
      <c r="J127" s="23" t="n">
        <f aca="false">ROUND(G127*I127,2)</f>
        <v>267.73</v>
      </c>
      <c r="K127" s="19"/>
      <c r="L127" s="19"/>
      <c r="M127" s="19"/>
      <c r="N127" s="19" t="n">
        <f aca="false">ROUND((G127*I127)-K127-L127-M127,2)</f>
        <v>267.73</v>
      </c>
      <c r="O127" s="19"/>
      <c r="P127" s="25" t="n">
        <f aca="false">IF(D127=0,IF((N127-E127-O127)&gt;0,(N127-E127-O127),0),IF((D127+N127-O127)&gt;0,(D127+N127-O127),0))</f>
        <v>9712.21999999999</v>
      </c>
      <c r="Q127" s="25" t="n">
        <f aca="false">IF(E127=0,IF((D127+N127-O127)&lt;0,ABS(D127+N127-O127),0),IF((N127-E127-O127)&lt;0,ABS(N127-E127-O127),0))</f>
        <v>0</v>
      </c>
    </row>
    <row r="128" customFormat="false" ht="15" hidden="false" customHeight="false" outlineLevel="0" collapsed="false">
      <c r="A128" s="17" t="s">
        <v>380</v>
      </c>
      <c r="B128" s="18" t="str">
        <f aca="false">листопад!B128</f>
        <v>Рєзніков В.П.</v>
      </c>
      <c r="C128" s="18" t="str">
        <f aca="false">листопад!C128</f>
        <v>40120</v>
      </c>
      <c r="D128" s="19" t="n">
        <f aca="false">листопад!P128</f>
        <v>1266.69</v>
      </c>
      <c r="E128" s="19" t="n">
        <f aca="false">листопад!Q128</f>
        <v>0</v>
      </c>
      <c r="F128" s="20" t="n">
        <f aca="false">листопад!F128</f>
        <v>0</v>
      </c>
      <c r="G128" s="21" t="n">
        <f aca="false">листопад!G128</f>
        <v>62.44</v>
      </c>
      <c r="H128" s="21" t="n">
        <f aca="false">листопад!H128</f>
        <v>0</v>
      </c>
      <c r="I128" s="22" t="n">
        <f aca="false">листопад!I128</f>
        <v>4.1</v>
      </c>
      <c r="J128" s="23" t="n">
        <f aca="false">ROUND(G128*I128,2)</f>
        <v>256</v>
      </c>
      <c r="K128" s="19"/>
      <c r="L128" s="19"/>
      <c r="M128" s="19"/>
      <c r="N128" s="19" t="n">
        <f aca="false">ROUND((G128*I128)-K128-L128-M128,2)</f>
        <v>256</v>
      </c>
      <c r="O128" s="19"/>
      <c r="P128" s="25" t="n">
        <f aca="false">IF(D128=0,IF((N128-E128-O128)&gt;0,(N128-E128-O128),0),IF((D128+N128-O128)&gt;0,(D128+N128-O128),0))</f>
        <v>1522.69</v>
      </c>
      <c r="Q128" s="25" t="n">
        <f aca="false">IF(E128=0,IF((D128+N128-O128)&lt;0,ABS(D128+N128-O128),0),IF((N128-E128-O128)&lt;0,ABS(N128-E128-O128),0))</f>
        <v>0</v>
      </c>
    </row>
    <row r="129" customFormat="false" ht="15" hidden="false" customHeight="false" outlineLevel="0" collapsed="false">
      <c r="A129" s="17" t="s">
        <v>383</v>
      </c>
      <c r="B129" s="18" t="str">
        <f aca="false">листопад!B129</f>
        <v>Золотоверха Я.І.</v>
      </c>
      <c r="C129" s="18" t="str">
        <f aca="false">листопад!C129</f>
        <v>40121</v>
      </c>
      <c r="D129" s="19" t="n">
        <f aca="false">листопад!P129</f>
        <v>437.88</v>
      </c>
      <c r="E129" s="19" t="n">
        <f aca="false">листопад!Q129</f>
        <v>0</v>
      </c>
      <c r="F129" s="20" t="n">
        <f aca="false">листопад!F129</f>
        <v>0</v>
      </c>
      <c r="G129" s="21" t="n">
        <f aca="false">листопад!G129</f>
        <v>35.6</v>
      </c>
      <c r="H129" s="21" t="n">
        <f aca="false">листопад!H129</f>
        <v>0</v>
      </c>
      <c r="I129" s="22" t="n">
        <f aca="false">листопад!I129</f>
        <v>4.1</v>
      </c>
      <c r="J129" s="23" t="n">
        <f aca="false">ROUND(G129*I129,2)</f>
        <v>145.96</v>
      </c>
      <c r="K129" s="19"/>
      <c r="L129" s="19"/>
      <c r="M129" s="19"/>
      <c r="N129" s="19" t="n">
        <f aca="false">ROUND((G129*I129)-K129-L129-M129,2)</f>
        <v>145.96</v>
      </c>
      <c r="O129" s="19"/>
      <c r="P129" s="25" t="n">
        <f aca="false">IF(D129=0,IF((N129-E129-O129)&gt;0,(N129-E129-O129),0),IF((D129+N129-O129)&gt;0,(D129+N129-O129),0))</f>
        <v>583.84</v>
      </c>
      <c r="Q129" s="25" t="n">
        <f aca="false">IF(E129=0,IF((D129+N129-O129)&lt;0,ABS(D129+N129-O129),0),IF((N129-E129-O129)&lt;0,ABS(N129-E129-O129),0))</f>
        <v>0</v>
      </c>
    </row>
    <row r="130" customFormat="false" ht="15" hidden="false" customHeight="false" outlineLevel="0" collapsed="false">
      <c r="A130" s="17" t="s">
        <v>386</v>
      </c>
      <c r="B130" s="18" t="str">
        <f aca="false">листопад!B130</f>
        <v>Бурлаков А.В.</v>
      </c>
      <c r="C130" s="18" t="str">
        <f aca="false">листопад!C130</f>
        <v>40122</v>
      </c>
      <c r="D130" s="19" t="n">
        <f aca="false">листопад!P130</f>
        <v>879.26</v>
      </c>
      <c r="E130" s="19" t="n">
        <f aca="false">листопад!Q130</f>
        <v>0</v>
      </c>
      <c r="F130" s="20" t="n">
        <f aca="false">листопад!F130</f>
        <v>0</v>
      </c>
      <c r="G130" s="21" t="n">
        <f aca="false">листопад!G130</f>
        <v>49.7</v>
      </c>
      <c r="H130" s="21" t="n">
        <f aca="false">листопад!H130</f>
        <v>0</v>
      </c>
      <c r="I130" s="22" t="n">
        <f aca="false">листопад!I130</f>
        <v>4.1</v>
      </c>
      <c r="J130" s="23" t="n">
        <f aca="false">ROUND(G130*I130,2)</f>
        <v>203.77</v>
      </c>
      <c r="K130" s="19"/>
      <c r="L130" s="19"/>
      <c r="M130" s="19"/>
      <c r="N130" s="19" t="n">
        <f aca="false">ROUND((G130*I130)-K130-L130-M130,2)</f>
        <v>203.77</v>
      </c>
      <c r="O130" s="19"/>
      <c r="P130" s="25" t="n">
        <f aca="false">IF(D130=0,IF((N130-E130-O130)&gt;0,(N130-E130-O130),0),IF((D130+N130-O130)&gt;0,(D130+N130-O130),0))</f>
        <v>1083.03</v>
      </c>
      <c r="Q130" s="25" t="n">
        <f aca="false">IF(E130=0,IF((D130+N130-O130)&lt;0,ABS(D130+N130-O130),0),IF((N130-E130-O130)&lt;0,ABS(N130-E130-O130),0))</f>
        <v>0</v>
      </c>
    </row>
    <row r="131" customFormat="false" ht="15" hidden="false" customHeight="false" outlineLevel="0" collapsed="false">
      <c r="A131" s="17" t="s">
        <v>389</v>
      </c>
      <c r="B131" s="18" t="str">
        <f aca="false">листопад!B131</f>
        <v>Сикула О.Ю.</v>
      </c>
      <c r="C131" s="18" t="str">
        <f aca="false">листопад!C131</f>
        <v>40123</v>
      </c>
      <c r="D131" s="19" t="n">
        <f aca="false">листопад!P131</f>
        <v>5196.5</v>
      </c>
      <c r="E131" s="19" t="n">
        <f aca="false">листопад!Q131</f>
        <v>0</v>
      </c>
      <c r="F131" s="20" t="n">
        <f aca="false">листопад!F131</f>
        <v>0</v>
      </c>
      <c r="G131" s="21" t="n">
        <f aca="false">листопад!G131</f>
        <v>65.15</v>
      </c>
      <c r="H131" s="21" t="n">
        <f aca="false">листопад!H131</f>
        <v>0</v>
      </c>
      <c r="I131" s="22" t="n">
        <f aca="false">листопад!I131</f>
        <v>4.1</v>
      </c>
      <c r="J131" s="23" t="n">
        <f aca="false">ROUND(G131*I131,2)</f>
        <v>267.12</v>
      </c>
      <c r="K131" s="19"/>
      <c r="L131" s="19"/>
      <c r="M131" s="19"/>
      <c r="N131" s="19" t="n">
        <f aca="false">ROUND((G131*I131)-K131-L131-M131,2)</f>
        <v>267.12</v>
      </c>
      <c r="O131" s="19"/>
      <c r="P131" s="25" t="n">
        <f aca="false">IF(D131=0,IF((N131-E131-O131)&gt;0,(N131-E131-O131),0),IF((D131+N131-O131)&gt;0,(D131+N131-O131),0))</f>
        <v>5463.62</v>
      </c>
      <c r="Q131" s="25" t="n">
        <f aca="false">IF(E131=0,IF((D131+N131-O131)&lt;0,ABS(D131+N131-O131),0),IF((N131-E131-O131)&lt;0,ABS(N131-E131-O131),0))</f>
        <v>0</v>
      </c>
    </row>
    <row r="132" customFormat="false" ht="15" hidden="false" customHeight="false" outlineLevel="0" collapsed="false">
      <c r="A132" s="17" t="s">
        <v>392</v>
      </c>
      <c r="B132" s="18" t="str">
        <f aca="false">листопад!B132</f>
        <v>Арістов О.О.</v>
      </c>
      <c r="C132" s="18" t="str">
        <f aca="false">листопад!C132</f>
        <v>40124</v>
      </c>
      <c r="D132" s="19" t="n">
        <f aca="false">листопад!P132</f>
        <v>2443.95</v>
      </c>
      <c r="E132" s="19" t="n">
        <f aca="false">листопад!Q132</f>
        <v>0</v>
      </c>
      <c r="F132" s="20" t="n">
        <f aca="false">листопад!F132</f>
        <v>0</v>
      </c>
      <c r="G132" s="21" t="n">
        <f aca="false">листопад!G132</f>
        <v>63</v>
      </c>
      <c r="H132" s="21" t="n">
        <f aca="false">листопад!H132</f>
        <v>0</v>
      </c>
      <c r="I132" s="22" t="n">
        <f aca="false">листопад!I132</f>
        <v>4.1</v>
      </c>
      <c r="J132" s="23" t="n">
        <f aca="false">ROUND(G132*I132,2)</f>
        <v>258.3</v>
      </c>
      <c r="K132" s="19"/>
      <c r="L132" s="19"/>
      <c r="M132" s="19"/>
      <c r="N132" s="19" t="n">
        <f aca="false">ROUND((G132*I132)-K132-L132-M132,2)</f>
        <v>258.3</v>
      </c>
      <c r="O132" s="19"/>
      <c r="P132" s="25" t="n">
        <f aca="false">IF(D132=0,IF((N132-E132-O132)&gt;0,(N132-E132-O132),0),IF((D132+N132-O132)&gt;0,(D132+N132-O132),0))</f>
        <v>2702.25</v>
      </c>
      <c r="Q132" s="25" t="n">
        <f aca="false">IF(E132=0,IF((D132+N132-O132)&lt;0,ABS(D132+N132-O132),0),IF((N132-E132-O132)&lt;0,ABS(N132-E132-O132),0))</f>
        <v>0</v>
      </c>
    </row>
    <row r="133" customFormat="false" ht="15" hidden="false" customHeight="false" outlineLevel="0" collapsed="false">
      <c r="A133" s="17" t="s">
        <v>395</v>
      </c>
      <c r="B133" s="18" t="str">
        <f aca="false">листопад!B133</f>
        <v>Бондаренко Т.О.</v>
      </c>
      <c r="C133" s="18" t="str">
        <f aca="false">листопад!C133</f>
        <v>40125</v>
      </c>
      <c r="D133" s="19" t="n">
        <f aca="false">листопад!P133</f>
        <v>2659.29</v>
      </c>
      <c r="E133" s="19" t="n">
        <f aca="false">листопад!Q133</f>
        <v>0</v>
      </c>
      <c r="F133" s="20" t="n">
        <f aca="false">листопад!F133</f>
        <v>0</v>
      </c>
      <c r="G133" s="21" t="n">
        <f aca="false">листопад!G133</f>
        <v>34.7</v>
      </c>
      <c r="H133" s="21" t="n">
        <f aca="false">листопад!H133</f>
        <v>0</v>
      </c>
      <c r="I133" s="22" t="n">
        <f aca="false">листопад!I133</f>
        <v>4.1</v>
      </c>
      <c r="J133" s="23" t="n">
        <f aca="false">ROUND(G133*I133,2)</f>
        <v>142.27</v>
      </c>
      <c r="K133" s="19"/>
      <c r="L133" s="19"/>
      <c r="M133" s="19"/>
      <c r="N133" s="19" t="n">
        <f aca="false">ROUND((G133*I133)-K133-L133-M133,2)</f>
        <v>142.27</v>
      </c>
      <c r="O133" s="19"/>
      <c r="P133" s="25" t="n">
        <f aca="false">IF(D133=0,IF((N133-E133-O133)&gt;0,(N133-E133-O133),0),IF((D133+N133-O133)&gt;0,(D133+N133-O133),0))</f>
        <v>2801.56</v>
      </c>
      <c r="Q133" s="25" t="n">
        <f aca="false">IF(E133=0,IF((D133+N133-O133)&lt;0,ABS(D133+N133-O133),0),IF((N133-E133-O133)&lt;0,ABS(N133-E133-O133),0))</f>
        <v>0</v>
      </c>
    </row>
    <row r="134" customFormat="false" ht="15" hidden="false" customHeight="false" outlineLevel="0" collapsed="false">
      <c r="A134" s="17" t="s">
        <v>398</v>
      </c>
      <c r="B134" s="18" t="str">
        <f aca="false">листопад!B134</f>
        <v>Гайчев П.В.</v>
      </c>
      <c r="C134" s="18" t="str">
        <f aca="false">листопад!C134</f>
        <v>40126</v>
      </c>
      <c r="D134" s="19" t="n">
        <f aca="false">листопад!P134</f>
        <v>618.240000000001</v>
      </c>
      <c r="E134" s="19" t="n">
        <f aca="false">листопад!Q134</f>
        <v>0</v>
      </c>
      <c r="F134" s="20" t="n">
        <f aca="false">листопад!F134</f>
        <v>0</v>
      </c>
      <c r="G134" s="21" t="n">
        <f aca="false">листопад!G134</f>
        <v>49.2</v>
      </c>
      <c r="H134" s="21" t="n">
        <f aca="false">листопад!H134</f>
        <v>0</v>
      </c>
      <c r="I134" s="22" t="n">
        <f aca="false">листопад!I134</f>
        <v>4.1</v>
      </c>
      <c r="J134" s="23" t="n">
        <f aca="false">ROUND(G134*I134,2)</f>
        <v>201.72</v>
      </c>
      <c r="K134" s="19"/>
      <c r="L134" s="19"/>
      <c r="M134" s="19"/>
      <c r="N134" s="19" t="n">
        <f aca="false">ROUND((G134*I134)-K134-L134-M134,2)</f>
        <v>201.72</v>
      </c>
      <c r="O134" s="19"/>
      <c r="P134" s="25" t="n">
        <f aca="false">IF(D134=0,IF((N134-E134-O134)&gt;0,(N134-E134-O134),0),IF((D134+N134-O134)&gt;0,(D134+N134-O134),0))</f>
        <v>819.960000000001</v>
      </c>
      <c r="Q134" s="25" t="n">
        <f aca="false">IF(E134=0,IF((D134+N134-O134)&lt;0,ABS(D134+N134-O134),0),IF((N134-E134-O134)&lt;0,ABS(N134-E134-O134),0))</f>
        <v>0</v>
      </c>
    </row>
    <row r="135" customFormat="false" ht="15" hidden="false" customHeight="false" outlineLevel="0" collapsed="false">
      <c r="A135" s="17" t="s">
        <v>401</v>
      </c>
      <c r="B135" s="18" t="str">
        <f aca="false">листопад!B135</f>
        <v>Радченко О.С.</v>
      </c>
      <c r="C135" s="18" t="str">
        <f aca="false">листопад!C135</f>
        <v>40127</v>
      </c>
      <c r="D135" s="19" t="n">
        <f aca="false">листопад!P135</f>
        <v>1330.5</v>
      </c>
      <c r="E135" s="19" t="n">
        <f aca="false">листопад!Q135</f>
        <v>0</v>
      </c>
      <c r="F135" s="20" t="n">
        <f aca="false">листопад!F135</f>
        <v>0</v>
      </c>
      <c r="G135" s="21" t="n">
        <f aca="false">листопад!G135</f>
        <v>65.15</v>
      </c>
      <c r="H135" s="21" t="n">
        <f aca="false">листопад!H135</f>
        <v>0</v>
      </c>
      <c r="I135" s="22" t="n">
        <f aca="false">листопад!I135</f>
        <v>4.1</v>
      </c>
      <c r="J135" s="23" t="n">
        <f aca="false">ROUND(G135*I135,2)</f>
        <v>267.12</v>
      </c>
      <c r="K135" s="19"/>
      <c r="L135" s="19"/>
      <c r="M135" s="19"/>
      <c r="N135" s="19" t="n">
        <f aca="false">ROUND((G135*I135)-K135-L135-M135,2)</f>
        <v>267.12</v>
      </c>
      <c r="O135" s="19"/>
      <c r="P135" s="25" t="n">
        <f aca="false">IF(D135=0,IF((N135-E135-O135)&gt;0,(N135-E135-O135),0),IF((D135+N135-O135)&gt;0,(D135+N135-O135),0))</f>
        <v>1597.62</v>
      </c>
      <c r="Q135" s="25" t="n">
        <f aca="false">IF(E135=0,IF((D135+N135-O135)&lt;0,ABS(D135+N135-O135),0),IF((N135-E135-O135)&lt;0,ABS(N135-E135-O135),0))</f>
        <v>0</v>
      </c>
    </row>
    <row r="136" customFormat="false" ht="15" hidden="false" customHeight="false" outlineLevel="0" collapsed="false">
      <c r="A136" s="17" t="s">
        <v>404</v>
      </c>
      <c r="B136" s="18" t="str">
        <f aca="false">листопад!B136</f>
        <v>Шилін С.М.</v>
      </c>
      <c r="C136" s="18" t="str">
        <f aca="false">листопад!C136</f>
        <v>40128</v>
      </c>
      <c r="D136" s="19" t="n">
        <f aca="false">листопад!P136</f>
        <v>4086.31</v>
      </c>
      <c r="E136" s="19" t="n">
        <f aca="false">листопад!Q136</f>
        <v>0</v>
      </c>
      <c r="F136" s="20" t="n">
        <f aca="false">листопад!F136</f>
        <v>0</v>
      </c>
      <c r="G136" s="21" t="n">
        <f aca="false">листопад!G136</f>
        <v>62.3</v>
      </c>
      <c r="H136" s="21" t="n">
        <f aca="false">листопад!H136</f>
        <v>0</v>
      </c>
      <c r="I136" s="22" t="n">
        <f aca="false">листопад!I136</f>
        <v>4.1</v>
      </c>
      <c r="J136" s="23" t="n">
        <f aca="false">ROUND(G136*I136,2)</f>
        <v>255.43</v>
      </c>
      <c r="K136" s="19"/>
      <c r="L136" s="19"/>
      <c r="M136" s="19"/>
      <c r="N136" s="19" t="n">
        <f aca="false">ROUND((G136*I136)-K136-L136-M136,2)</f>
        <v>255.43</v>
      </c>
      <c r="O136" s="19"/>
      <c r="P136" s="25" t="n">
        <f aca="false">IF(D136=0,IF((N136-E136-O136)&gt;0,(N136-E136-O136),0),IF((D136+N136-O136)&gt;0,(D136+N136-O136),0))</f>
        <v>4341.74</v>
      </c>
      <c r="Q136" s="25" t="n">
        <f aca="false">IF(E136=0,IF((D136+N136-O136)&lt;0,ABS(D136+N136-O136),0),IF((N136-E136-O136)&lt;0,ABS(N136-E136-O136),0))</f>
        <v>0</v>
      </c>
    </row>
    <row r="137" customFormat="false" ht="15" hidden="false" customHeight="false" outlineLevel="0" collapsed="false">
      <c r="A137" s="17" t="s">
        <v>407</v>
      </c>
      <c r="B137" s="18" t="str">
        <f aca="false">листопад!B137</f>
        <v>Петрулевич В.М.</v>
      </c>
      <c r="C137" s="18" t="str">
        <f aca="false">листопад!C137</f>
        <v>40129</v>
      </c>
      <c r="D137" s="19" t="n">
        <f aca="false">листопад!P137</f>
        <v>2705.29</v>
      </c>
      <c r="E137" s="19" t="n">
        <f aca="false">листопад!Q137</f>
        <v>0</v>
      </c>
      <c r="F137" s="20" t="n">
        <f aca="false">листопад!F137</f>
        <v>0</v>
      </c>
      <c r="G137" s="21" t="n">
        <f aca="false">листопад!G137</f>
        <v>35.3</v>
      </c>
      <c r="H137" s="21" t="n">
        <f aca="false">листопад!H137</f>
        <v>0</v>
      </c>
      <c r="I137" s="22" t="n">
        <f aca="false">листопад!I137</f>
        <v>4.1</v>
      </c>
      <c r="J137" s="23" t="n">
        <f aca="false">ROUND(G137*I137,2)</f>
        <v>144.73</v>
      </c>
      <c r="K137" s="19"/>
      <c r="L137" s="19"/>
      <c r="M137" s="19"/>
      <c r="N137" s="19" t="n">
        <f aca="false">ROUND((G137*I137)-K137-L137-M137,2)</f>
        <v>144.73</v>
      </c>
      <c r="O137" s="19"/>
      <c r="P137" s="25" t="n">
        <f aca="false">IF(D137=0,IF((N137-E137-O137)&gt;0,(N137-E137-O137),0),IF((D137+N137-O137)&gt;0,(D137+N137-O137),0))</f>
        <v>2850.02</v>
      </c>
      <c r="Q137" s="25" t="n">
        <f aca="false">IF(E137=0,IF((D137+N137-O137)&lt;0,ABS(D137+N137-O137),0),IF((N137-E137-O137)&lt;0,ABS(N137-E137-O137),0))</f>
        <v>0</v>
      </c>
    </row>
    <row r="138" customFormat="false" ht="15" hidden="false" customHeight="false" outlineLevel="0" collapsed="false">
      <c r="A138" s="17" t="s">
        <v>410</v>
      </c>
      <c r="B138" s="18" t="str">
        <f aca="false">листопад!B138</f>
        <v>Кривошеєва Л.М.</v>
      </c>
      <c r="C138" s="18" t="str">
        <f aca="false">листопад!C138</f>
        <v>40130</v>
      </c>
      <c r="D138" s="19" t="n">
        <f aca="false">листопад!P138</f>
        <v>3217.52</v>
      </c>
      <c r="E138" s="19" t="n">
        <f aca="false">листопад!Q138</f>
        <v>0</v>
      </c>
      <c r="F138" s="20" t="n">
        <f aca="false">листопад!F138</f>
        <v>0</v>
      </c>
      <c r="G138" s="21" t="n">
        <f aca="false">листопад!G138</f>
        <v>49.78</v>
      </c>
      <c r="H138" s="21" t="n">
        <f aca="false">листопад!H138</f>
        <v>0</v>
      </c>
      <c r="I138" s="22" t="n">
        <f aca="false">листопад!I138</f>
        <v>4.1</v>
      </c>
      <c r="J138" s="23" t="n">
        <f aca="false">ROUND(G138*I138,2)</f>
        <v>204.1</v>
      </c>
      <c r="K138" s="19"/>
      <c r="L138" s="19"/>
      <c r="M138" s="19"/>
      <c r="N138" s="19" t="n">
        <f aca="false">ROUND((G138*I138)-K138-L138-M138,2)</f>
        <v>204.1</v>
      </c>
      <c r="O138" s="19"/>
      <c r="P138" s="25" t="n">
        <f aca="false">IF(D138=0,IF((N138-E138-O138)&gt;0,(N138-E138-O138),0),IF((D138+N138-O138)&gt;0,(D138+N138-O138),0))</f>
        <v>3421.62</v>
      </c>
      <c r="Q138" s="25" t="n">
        <f aca="false">IF(E138=0,IF((D138+N138-O138)&lt;0,ABS(D138+N138-O138),0),IF((N138-E138-O138)&lt;0,ABS(N138-E138-O138),0))</f>
        <v>0</v>
      </c>
    </row>
    <row r="139" customFormat="false" ht="15" hidden="false" customHeight="false" outlineLevel="0" collapsed="false">
      <c r="A139" s="17" t="s">
        <v>413</v>
      </c>
      <c r="B139" s="18" t="str">
        <f aca="false">листопад!B139</f>
        <v>Харченко І.С.</v>
      </c>
      <c r="C139" s="18" t="str">
        <f aca="false">листопад!C139</f>
        <v>40131</v>
      </c>
      <c r="D139" s="19" t="n">
        <f aca="false">листопад!P139</f>
        <v>1582.12</v>
      </c>
      <c r="E139" s="19" t="n">
        <f aca="false">листопад!Q139</f>
        <v>0</v>
      </c>
      <c r="F139" s="20" t="n">
        <f aca="false">листопад!F139</f>
        <v>0</v>
      </c>
      <c r="G139" s="21" t="n">
        <f aca="false">листопад!G139</f>
        <v>65.93</v>
      </c>
      <c r="H139" s="21" t="n">
        <f aca="false">листопад!H139</f>
        <v>0</v>
      </c>
      <c r="I139" s="22" t="n">
        <f aca="false">листопад!I139</f>
        <v>4.1</v>
      </c>
      <c r="J139" s="23" t="n">
        <f aca="false">ROUND(G139*I139,2)</f>
        <v>270.31</v>
      </c>
      <c r="K139" s="19"/>
      <c r="L139" s="19"/>
      <c r="M139" s="19"/>
      <c r="N139" s="19" t="n">
        <f aca="false">ROUND((G139*I139)-K139-L139-M139,2)</f>
        <v>270.31</v>
      </c>
      <c r="O139" s="19"/>
      <c r="P139" s="25" t="n">
        <f aca="false">IF(D139=0,IF((N139-E139-O139)&gt;0,(N139-E139-O139),0),IF((D139+N139-O139)&gt;0,(D139+N139-O139),0))</f>
        <v>1852.43</v>
      </c>
      <c r="Q139" s="25" t="n">
        <f aca="false">IF(E139=0,IF((D139+N139-O139)&lt;0,ABS(D139+N139-O139),0),IF((N139-E139-O139)&lt;0,ABS(N139-E139-O139),0))</f>
        <v>0</v>
      </c>
    </row>
    <row r="140" customFormat="false" ht="15" hidden="false" customHeight="false" outlineLevel="0" collapsed="false">
      <c r="A140" s="17" t="s">
        <v>416</v>
      </c>
      <c r="B140" s="18" t="str">
        <f aca="false">листопад!B140</f>
        <v>Куриленко І.О.</v>
      </c>
      <c r="C140" s="18" t="str">
        <f aca="false">листопад!C140</f>
        <v>40132</v>
      </c>
      <c r="D140" s="19" t="n">
        <f aca="false">листопад!P140</f>
        <v>5878.93</v>
      </c>
      <c r="E140" s="19" t="n">
        <f aca="false">листопад!Q140</f>
        <v>0</v>
      </c>
      <c r="F140" s="20" t="n">
        <f aca="false">листопад!F140</f>
        <v>0</v>
      </c>
      <c r="G140" s="21" t="n">
        <f aca="false">листопад!G140</f>
        <v>62.36</v>
      </c>
      <c r="H140" s="21" t="n">
        <f aca="false">листопад!H140</f>
        <v>0</v>
      </c>
      <c r="I140" s="22" t="n">
        <f aca="false">листопад!I140</f>
        <v>4.1</v>
      </c>
      <c r="J140" s="23" t="n">
        <f aca="false">ROUND(G140*I140,2)</f>
        <v>255.68</v>
      </c>
      <c r="K140" s="19"/>
      <c r="L140" s="19"/>
      <c r="M140" s="19"/>
      <c r="N140" s="19" t="n">
        <f aca="false">ROUND((G140*I140)-K140-L140-M140,2)</f>
        <v>255.68</v>
      </c>
      <c r="O140" s="19"/>
      <c r="P140" s="25" t="n">
        <f aca="false">IF(D140=0,IF((N140-E140-O140)&gt;0,(N140-E140-O140),0),IF((D140+N140-O140)&gt;0,(D140+N140-O140),0))</f>
        <v>6134.61</v>
      </c>
      <c r="Q140" s="25" t="n">
        <f aca="false">IF(E140=0,IF((D140+N140-O140)&lt;0,ABS(D140+N140-O140),0),IF((N140-E140-O140)&lt;0,ABS(N140-E140-O140),0))</f>
        <v>0</v>
      </c>
    </row>
    <row r="141" customFormat="false" ht="15" hidden="false" customHeight="false" outlineLevel="0" collapsed="false">
      <c r="A141" s="17" t="s">
        <v>419</v>
      </c>
      <c r="B141" s="18" t="str">
        <f aca="false">листопад!B141</f>
        <v>Єлсукова В.М.</v>
      </c>
      <c r="C141" s="18" t="str">
        <f aca="false">листопад!C141</f>
        <v>40133</v>
      </c>
      <c r="D141" s="19" t="n">
        <f aca="false">листопад!P141</f>
        <v>3309.93</v>
      </c>
      <c r="E141" s="19" t="n">
        <f aca="false">листопад!Q141</f>
        <v>0</v>
      </c>
      <c r="F141" s="20" t="n">
        <f aca="false">листопад!F141</f>
        <v>0</v>
      </c>
      <c r="G141" s="21" t="n">
        <f aca="false">листопад!G141</f>
        <v>35.1</v>
      </c>
      <c r="H141" s="21" t="n">
        <f aca="false">листопад!H141</f>
        <v>0</v>
      </c>
      <c r="I141" s="22" t="n">
        <f aca="false">листопад!I141</f>
        <v>4.1</v>
      </c>
      <c r="J141" s="23" t="n">
        <f aca="false">ROUND(G141*I141,2)</f>
        <v>143.91</v>
      </c>
      <c r="K141" s="19"/>
      <c r="L141" s="19"/>
      <c r="M141" s="19"/>
      <c r="N141" s="19" t="n">
        <f aca="false">ROUND((G141*I141)-K141-L141-M141,2)</f>
        <v>143.91</v>
      </c>
      <c r="O141" s="19"/>
      <c r="P141" s="25" t="n">
        <f aca="false">IF(D141=0,IF((N141-E141-O141)&gt;0,(N141-E141-O141),0),IF((D141+N141-O141)&gt;0,(D141+N141-O141),0))</f>
        <v>3453.84</v>
      </c>
      <c r="Q141" s="25" t="n">
        <f aca="false">IF(E141=0,IF((D141+N141-O141)&lt;0,ABS(D141+N141-O141),0),IF((N141-E141-O141)&lt;0,ABS(N141-E141-O141),0))</f>
        <v>0</v>
      </c>
    </row>
    <row r="142" customFormat="false" ht="15" hidden="false" customHeight="false" outlineLevel="0" collapsed="false">
      <c r="A142" s="17" t="s">
        <v>422</v>
      </c>
      <c r="B142" s="18" t="str">
        <f aca="false">листопад!B142</f>
        <v>Пімонова М.В.</v>
      </c>
      <c r="C142" s="18" t="str">
        <f aca="false">листопад!C142</f>
        <v>40134</v>
      </c>
      <c r="D142" s="19" t="n">
        <f aca="false">листопад!P142</f>
        <v>6203.76</v>
      </c>
      <c r="E142" s="19" t="n">
        <f aca="false">листопад!Q142</f>
        <v>0</v>
      </c>
      <c r="F142" s="20" t="n">
        <f aca="false">листопад!F142</f>
        <v>0</v>
      </c>
      <c r="G142" s="21" t="n">
        <f aca="false">листопад!G142</f>
        <v>49.47</v>
      </c>
      <c r="H142" s="21" t="n">
        <f aca="false">листопад!H142</f>
        <v>0</v>
      </c>
      <c r="I142" s="22" t="n">
        <f aca="false">листопад!I142</f>
        <v>4.1</v>
      </c>
      <c r="J142" s="23" t="n">
        <f aca="false">ROUND(G142*I142,2)</f>
        <v>202.83</v>
      </c>
      <c r="K142" s="19"/>
      <c r="L142" s="19"/>
      <c r="M142" s="19"/>
      <c r="N142" s="19" t="n">
        <f aca="false">ROUND((G142*I142)-K142-L142-M142,2)</f>
        <v>202.83</v>
      </c>
      <c r="O142" s="19"/>
      <c r="P142" s="25" t="n">
        <f aca="false">IF(D142=0,IF((N142-E142-O142)&gt;0,(N142-E142-O142),0),IF((D142+N142-O142)&gt;0,(D142+N142-O142),0))</f>
        <v>6406.59</v>
      </c>
      <c r="Q142" s="25" t="n">
        <f aca="false">IF(E142=0,IF((D142+N142-O142)&lt;0,ABS(D142+N142-O142),0),IF((N142-E142-O142)&lt;0,ABS(N142-E142-O142),0))</f>
        <v>0</v>
      </c>
    </row>
    <row r="143" customFormat="false" ht="15" hidden="false" customHeight="false" outlineLevel="0" collapsed="false">
      <c r="A143" s="17" t="s">
        <v>425</v>
      </c>
      <c r="B143" s="18" t="str">
        <f aca="false">листопад!B143</f>
        <v>Осипенко В.В.</v>
      </c>
      <c r="C143" s="18" t="str">
        <f aca="false">листопад!C143</f>
        <v>40135</v>
      </c>
      <c r="D143" s="19" t="n">
        <f aca="false">листопад!P143</f>
        <v>4035.74</v>
      </c>
      <c r="E143" s="19" t="n">
        <f aca="false">листопад!Q143</f>
        <v>0</v>
      </c>
      <c r="F143" s="20" t="n">
        <f aca="false">листопад!F143</f>
        <v>0</v>
      </c>
      <c r="G143" s="21" t="n">
        <f aca="false">листопад!G143</f>
        <v>65.65</v>
      </c>
      <c r="H143" s="21" t="n">
        <f aca="false">листопад!H143</f>
        <v>0</v>
      </c>
      <c r="I143" s="22" t="n">
        <f aca="false">листопад!I143</f>
        <v>4.1</v>
      </c>
      <c r="J143" s="23" t="n">
        <f aca="false">ROUND(G143*I143,2)</f>
        <v>269.17</v>
      </c>
      <c r="K143" s="19"/>
      <c r="L143" s="19"/>
      <c r="M143" s="19"/>
      <c r="N143" s="19" t="n">
        <f aca="false">ROUND((G143*I143)-K143-L143-M143,2)</f>
        <v>269.17</v>
      </c>
      <c r="O143" s="19"/>
      <c r="P143" s="25" t="n">
        <f aca="false">IF(D143=0,IF((N143-E143-O143)&gt;0,(N143-E143-O143),0),IF((D143+N143-O143)&gt;0,(D143+N143-O143),0))</f>
        <v>4304.91</v>
      </c>
      <c r="Q143" s="25" t="n">
        <f aca="false">IF(E143=0,IF((D143+N143-O143)&lt;0,ABS(D143+N143-O143),0),IF((N143-E143-O143)&lt;0,ABS(N143-E143-O143),0))</f>
        <v>0</v>
      </c>
    </row>
    <row r="144" customFormat="false" ht="15" hidden="false" customHeight="false" outlineLevel="0" collapsed="false">
      <c r="A144" s="17" t="s">
        <v>428</v>
      </c>
      <c r="B144" s="18" t="str">
        <f aca="false">листопад!B144</f>
        <v>Друзь О.О.</v>
      </c>
      <c r="C144" s="18" t="str">
        <f aca="false">листопад!C144</f>
        <v>40136</v>
      </c>
      <c r="D144" s="19" t="n">
        <f aca="false">листопад!P144</f>
        <v>4582.3</v>
      </c>
      <c r="E144" s="19" t="n">
        <f aca="false">листопад!Q144</f>
        <v>0</v>
      </c>
      <c r="F144" s="20" t="n">
        <f aca="false">листопад!F144</f>
        <v>0</v>
      </c>
      <c r="G144" s="21" t="n">
        <f aca="false">листопад!G144</f>
        <v>62.1</v>
      </c>
      <c r="H144" s="21" t="n">
        <f aca="false">листопад!H144</f>
        <v>0</v>
      </c>
      <c r="I144" s="22" t="n">
        <f aca="false">листопад!I144</f>
        <v>4.1</v>
      </c>
      <c r="J144" s="23" t="n">
        <f aca="false">ROUND(G144*I144,2)</f>
        <v>254.61</v>
      </c>
      <c r="K144" s="19"/>
      <c r="L144" s="19"/>
      <c r="M144" s="19"/>
      <c r="N144" s="19" t="n">
        <f aca="false">ROUND((G144*I144)-K144-L144-M144,2)</f>
        <v>254.61</v>
      </c>
      <c r="O144" s="19"/>
      <c r="P144" s="25" t="n">
        <f aca="false">IF(D144=0,IF((N144-E144-O144)&gt;0,(N144-E144-O144),0),IF((D144+N144-O144)&gt;0,(D144+N144-O144),0))</f>
        <v>4836.91</v>
      </c>
      <c r="Q144" s="25" t="n">
        <f aca="false">IF(E144=0,IF((D144+N144-O144)&lt;0,ABS(D144+N144-O144),0),IF((N144-E144-O144)&lt;0,ABS(N144-E144-O144),0))</f>
        <v>0</v>
      </c>
    </row>
    <row r="145" customFormat="false" ht="15" hidden="false" customHeight="false" outlineLevel="0" collapsed="false">
      <c r="A145" s="17" t="s">
        <v>431</v>
      </c>
      <c r="B145" s="18" t="str">
        <f aca="false">листопад!B145</f>
        <v>Вовченко Р.І.</v>
      </c>
      <c r="C145" s="18" t="str">
        <f aca="false">листопад!C145</f>
        <v>40137</v>
      </c>
      <c r="D145" s="19" t="n">
        <f aca="false">листопад!P145</f>
        <v>930.719999999999</v>
      </c>
      <c r="E145" s="19" t="n">
        <f aca="false">листопад!Q145</f>
        <v>0</v>
      </c>
      <c r="F145" s="20" t="n">
        <f aca="false">листопад!F145</f>
        <v>0</v>
      </c>
      <c r="G145" s="21" t="n">
        <f aca="false">листопад!G145</f>
        <v>35.2</v>
      </c>
      <c r="H145" s="21" t="n">
        <f aca="false">листопад!H145</f>
        <v>0</v>
      </c>
      <c r="I145" s="22" t="n">
        <f aca="false">листопад!I145</f>
        <v>4.1</v>
      </c>
      <c r="J145" s="23" t="n">
        <f aca="false">ROUND(G145*I145,2)</f>
        <v>144.32</v>
      </c>
      <c r="K145" s="19"/>
      <c r="L145" s="19"/>
      <c r="M145" s="19"/>
      <c r="N145" s="19" t="n">
        <f aca="false">ROUND((G145*I145)-K145-L145-M145,2)</f>
        <v>144.32</v>
      </c>
      <c r="O145" s="19"/>
      <c r="P145" s="25" t="n">
        <f aca="false">IF(D145=0,IF((N145-E145-O145)&gt;0,(N145-E145-O145),0),IF((D145+N145-O145)&gt;0,(D145+N145-O145),0))</f>
        <v>1075.04</v>
      </c>
      <c r="Q145" s="25" t="n">
        <f aca="false">IF(E145=0,IF((D145+N145-O145)&lt;0,ABS(D145+N145-O145),0),IF((N145-E145-O145)&lt;0,ABS(N145-E145-O145),0))</f>
        <v>0</v>
      </c>
    </row>
    <row r="146" customFormat="false" ht="15" hidden="false" customHeight="false" outlineLevel="0" collapsed="false">
      <c r="A146" s="17" t="s">
        <v>434</v>
      </c>
      <c r="B146" s="18" t="str">
        <f aca="false">листопад!B146</f>
        <v>Плакун Д.В.</v>
      </c>
      <c r="C146" s="18" t="str">
        <f aca="false">листопад!C146</f>
        <v>40138</v>
      </c>
      <c r="D146" s="19" t="n">
        <f aca="false">листопад!P146</f>
        <v>2250.17</v>
      </c>
      <c r="E146" s="19" t="n">
        <f aca="false">листопад!Q146</f>
        <v>0</v>
      </c>
      <c r="F146" s="20" t="n">
        <f aca="false">листопад!F146</f>
        <v>0</v>
      </c>
      <c r="G146" s="21" t="n">
        <f aca="false">листопад!G146</f>
        <v>49.9</v>
      </c>
      <c r="H146" s="21" t="n">
        <f aca="false">листопад!H146</f>
        <v>0</v>
      </c>
      <c r="I146" s="22" t="n">
        <f aca="false">листопад!I146</f>
        <v>4.1</v>
      </c>
      <c r="J146" s="23" t="n">
        <f aca="false">ROUND(G146*I146,2)</f>
        <v>204.59</v>
      </c>
      <c r="K146" s="19"/>
      <c r="L146" s="19"/>
      <c r="M146" s="19"/>
      <c r="N146" s="19" t="n">
        <f aca="false">ROUND((G146*I146)-K146-L146-M146,2)</f>
        <v>204.59</v>
      </c>
      <c r="O146" s="19"/>
      <c r="P146" s="25" t="n">
        <f aca="false">IF(D146=0,IF((N146-E146-O146)&gt;0,(N146-E146-O146),0),IF((D146+N146-O146)&gt;0,(D146+N146-O146),0))</f>
        <v>2454.76</v>
      </c>
      <c r="Q146" s="25" t="n">
        <f aca="false">IF(E146=0,IF((D146+N146-O146)&lt;0,ABS(D146+N146-O146),0),IF((N146-E146-O146)&lt;0,ABS(N146-E146-O146),0))</f>
        <v>0</v>
      </c>
    </row>
    <row r="147" customFormat="false" ht="15" hidden="false" customHeight="false" outlineLevel="0" collapsed="false">
      <c r="A147" s="17" t="s">
        <v>437</v>
      </c>
      <c r="B147" s="18" t="str">
        <f aca="false">листопад!B147</f>
        <v>Гаврилова Ю.О.</v>
      </c>
      <c r="C147" s="18" t="str">
        <f aca="false">листопад!C147</f>
        <v>40139</v>
      </c>
      <c r="D147" s="19" t="n">
        <f aca="false">листопад!P147</f>
        <v>1691.24</v>
      </c>
      <c r="E147" s="19" t="n">
        <f aca="false">листопад!Q147</f>
        <v>0</v>
      </c>
      <c r="F147" s="20" t="n">
        <f aca="false">листопад!F147</f>
        <v>0</v>
      </c>
      <c r="G147" s="21" t="n">
        <f aca="false">листопад!G147</f>
        <v>65.8</v>
      </c>
      <c r="H147" s="21" t="n">
        <f aca="false">листопад!H147</f>
        <v>0</v>
      </c>
      <c r="I147" s="22" t="n">
        <f aca="false">листопад!I147</f>
        <v>4.1</v>
      </c>
      <c r="J147" s="23" t="n">
        <f aca="false">ROUND(G147*I147,2)</f>
        <v>269.78</v>
      </c>
      <c r="K147" s="19"/>
      <c r="L147" s="19"/>
      <c r="M147" s="19"/>
      <c r="N147" s="19" t="n">
        <f aca="false">ROUND((G147*I147)-K147-L147-M147,2)</f>
        <v>269.78</v>
      </c>
      <c r="O147" s="19"/>
      <c r="P147" s="25" t="n">
        <f aca="false">IF(D147=0,IF((N147-E147-O147)&gt;0,(N147-E147-O147),0),IF((D147+N147-O147)&gt;0,(D147+N147-O147),0))</f>
        <v>1961.02</v>
      </c>
      <c r="Q147" s="25" t="n">
        <f aca="false">IF(E147=0,IF((D147+N147-O147)&lt;0,ABS(D147+N147-O147),0),IF((N147-E147-O147)&lt;0,ABS(N147-E147-O147),0))</f>
        <v>0</v>
      </c>
    </row>
    <row r="148" customFormat="false" ht="15" hidden="false" customHeight="false" outlineLevel="0" collapsed="false">
      <c r="A148" s="17" t="s">
        <v>440</v>
      </c>
      <c r="B148" s="18" t="str">
        <f aca="false">листопад!B148</f>
        <v>Корзун Г.М.</v>
      </c>
      <c r="C148" s="18" t="str">
        <f aca="false">листопад!C148</f>
        <v>40140</v>
      </c>
      <c r="D148" s="19" t="n">
        <f aca="false">листопад!P148</f>
        <v>1908.84</v>
      </c>
      <c r="E148" s="19" t="n">
        <f aca="false">листопад!Q148</f>
        <v>0</v>
      </c>
      <c r="F148" s="20" t="n">
        <f aca="false">листопад!F148</f>
        <v>0</v>
      </c>
      <c r="G148" s="21" t="n">
        <f aca="false">листопад!G148</f>
        <v>63.2</v>
      </c>
      <c r="H148" s="21" t="n">
        <f aca="false">листопад!H148</f>
        <v>0</v>
      </c>
      <c r="I148" s="22" t="n">
        <f aca="false">листопад!I148</f>
        <v>4.1</v>
      </c>
      <c r="J148" s="23" t="n">
        <f aca="false">ROUND(G148*I148,2)</f>
        <v>259.12</v>
      </c>
      <c r="K148" s="19"/>
      <c r="L148" s="19"/>
      <c r="M148" s="19"/>
      <c r="N148" s="19" t="n">
        <f aca="false">ROUND((G148*I148)-K148-L148-M148,2)</f>
        <v>259.12</v>
      </c>
      <c r="O148" s="19"/>
      <c r="P148" s="25" t="n">
        <f aca="false">IF(D148=0,IF((N148-E148-O148)&gt;0,(N148-E148-O148),0),IF((D148+N148-O148)&gt;0,(D148+N148-O148),0))</f>
        <v>2167.96</v>
      </c>
      <c r="Q148" s="25" t="n">
        <f aca="false">IF(E148=0,IF((D148+N148-O148)&lt;0,ABS(D148+N148-O148),0),IF((N148-E148-O148)&lt;0,ABS(N148-E148-O148),0))</f>
        <v>0</v>
      </c>
    </row>
    <row r="149" customFormat="false" ht="15" hidden="false" customHeight="false" outlineLevel="0" collapsed="false">
      <c r="A149" s="17" t="s">
        <v>443</v>
      </c>
      <c r="B149" s="18" t="str">
        <f aca="false">листопад!B149</f>
        <v>Бондаренко Л.Л.</v>
      </c>
      <c r="C149" s="18" t="str">
        <f aca="false">листопад!C149</f>
        <v>40141</v>
      </c>
      <c r="D149" s="19" t="n">
        <f aca="false">листопад!P149</f>
        <v>428.74</v>
      </c>
      <c r="E149" s="19" t="n">
        <f aca="false">листопад!Q149</f>
        <v>0</v>
      </c>
      <c r="F149" s="20" t="n">
        <f aca="false">листопад!F149</f>
        <v>0</v>
      </c>
      <c r="G149" s="21" t="n">
        <f aca="false">листопад!G149</f>
        <v>34.9</v>
      </c>
      <c r="H149" s="21" t="n">
        <f aca="false">листопад!H149</f>
        <v>0</v>
      </c>
      <c r="I149" s="22" t="n">
        <f aca="false">листопад!I149</f>
        <v>4.1</v>
      </c>
      <c r="J149" s="23" t="n">
        <f aca="false">ROUND(G149*I149,2)</f>
        <v>143.09</v>
      </c>
      <c r="K149" s="19"/>
      <c r="L149" s="19"/>
      <c r="M149" s="19"/>
      <c r="N149" s="19" t="n">
        <f aca="false">ROUND((G149*I149)-K149-L149-M149,2)</f>
        <v>143.09</v>
      </c>
      <c r="O149" s="19"/>
      <c r="P149" s="25" t="n">
        <f aca="false">IF(D149=0,IF((N149-E149-O149)&gt;0,(N149-E149-O149),0),IF((D149+N149-O149)&gt;0,(D149+N149-O149),0))</f>
        <v>571.83</v>
      </c>
      <c r="Q149" s="25" t="n">
        <f aca="false">IF(E149=0,IF((D149+N149-O149)&lt;0,ABS(D149+N149-O149),0),IF((N149-E149-O149)&lt;0,ABS(N149-E149-O149),0))</f>
        <v>0</v>
      </c>
    </row>
    <row r="150" customFormat="false" ht="15" hidden="false" customHeight="false" outlineLevel="0" collapsed="false">
      <c r="A150" s="17" t="s">
        <v>446</v>
      </c>
      <c r="B150" s="18" t="str">
        <f aca="false">листопад!B150</f>
        <v>Капелюш Н.А.</v>
      </c>
      <c r="C150" s="18" t="str">
        <f aca="false">листопад!C150</f>
        <v>40142</v>
      </c>
      <c r="D150" s="19" t="n">
        <f aca="false">листопад!P150</f>
        <v>4339.44</v>
      </c>
      <c r="E150" s="19" t="n">
        <f aca="false">листопад!Q150</f>
        <v>0</v>
      </c>
      <c r="F150" s="20" t="n">
        <f aca="false">листопад!F150</f>
        <v>0</v>
      </c>
      <c r="G150" s="21" t="n">
        <f aca="false">листопад!G150</f>
        <v>50.4</v>
      </c>
      <c r="H150" s="21" t="n">
        <f aca="false">листопад!H150</f>
        <v>0</v>
      </c>
      <c r="I150" s="22" t="n">
        <f aca="false">листопад!I150</f>
        <v>4.1</v>
      </c>
      <c r="J150" s="23" t="n">
        <f aca="false">ROUND(G150*I150,2)</f>
        <v>206.64</v>
      </c>
      <c r="K150" s="19"/>
      <c r="L150" s="19"/>
      <c r="M150" s="19"/>
      <c r="N150" s="19" t="n">
        <f aca="false">ROUND((G150*I150)-K150-L150-M150,2)</f>
        <v>206.64</v>
      </c>
      <c r="O150" s="19"/>
      <c r="P150" s="25" t="n">
        <f aca="false">IF(D150=0,IF((N150-E150-O150)&gt;0,(N150-E150-O150),0),IF((D150+N150-O150)&gt;0,(D150+N150-O150),0))</f>
        <v>4546.08</v>
      </c>
      <c r="Q150" s="25" t="n">
        <f aca="false">IF(E150=0,IF((D150+N150-O150)&lt;0,ABS(D150+N150-O150),0),IF((N150-E150-O150)&lt;0,ABS(N150-E150-O150),0))</f>
        <v>0</v>
      </c>
    </row>
    <row r="151" customFormat="false" ht="15" hidden="false" customHeight="false" outlineLevel="0" collapsed="false">
      <c r="A151" s="17" t="s">
        <v>449</v>
      </c>
      <c r="B151" s="18" t="str">
        <f aca="false">листопад!B151</f>
        <v>Кістрінь Л.П.</v>
      </c>
      <c r="C151" s="18" t="str">
        <f aca="false">листопад!C151</f>
        <v>40143</v>
      </c>
      <c r="D151" s="19" t="n">
        <f aca="false">листопад!P151</f>
        <v>6935.77</v>
      </c>
      <c r="E151" s="19" t="n">
        <f aca="false">листопад!Q151</f>
        <v>0</v>
      </c>
      <c r="F151" s="20" t="n">
        <f aca="false">листопад!F151</f>
        <v>0</v>
      </c>
      <c r="G151" s="21" t="n">
        <f aca="false">листопад!G151</f>
        <v>65.2</v>
      </c>
      <c r="H151" s="21" t="n">
        <f aca="false">листопад!H151</f>
        <v>0</v>
      </c>
      <c r="I151" s="22" t="n">
        <f aca="false">листопад!I151</f>
        <v>4.1</v>
      </c>
      <c r="J151" s="23" t="n">
        <f aca="false">ROUND(G151*I151,2)</f>
        <v>267.32</v>
      </c>
      <c r="K151" s="19"/>
      <c r="L151" s="19"/>
      <c r="M151" s="19"/>
      <c r="N151" s="19" t="n">
        <f aca="false">ROUND((G151*I151)-K151-L151-M151,2)</f>
        <v>267.32</v>
      </c>
      <c r="O151" s="19"/>
      <c r="P151" s="25" t="n">
        <f aca="false">IF(D151=0,IF((N151-E151-O151)&gt;0,(N151-E151-O151),0),IF((D151+N151-O151)&gt;0,(D151+N151-O151),0))</f>
        <v>7203.09</v>
      </c>
      <c r="Q151" s="25" t="n">
        <f aca="false">IF(E151=0,IF((D151+N151-O151)&lt;0,ABS(D151+N151-O151),0),IF((N151-E151-O151)&lt;0,ABS(N151-E151-O151),0))</f>
        <v>0</v>
      </c>
    </row>
    <row r="152" customFormat="false" ht="15" hidden="false" customHeight="false" outlineLevel="0" collapsed="false">
      <c r="A152" s="17" t="s">
        <v>452</v>
      </c>
      <c r="B152" s="18" t="str">
        <f aca="false">листопад!B152</f>
        <v>Козьміна І.В.</v>
      </c>
      <c r="C152" s="18" t="str">
        <f aca="false">листопад!C152</f>
        <v>50144</v>
      </c>
      <c r="D152" s="19" t="n">
        <f aca="false">листопад!P152</f>
        <v>1588.44</v>
      </c>
      <c r="E152" s="19" t="n">
        <f aca="false">листопад!Q152</f>
        <v>0</v>
      </c>
      <c r="F152" s="20" t="n">
        <f aca="false">листопад!F152</f>
        <v>0</v>
      </c>
      <c r="G152" s="21" t="n">
        <f aca="false">листопад!G152</f>
        <v>64.57</v>
      </c>
      <c r="H152" s="21" t="n">
        <f aca="false">листопад!H152</f>
        <v>0</v>
      </c>
      <c r="I152" s="22" t="n">
        <f aca="false">листопад!I152</f>
        <v>4.1</v>
      </c>
      <c r="J152" s="23" t="n">
        <f aca="false">ROUND(G152*I152,2)</f>
        <v>264.74</v>
      </c>
      <c r="K152" s="19"/>
      <c r="L152" s="19"/>
      <c r="M152" s="19"/>
      <c r="N152" s="19" t="n">
        <f aca="false">ROUND((G152*I152)-K152-L152-M152,2)</f>
        <v>264.74</v>
      </c>
      <c r="O152" s="19"/>
      <c r="P152" s="25" t="n">
        <f aca="false">IF(D152=0,IF((N152-E152-O152)&gt;0,(N152-E152-O152),0),IF((D152+N152-O152)&gt;0,(D152+N152-O152),0))</f>
        <v>1853.18</v>
      </c>
      <c r="Q152" s="25" t="n">
        <f aca="false">IF(E152=0,IF((D152+N152-O152)&lt;0,ABS(D152+N152-O152),0),IF((N152-E152-O152)&lt;0,ABS(N152-E152-O152),0))</f>
        <v>0</v>
      </c>
    </row>
    <row r="153" customFormat="false" ht="15" hidden="false" customHeight="false" outlineLevel="0" collapsed="false">
      <c r="A153" s="17" t="s">
        <v>455</v>
      </c>
      <c r="B153" s="18" t="str">
        <f aca="false">листопад!B153</f>
        <v>Чала С.С.</v>
      </c>
      <c r="C153" s="18" t="str">
        <f aca="false">листопад!C153</f>
        <v>50145</v>
      </c>
      <c r="D153" s="19" t="n">
        <f aca="false">листопад!P153</f>
        <v>6048.46</v>
      </c>
      <c r="E153" s="19" t="n">
        <f aca="false">листопад!Q153</f>
        <v>0</v>
      </c>
      <c r="F153" s="20" t="n">
        <f aca="false">листопад!F153</f>
        <v>0</v>
      </c>
      <c r="G153" s="21" t="n">
        <f aca="false">листопад!G153</f>
        <v>48.7</v>
      </c>
      <c r="H153" s="21" t="n">
        <f aca="false">листопад!H153</f>
        <v>0</v>
      </c>
      <c r="I153" s="22" t="n">
        <f aca="false">листопад!I153</f>
        <v>4.1</v>
      </c>
      <c r="J153" s="23" t="n">
        <f aca="false">ROUND(G153*I153,2)</f>
        <v>199.67</v>
      </c>
      <c r="K153" s="19"/>
      <c r="L153" s="19"/>
      <c r="M153" s="19"/>
      <c r="N153" s="19" t="n">
        <f aca="false">ROUND((G153*I153)-K153-L153-M153,2)</f>
        <v>199.67</v>
      </c>
      <c r="O153" s="19"/>
      <c r="P153" s="25" t="n">
        <f aca="false">IF(D153=0,IF((N153-E153-O153)&gt;0,(N153-E153-O153),0),IF((D153+N153-O153)&gt;0,(D153+N153-O153),0))</f>
        <v>6248.13</v>
      </c>
      <c r="Q153" s="25" t="n">
        <f aca="false">IF(E153=0,IF((D153+N153-O153)&lt;0,ABS(D153+N153-O153),0),IF((N153-E153-O153)&lt;0,ABS(N153-E153-O153),0))</f>
        <v>0</v>
      </c>
    </row>
    <row r="154" customFormat="false" ht="15" hidden="false" customHeight="false" outlineLevel="0" collapsed="false">
      <c r="A154" s="17" t="s">
        <v>458</v>
      </c>
      <c r="B154" s="18" t="str">
        <f aca="false">листопад!B154</f>
        <v>Свєтайлова І.М.</v>
      </c>
      <c r="C154" s="18" t="str">
        <f aca="false">листопад!C154</f>
        <v>50146</v>
      </c>
      <c r="D154" s="19" t="n">
        <f aca="false">листопад!P154</f>
        <v>3166.02</v>
      </c>
      <c r="E154" s="19" t="n">
        <f aca="false">листопад!Q154</f>
        <v>0</v>
      </c>
      <c r="F154" s="20" t="n">
        <f aca="false">листопад!F154</f>
        <v>0</v>
      </c>
      <c r="G154" s="21" t="n">
        <f aca="false">листопад!G154</f>
        <v>35.1</v>
      </c>
      <c r="H154" s="21" t="n">
        <f aca="false">листопад!H154</f>
        <v>0</v>
      </c>
      <c r="I154" s="22" t="n">
        <f aca="false">листопад!I154</f>
        <v>4.1</v>
      </c>
      <c r="J154" s="23" t="n">
        <f aca="false">ROUND(G154*I154,2)</f>
        <v>143.91</v>
      </c>
      <c r="K154" s="19"/>
      <c r="L154" s="19"/>
      <c r="M154" s="19"/>
      <c r="N154" s="19" t="n">
        <f aca="false">ROUND((G154*I154)-K154-L154-M154,2)</f>
        <v>143.91</v>
      </c>
      <c r="O154" s="19"/>
      <c r="P154" s="25" t="n">
        <f aca="false">IF(D154=0,IF((N154-E154-O154)&gt;0,(N154-E154-O154),0),IF((D154+N154-O154)&gt;0,(D154+N154-O154),0))</f>
        <v>3309.93</v>
      </c>
      <c r="Q154" s="25" t="n">
        <f aca="false">IF(E154=0,IF((D154+N154-O154)&lt;0,ABS(D154+N154-O154),0),IF((N154-E154-O154)&lt;0,ABS(N154-E154-O154),0))</f>
        <v>0</v>
      </c>
    </row>
    <row r="155" customFormat="false" ht="15" hidden="false" customHeight="false" outlineLevel="0" collapsed="false">
      <c r="A155" s="17" t="s">
        <v>461</v>
      </c>
      <c r="B155" s="18" t="str">
        <f aca="false">листопад!B155</f>
        <v>Неделько Д.І.</v>
      </c>
      <c r="C155" s="18" t="str">
        <f aca="false">листопад!C155</f>
        <v>50147</v>
      </c>
      <c r="D155" s="19" t="n">
        <f aca="false">листопад!P155</f>
        <v>1098.2</v>
      </c>
      <c r="E155" s="19" t="n">
        <f aca="false">листопад!Q155</f>
        <v>0</v>
      </c>
      <c r="F155" s="20" t="n">
        <f aca="false">листопад!F155</f>
        <v>0</v>
      </c>
      <c r="G155" s="21" t="n">
        <f aca="false">листопад!G155</f>
        <v>53.57</v>
      </c>
      <c r="H155" s="21" t="n">
        <f aca="false">листопад!H155</f>
        <v>0</v>
      </c>
      <c r="I155" s="22" t="n">
        <f aca="false">листопад!I155</f>
        <v>4.1</v>
      </c>
      <c r="J155" s="23" t="n">
        <f aca="false">ROUND(G155*I155,2)</f>
        <v>219.64</v>
      </c>
      <c r="K155" s="19"/>
      <c r="L155" s="19"/>
      <c r="M155" s="19"/>
      <c r="N155" s="19" t="n">
        <f aca="false">ROUND((G155*I155)-K155-L155-M155,2)</f>
        <v>219.64</v>
      </c>
      <c r="O155" s="19"/>
      <c r="P155" s="25" t="n">
        <f aca="false">IF(D155=0,IF((N155-E155-O155)&gt;0,(N155-E155-O155),0),IF((D155+N155-O155)&gt;0,(D155+N155-O155),0))</f>
        <v>1317.84</v>
      </c>
      <c r="Q155" s="25" t="n">
        <f aca="false">IF(E155=0,IF((D155+N155-O155)&lt;0,ABS(D155+N155-O155),0),IF((N155-E155-O155)&lt;0,ABS(N155-E155-O155),0))</f>
        <v>0</v>
      </c>
    </row>
    <row r="156" customFormat="false" ht="15" hidden="false" customHeight="false" outlineLevel="0" collapsed="false">
      <c r="A156" s="17" t="s">
        <v>464</v>
      </c>
      <c r="B156" s="18" t="str">
        <f aca="false">листопад!B156</f>
        <v>Самойленко Л.К.</v>
      </c>
      <c r="C156" s="18" t="str">
        <f aca="false">листопад!C156</f>
        <v>50148</v>
      </c>
      <c r="D156" s="19" t="n">
        <f aca="false">листопад!P156</f>
        <v>0</v>
      </c>
      <c r="E156" s="19" t="n">
        <f aca="false">листопад!Q156</f>
        <v>218.049999999999</v>
      </c>
      <c r="F156" s="20" t="n">
        <f aca="false">листопад!F156</f>
        <v>0</v>
      </c>
      <c r="G156" s="21" t="n">
        <f aca="false">листопад!G156</f>
        <v>65.7</v>
      </c>
      <c r="H156" s="21" t="n">
        <f aca="false">листопад!H156</f>
        <v>0</v>
      </c>
      <c r="I156" s="22" t="n">
        <f aca="false">листопад!I156</f>
        <v>4.1</v>
      </c>
      <c r="J156" s="23" t="n">
        <f aca="false">ROUND(G156*I156,2)</f>
        <v>269.37</v>
      </c>
      <c r="K156" s="19"/>
      <c r="L156" s="19"/>
      <c r="M156" s="19"/>
      <c r="N156" s="19" t="n">
        <f aca="false">ROUND((G156*I156)-K156-L156-M156,2)</f>
        <v>269.37</v>
      </c>
      <c r="O156" s="19"/>
      <c r="P156" s="25" t="n">
        <f aca="false">IF(D156=0,IF((N156-E156-O156)&gt;0,(N156-E156-O156),0),IF((D156+N156-O156)&gt;0,(D156+N156-O156),0))</f>
        <v>51.3200000000006</v>
      </c>
      <c r="Q156" s="25" t="n">
        <f aca="false">IF(E156=0,IF((D156+N156-O156)&lt;0,ABS(D156+N156-O156),0),IF((N156-E156-O156)&lt;0,ABS(N156-E156-O156),0))</f>
        <v>0</v>
      </c>
    </row>
    <row r="157" customFormat="false" ht="15" hidden="false" customHeight="false" outlineLevel="0" collapsed="false">
      <c r="A157" s="17" t="s">
        <v>467</v>
      </c>
      <c r="B157" s="18" t="str">
        <f aca="false">листопад!B157</f>
        <v>Павлов Ю.В.</v>
      </c>
      <c r="C157" s="18" t="str">
        <f aca="false">листопад!C157</f>
        <v>50149</v>
      </c>
      <c r="D157" s="19" t="n">
        <f aca="false">листопад!P157</f>
        <v>3794.88</v>
      </c>
      <c r="E157" s="19" t="n">
        <f aca="false">листопад!Q157</f>
        <v>0</v>
      </c>
      <c r="F157" s="20" t="n">
        <f aca="false">листопад!F157</f>
        <v>0</v>
      </c>
      <c r="G157" s="21" t="n">
        <f aca="false">листопад!G157</f>
        <v>49.78</v>
      </c>
      <c r="H157" s="21" t="n">
        <f aca="false">листопад!H157</f>
        <v>0</v>
      </c>
      <c r="I157" s="22" t="n">
        <f aca="false">листопад!I157</f>
        <v>4.1</v>
      </c>
      <c r="J157" s="23" t="n">
        <f aca="false">ROUND(G157*I157,2)</f>
        <v>204.1</v>
      </c>
      <c r="K157" s="19"/>
      <c r="L157" s="19"/>
      <c r="M157" s="19"/>
      <c r="N157" s="19" t="n">
        <f aca="false">ROUND((G157*I157)-K157-L157-M157,2)</f>
        <v>204.1</v>
      </c>
      <c r="O157" s="19"/>
      <c r="P157" s="25" t="n">
        <f aca="false">IF(D157=0,IF((N157-E157-O157)&gt;0,(N157-E157-O157),0),IF((D157+N157-O157)&gt;0,(D157+N157-O157),0))</f>
        <v>3998.98</v>
      </c>
      <c r="Q157" s="25" t="n">
        <f aca="false">IF(E157=0,IF((D157+N157-O157)&lt;0,ABS(D157+N157-O157),0),IF((N157-E157-O157)&lt;0,ABS(N157-E157-O157),0))</f>
        <v>0</v>
      </c>
    </row>
    <row r="158" customFormat="false" ht="15" hidden="false" customHeight="false" outlineLevel="0" collapsed="false">
      <c r="A158" s="17" t="s">
        <v>470</v>
      </c>
      <c r="B158" s="18" t="str">
        <f aca="false">листопад!B158</f>
        <v>Коваленко Т.М.</v>
      </c>
      <c r="C158" s="18" t="str">
        <f aca="false">листопад!C158</f>
        <v>50150</v>
      </c>
      <c r="D158" s="19" t="n">
        <f aca="false">листопад!P158</f>
        <v>574</v>
      </c>
      <c r="E158" s="19" t="n">
        <f aca="false">листопад!Q158</f>
        <v>0</v>
      </c>
      <c r="F158" s="20" t="n">
        <f aca="false">листопад!F158</f>
        <v>0</v>
      </c>
      <c r="G158" s="21" t="n">
        <f aca="false">листопад!G158</f>
        <v>35</v>
      </c>
      <c r="H158" s="21" t="n">
        <f aca="false">листопад!H158</f>
        <v>0</v>
      </c>
      <c r="I158" s="22" t="n">
        <f aca="false">листопад!I158</f>
        <v>4.1</v>
      </c>
      <c r="J158" s="23" t="n">
        <f aca="false">ROUND(G158*I158,2)</f>
        <v>143.5</v>
      </c>
      <c r="K158" s="19"/>
      <c r="L158" s="19"/>
      <c r="M158" s="19"/>
      <c r="N158" s="19" t="n">
        <f aca="false">ROUND((G158*I158)-K158-L158-M158,2)</f>
        <v>143.5</v>
      </c>
      <c r="O158" s="19"/>
      <c r="P158" s="25" t="n">
        <f aca="false">IF(D158=0,IF((N158-E158-O158)&gt;0,(N158-E158-O158),0),IF((D158+N158-O158)&gt;0,(D158+N158-O158),0))</f>
        <v>717.5</v>
      </c>
      <c r="Q158" s="25" t="n">
        <f aca="false">IF(E158=0,IF((D158+N158-O158)&lt;0,ABS(D158+N158-O158),0),IF((N158-E158-O158)&lt;0,ABS(N158-E158-O158),0))</f>
        <v>0</v>
      </c>
    </row>
    <row r="159" customFormat="false" ht="15" hidden="false" customHeight="false" outlineLevel="0" collapsed="false">
      <c r="A159" s="17" t="s">
        <v>473</v>
      </c>
      <c r="B159" s="18" t="str">
        <f aca="false">листопад!B159</f>
        <v>Рощенко Л.Б.</v>
      </c>
      <c r="C159" s="18" t="str">
        <f aca="false">листопад!C159</f>
        <v>50151</v>
      </c>
      <c r="D159" s="19" t="n">
        <f aca="false">листопад!P159</f>
        <v>3531.72</v>
      </c>
      <c r="E159" s="19" t="n">
        <f aca="false">листопад!Q159</f>
        <v>0</v>
      </c>
      <c r="F159" s="20" t="n">
        <f aca="false">листопад!F159</f>
        <v>0</v>
      </c>
      <c r="G159" s="21" t="n">
        <f aca="false">листопад!G159</f>
        <v>62.08</v>
      </c>
      <c r="H159" s="21" t="n">
        <f aca="false">листопад!H159</f>
        <v>0</v>
      </c>
      <c r="I159" s="22" t="n">
        <f aca="false">листопад!I159</f>
        <v>4.1</v>
      </c>
      <c r="J159" s="23" t="n">
        <f aca="false">ROUND(G159*I159,2)</f>
        <v>254.53</v>
      </c>
      <c r="K159" s="19"/>
      <c r="L159" s="19"/>
      <c r="M159" s="19"/>
      <c r="N159" s="19" t="n">
        <f aca="false">ROUND((G159*I159)-K159-L159-M159,2)</f>
        <v>254.53</v>
      </c>
      <c r="O159" s="19"/>
      <c r="P159" s="25" t="n">
        <f aca="false">IF(D159=0,IF((N159-E159-O159)&gt;0,(N159-E159-O159),0),IF((D159+N159-O159)&gt;0,(D159+N159-O159),0))</f>
        <v>3786.25</v>
      </c>
      <c r="Q159" s="25" t="n">
        <f aca="false">IF(E159=0,IF((D159+N159-O159)&lt;0,ABS(D159+N159-O159),0),IF((N159-E159-O159)&lt;0,ABS(N159-E159-O159),0))</f>
        <v>0</v>
      </c>
    </row>
    <row r="160" customFormat="false" ht="15" hidden="false" customHeight="false" outlineLevel="0" collapsed="false">
      <c r="A160" s="17" t="s">
        <v>476</v>
      </c>
      <c r="B160" s="18" t="str">
        <f aca="false">листопад!B160</f>
        <v>Галушко С.Т.</v>
      </c>
      <c r="C160" s="18" t="str">
        <f aca="false">листопад!C160</f>
        <v>50152</v>
      </c>
      <c r="D160" s="19" t="n">
        <f aca="false">листопад!P160</f>
        <v>1080.12</v>
      </c>
      <c r="E160" s="19" t="n">
        <f aca="false">листопад!Q160</f>
        <v>0</v>
      </c>
      <c r="F160" s="20" t="n">
        <f aca="false">листопад!F160</f>
        <v>0</v>
      </c>
      <c r="G160" s="21" t="n">
        <f aca="false">листопад!G160</f>
        <v>65.86</v>
      </c>
      <c r="H160" s="21" t="n">
        <f aca="false">листопад!H160</f>
        <v>0</v>
      </c>
      <c r="I160" s="22" t="n">
        <f aca="false">листопад!I160</f>
        <v>4.1</v>
      </c>
      <c r="J160" s="23" t="n">
        <f aca="false">ROUND(G160*I160,2)</f>
        <v>270.03</v>
      </c>
      <c r="K160" s="19"/>
      <c r="L160" s="19"/>
      <c r="M160" s="19"/>
      <c r="N160" s="19" t="n">
        <f aca="false">ROUND((G160*I160)-K160-L160-M160,2)</f>
        <v>270.03</v>
      </c>
      <c r="O160" s="19"/>
      <c r="P160" s="25" t="n">
        <f aca="false">IF(D160=0,IF((N160-E160-O160)&gt;0,(N160-E160-O160),0),IF((D160+N160-O160)&gt;0,(D160+N160-O160),0))</f>
        <v>1350.15</v>
      </c>
      <c r="Q160" s="25" t="n">
        <f aca="false">IF(E160=0,IF((D160+N160-O160)&lt;0,ABS(D160+N160-O160),0),IF((N160-E160-O160)&lt;0,ABS(N160-E160-O160),0))</f>
        <v>0</v>
      </c>
    </row>
    <row r="161" customFormat="false" ht="15" hidden="false" customHeight="false" outlineLevel="0" collapsed="false">
      <c r="A161" s="17" t="s">
        <v>479</v>
      </c>
      <c r="B161" s="18" t="str">
        <f aca="false">листопад!B161</f>
        <v>Наумова Л.Я.</v>
      </c>
      <c r="C161" s="18" t="str">
        <f aca="false">листопад!C161</f>
        <v>50153</v>
      </c>
      <c r="D161" s="19" t="n">
        <f aca="false">листопад!P161</f>
        <v>754.400000000001</v>
      </c>
      <c r="E161" s="19" t="n">
        <f aca="false">листопад!Q161</f>
        <v>0</v>
      </c>
      <c r="F161" s="20" t="n">
        <f aca="false">листопад!F161</f>
        <v>0</v>
      </c>
      <c r="G161" s="21" t="n">
        <f aca="false">листопад!G161</f>
        <v>49.95</v>
      </c>
      <c r="H161" s="21" t="n">
        <f aca="false">листопад!H161</f>
        <v>0</v>
      </c>
      <c r="I161" s="22" t="n">
        <f aca="false">листопад!I161</f>
        <v>4.1</v>
      </c>
      <c r="J161" s="23" t="n">
        <f aca="false">ROUND(G161*I161,2)</f>
        <v>204.8</v>
      </c>
      <c r="K161" s="19"/>
      <c r="L161" s="19"/>
      <c r="M161" s="19"/>
      <c r="N161" s="19" t="n">
        <f aca="false">ROUND((G161*I161)-K161-L161-M161,2)</f>
        <v>204.8</v>
      </c>
      <c r="O161" s="19"/>
      <c r="P161" s="25" t="n">
        <f aca="false">IF(D161=0,IF((N161-E161-O161)&gt;0,(N161-E161-O161),0),IF((D161+N161-O161)&gt;0,(D161+N161-O161),0))</f>
        <v>959.200000000001</v>
      </c>
      <c r="Q161" s="25" t="n">
        <f aca="false">IF(E161=0,IF((D161+N161-O161)&lt;0,ABS(D161+N161-O161),0),IF((N161-E161-O161)&lt;0,ABS(N161-E161-O161),0))</f>
        <v>0</v>
      </c>
    </row>
    <row r="162" customFormat="false" ht="15" hidden="false" customHeight="false" outlineLevel="0" collapsed="false">
      <c r="A162" s="17" t="s">
        <v>482</v>
      </c>
      <c r="B162" s="18" t="str">
        <f aca="false">листопад!B162</f>
        <v>Грєк В.С.</v>
      </c>
      <c r="C162" s="18" t="str">
        <f aca="false">листопад!C162</f>
        <v>50154</v>
      </c>
      <c r="D162" s="19" t="n">
        <f aca="false">листопад!P162</f>
        <v>1384.35</v>
      </c>
      <c r="E162" s="19" t="n">
        <f aca="false">листопад!Q162</f>
        <v>0</v>
      </c>
      <c r="F162" s="20" t="n">
        <f aca="false">листопад!F162</f>
        <v>0</v>
      </c>
      <c r="G162" s="21" t="n">
        <f aca="false">листопад!G162</f>
        <v>33.9</v>
      </c>
      <c r="H162" s="21" t="n">
        <f aca="false">листопад!H162</f>
        <v>0</v>
      </c>
      <c r="I162" s="22" t="n">
        <f aca="false">листопад!I162</f>
        <v>4.1</v>
      </c>
      <c r="J162" s="23" t="n">
        <f aca="false">ROUND(G162*I162,2)</f>
        <v>138.99</v>
      </c>
      <c r="K162" s="19"/>
      <c r="L162" s="19"/>
      <c r="M162" s="19"/>
      <c r="N162" s="19" t="n">
        <f aca="false">ROUND((G162*I162)-K162-L162-M162,2)</f>
        <v>138.99</v>
      </c>
      <c r="O162" s="19"/>
      <c r="P162" s="25" t="n">
        <f aca="false">IF(D162=0,IF((N162-E162-O162)&gt;0,(N162-E162-O162),0),IF((D162+N162-O162)&gt;0,(D162+N162-O162),0))</f>
        <v>1523.34</v>
      </c>
      <c r="Q162" s="25" t="n">
        <f aca="false">IF(E162=0,IF((D162+N162-O162)&lt;0,ABS(D162+N162-O162),0),IF((N162-E162-O162)&lt;0,ABS(N162-E162-O162),0))</f>
        <v>0</v>
      </c>
    </row>
    <row r="163" customFormat="false" ht="15" hidden="false" customHeight="false" outlineLevel="0" collapsed="false">
      <c r="A163" s="17" t="s">
        <v>485</v>
      </c>
      <c r="B163" s="18" t="str">
        <f aca="false">листопад!B163</f>
        <v>Пермінов О.А.</v>
      </c>
      <c r="C163" s="18" t="str">
        <f aca="false">листопад!C163</f>
        <v>50155</v>
      </c>
      <c r="D163" s="19" t="n">
        <f aca="false">листопад!P163</f>
        <v>2020.6</v>
      </c>
      <c r="E163" s="19" t="n">
        <f aca="false">листопад!Q163</f>
        <v>0</v>
      </c>
      <c r="F163" s="20" t="n">
        <f aca="false">листопад!F163</f>
        <v>0</v>
      </c>
      <c r="G163" s="21" t="n">
        <f aca="false">листопад!G163</f>
        <v>62.43</v>
      </c>
      <c r="H163" s="21" t="n">
        <f aca="false">листопад!H163</f>
        <v>0</v>
      </c>
      <c r="I163" s="22" t="n">
        <f aca="false">листопад!I163</f>
        <v>4.1</v>
      </c>
      <c r="J163" s="23" t="n">
        <f aca="false">ROUND(G163*I163,2)</f>
        <v>255.96</v>
      </c>
      <c r="K163" s="19"/>
      <c r="L163" s="19"/>
      <c r="M163" s="19"/>
      <c r="N163" s="19" t="n">
        <f aca="false">ROUND((G163*I163)-K163-L163-M163,2)</f>
        <v>255.96</v>
      </c>
      <c r="O163" s="19"/>
      <c r="P163" s="25" t="n">
        <f aca="false">IF(D163=0,IF((N163-E163-O163)&gt;0,(N163-E163-O163),0),IF((D163+N163-O163)&gt;0,(D163+N163-O163),0))</f>
        <v>2276.56</v>
      </c>
      <c r="Q163" s="25" t="n">
        <f aca="false">IF(E163=0,IF((D163+N163-O163)&lt;0,ABS(D163+N163-O163),0),IF((N163-E163-O163)&lt;0,ABS(N163-E163-O163),0))</f>
        <v>0</v>
      </c>
    </row>
    <row r="164" customFormat="false" ht="15" hidden="false" customHeight="false" outlineLevel="0" collapsed="false">
      <c r="A164" s="17" t="s">
        <v>488</v>
      </c>
      <c r="B164" s="18" t="str">
        <f aca="false">листопад!B164</f>
        <v>Рябчук Л.П.</v>
      </c>
      <c r="C164" s="18" t="str">
        <f aca="false">листопад!C164</f>
        <v>50156</v>
      </c>
      <c r="D164" s="19" t="n">
        <f aca="false">листопад!P164</f>
        <v>3507.84</v>
      </c>
      <c r="E164" s="19" t="n">
        <f aca="false">листопад!Q164</f>
        <v>0</v>
      </c>
      <c r="F164" s="20" t="n">
        <f aca="false">листопад!F164</f>
        <v>0</v>
      </c>
      <c r="G164" s="21" t="n">
        <f aca="false">листопад!G164</f>
        <v>64.8</v>
      </c>
      <c r="H164" s="21" t="n">
        <f aca="false">листопад!H164</f>
        <v>0</v>
      </c>
      <c r="I164" s="22" t="n">
        <f aca="false">листопад!I164</f>
        <v>4.1</v>
      </c>
      <c r="J164" s="23" t="n">
        <f aca="false">ROUND(G164*I164,2)</f>
        <v>265.68</v>
      </c>
      <c r="K164" s="19"/>
      <c r="L164" s="19"/>
      <c r="M164" s="19"/>
      <c r="N164" s="19" t="n">
        <f aca="false">ROUND((G164*I164)-K164-L164-M164,2)</f>
        <v>265.68</v>
      </c>
      <c r="O164" s="19"/>
      <c r="P164" s="25" t="n">
        <f aca="false">IF(D164=0,IF((N164-E164-O164)&gt;0,(N164-E164-O164),0),IF((D164+N164-O164)&gt;0,(D164+N164-O164),0))</f>
        <v>3773.52</v>
      </c>
      <c r="Q164" s="25" t="n">
        <f aca="false">IF(E164=0,IF((D164+N164-O164)&lt;0,ABS(D164+N164-O164),0),IF((N164-E164-O164)&lt;0,ABS(N164-E164-O164),0))</f>
        <v>0</v>
      </c>
    </row>
    <row r="165" customFormat="false" ht="15" hidden="false" customHeight="false" outlineLevel="0" collapsed="false">
      <c r="A165" s="17" t="s">
        <v>491</v>
      </c>
      <c r="B165" s="18" t="str">
        <f aca="false">листопад!B165</f>
        <v>Копасова Л.Б.</v>
      </c>
      <c r="C165" s="18" t="str">
        <f aca="false">листопад!C165</f>
        <v>50157</v>
      </c>
      <c r="D165" s="19" t="n">
        <f aca="false">листопад!P165</f>
        <v>2639.54</v>
      </c>
      <c r="E165" s="19" t="n">
        <f aca="false">листопад!Q165</f>
        <v>0</v>
      </c>
      <c r="F165" s="20" t="n">
        <f aca="false">листопад!F165</f>
        <v>0</v>
      </c>
      <c r="G165" s="21" t="n">
        <f aca="false">листопад!G165</f>
        <v>49.4</v>
      </c>
      <c r="H165" s="21" t="n">
        <f aca="false">листопад!H165</f>
        <v>0</v>
      </c>
      <c r="I165" s="22" t="n">
        <f aca="false">листопад!I165</f>
        <v>4.1</v>
      </c>
      <c r="J165" s="23" t="n">
        <f aca="false">ROUND(G165*I165,2)</f>
        <v>202.54</v>
      </c>
      <c r="K165" s="19"/>
      <c r="L165" s="19"/>
      <c r="M165" s="19"/>
      <c r="N165" s="19" t="n">
        <f aca="false">ROUND((G165*I165)-K165-L165-M165,2)</f>
        <v>202.54</v>
      </c>
      <c r="O165" s="19"/>
      <c r="P165" s="25" t="n">
        <f aca="false">IF(D165=0,IF((N165-E165-O165)&gt;0,(N165-E165-O165),0),IF((D165+N165-O165)&gt;0,(D165+N165-O165),0))</f>
        <v>2842.08</v>
      </c>
      <c r="Q165" s="25" t="n">
        <f aca="false">IF(E165=0,IF((D165+N165-O165)&lt;0,ABS(D165+N165-O165),0),IF((N165-E165-O165)&lt;0,ABS(N165-E165-O165),0))</f>
        <v>0</v>
      </c>
    </row>
    <row r="166" customFormat="false" ht="15" hidden="false" customHeight="false" outlineLevel="0" collapsed="false">
      <c r="A166" s="17" t="s">
        <v>494</v>
      </c>
      <c r="B166" s="18" t="str">
        <f aca="false">листопад!B166</f>
        <v>Киричинська Г.Я.</v>
      </c>
      <c r="C166" s="18" t="str">
        <f aca="false">листопад!C166</f>
        <v>50158</v>
      </c>
      <c r="D166" s="19" t="n">
        <f aca="false">листопад!P166</f>
        <v>2027.4</v>
      </c>
      <c r="E166" s="19" t="n">
        <f aca="false">листопад!Q166</f>
        <v>0</v>
      </c>
      <c r="F166" s="20" t="n">
        <f aca="false">листопад!F166</f>
        <v>0</v>
      </c>
      <c r="G166" s="21" t="n">
        <f aca="false">листопад!G166</f>
        <v>35.1</v>
      </c>
      <c r="H166" s="21" t="n">
        <f aca="false">листопад!H166</f>
        <v>0</v>
      </c>
      <c r="I166" s="22" t="n">
        <f aca="false">листопад!I166</f>
        <v>4.1</v>
      </c>
      <c r="J166" s="23" t="n">
        <f aca="false">ROUND(G166*I166,2)</f>
        <v>143.91</v>
      </c>
      <c r="K166" s="19"/>
      <c r="L166" s="19"/>
      <c r="M166" s="19"/>
      <c r="N166" s="19" t="n">
        <f aca="false">ROUND((G166*I166)-K166-L166-M166,2)</f>
        <v>143.91</v>
      </c>
      <c r="O166" s="19"/>
      <c r="P166" s="25" t="n">
        <f aca="false">IF(D166=0,IF((N166-E166-O166)&gt;0,(N166-E166-O166),0),IF((D166+N166-O166)&gt;0,(D166+N166-O166),0))</f>
        <v>2171.31</v>
      </c>
      <c r="Q166" s="25" t="n">
        <f aca="false">IF(E166=0,IF((D166+N166-O166)&lt;0,ABS(D166+N166-O166),0),IF((N166-E166-O166)&lt;0,ABS(N166-E166-O166),0))</f>
        <v>0</v>
      </c>
    </row>
    <row r="167" customFormat="false" ht="15" hidden="false" customHeight="false" outlineLevel="0" collapsed="false">
      <c r="A167" s="17" t="s">
        <v>497</v>
      </c>
      <c r="B167" s="18" t="str">
        <f aca="false">листопад!B167</f>
        <v>Бутрій К.В.</v>
      </c>
      <c r="C167" s="18" t="str">
        <f aca="false">листопад!C167</f>
        <v>50159</v>
      </c>
      <c r="D167" s="19" t="n">
        <f aca="false">листопад!P167</f>
        <v>3479.81</v>
      </c>
      <c r="E167" s="19" t="n">
        <f aca="false">листопад!Q167</f>
        <v>0</v>
      </c>
      <c r="F167" s="20" t="n">
        <f aca="false">листопад!F167</f>
        <v>0</v>
      </c>
      <c r="G167" s="21" t="n">
        <f aca="false">листопад!G167</f>
        <v>62.4</v>
      </c>
      <c r="H167" s="21" t="n">
        <f aca="false">листопад!H167</f>
        <v>0</v>
      </c>
      <c r="I167" s="22" t="n">
        <f aca="false">листопад!I167</f>
        <v>4.1</v>
      </c>
      <c r="J167" s="23" t="n">
        <f aca="false">ROUND(G167*I167,2)</f>
        <v>255.84</v>
      </c>
      <c r="K167" s="19"/>
      <c r="L167" s="19"/>
      <c r="M167" s="19"/>
      <c r="N167" s="19" t="n">
        <f aca="false">ROUND((G167*I167)-K167-L167-M167,2)</f>
        <v>255.84</v>
      </c>
      <c r="O167" s="19"/>
      <c r="P167" s="25" t="n">
        <f aca="false">IF(D167=0,IF((N167-E167-O167)&gt;0,(N167-E167-O167),0),IF((D167+N167-O167)&gt;0,(D167+N167-O167),0))</f>
        <v>3735.65</v>
      </c>
      <c r="Q167" s="25" t="n">
        <f aca="false">IF(E167=0,IF((D167+N167-O167)&lt;0,ABS(D167+N167-O167),0),IF((N167-E167-O167)&lt;0,ABS(N167-E167-O167),0))</f>
        <v>0</v>
      </c>
    </row>
    <row r="168" customFormat="false" ht="15" hidden="false" customHeight="false" outlineLevel="0" collapsed="false">
      <c r="A168" s="17" t="s">
        <v>500</v>
      </c>
      <c r="B168" s="18" t="str">
        <f aca="false">листопад!B168</f>
        <v>Кузьома Г.І.</v>
      </c>
      <c r="C168" s="18" t="str">
        <f aca="false">листопад!C168</f>
        <v>50160</v>
      </c>
      <c r="D168" s="19" t="n">
        <f aca="false">листопад!P168</f>
        <v>1502.33</v>
      </c>
      <c r="E168" s="19" t="n">
        <f aca="false">листопад!Q168</f>
        <v>0</v>
      </c>
      <c r="F168" s="20" t="n">
        <f aca="false">листопад!F168</f>
        <v>0</v>
      </c>
      <c r="G168" s="21" t="n">
        <f aca="false">листопад!G168</f>
        <v>65.5</v>
      </c>
      <c r="H168" s="21" t="n">
        <f aca="false">листопад!H168</f>
        <v>0</v>
      </c>
      <c r="I168" s="22" t="n">
        <f aca="false">листопад!I168</f>
        <v>4.1</v>
      </c>
      <c r="J168" s="23" t="n">
        <f aca="false">ROUND(G168*I168,2)</f>
        <v>268.55</v>
      </c>
      <c r="K168" s="19"/>
      <c r="L168" s="19"/>
      <c r="M168" s="19"/>
      <c r="N168" s="19" t="n">
        <f aca="false">ROUND((G168*I168)-K168-L168-M168,2)</f>
        <v>268.55</v>
      </c>
      <c r="O168" s="19"/>
      <c r="P168" s="25" t="n">
        <f aca="false">IF(D168=0,IF((N168-E168-O168)&gt;0,(N168-E168-O168),0),IF((D168+N168-O168)&gt;0,(D168+N168-O168),0))</f>
        <v>1770.88</v>
      </c>
      <c r="Q168" s="25" t="n">
        <f aca="false">IF(E168=0,IF((D168+N168-O168)&lt;0,ABS(D168+N168-O168),0),IF((N168-E168-O168)&lt;0,ABS(N168-E168-O168),0))</f>
        <v>0</v>
      </c>
    </row>
    <row r="169" customFormat="false" ht="15" hidden="false" customHeight="false" outlineLevel="0" collapsed="false">
      <c r="A169" s="17" t="s">
        <v>503</v>
      </c>
      <c r="B169" s="18" t="str">
        <f aca="false">листопад!B169</f>
        <v>Павленко В.М.</v>
      </c>
      <c r="C169" s="18" t="str">
        <f aca="false">листопад!C169</f>
        <v>50161</v>
      </c>
      <c r="D169" s="19" t="n">
        <f aca="false">листопад!P169</f>
        <v>4709.25</v>
      </c>
      <c r="E169" s="19" t="n">
        <f aca="false">листопад!Q169</f>
        <v>0</v>
      </c>
      <c r="F169" s="20" t="n">
        <f aca="false">листопад!F169</f>
        <v>0</v>
      </c>
      <c r="G169" s="21" t="n">
        <f aca="false">листопад!G169</f>
        <v>49.94</v>
      </c>
      <c r="H169" s="21" t="n">
        <f aca="false">листопад!H169</f>
        <v>0</v>
      </c>
      <c r="I169" s="22" t="n">
        <f aca="false">листопад!I169</f>
        <v>4.1</v>
      </c>
      <c r="J169" s="23" t="n">
        <f aca="false">ROUND(G169*I169,2)</f>
        <v>204.75</v>
      </c>
      <c r="K169" s="19"/>
      <c r="L169" s="19"/>
      <c r="M169" s="19"/>
      <c r="N169" s="19" t="n">
        <f aca="false">ROUND((G169*I169)-K169-L169-M169,2)</f>
        <v>204.75</v>
      </c>
      <c r="O169" s="19"/>
      <c r="P169" s="25" t="n">
        <f aca="false">IF(D169=0,IF((N169-E169-O169)&gt;0,(N169-E169-O169),0),IF((D169+N169-O169)&gt;0,(D169+N169-O169),0))</f>
        <v>4914</v>
      </c>
      <c r="Q169" s="25" t="n">
        <f aca="false">IF(E169=0,IF((D169+N169-O169)&lt;0,ABS(D169+N169-O169),0),IF((N169-E169-O169)&lt;0,ABS(N169-E169-O169),0))</f>
        <v>0</v>
      </c>
    </row>
    <row r="170" customFormat="false" ht="15" hidden="false" customHeight="false" outlineLevel="0" collapsed="false">
      <c r="A170" s="17" t="s">
        <v>506</v>
      </c>
      <c r="B170" s="18" t="str">
        <f aca="false">листопад!B170</f>
        <v>Качуровська С.А.</v>
      </c>
      <c r="C170" s="18" t="str">
        <f aca="false">листопад!C170</f>
        <v>50162</v>
      </c>
      <c r="D170" s="19" t="n">
        <f aca="false">листопад!P170</f>
        <v>543.16</v>
      </c>
      <c r="E170" s="19" t="n">
        <f aca="false">листопад!Q170</f>
        <v>0</v>
      </c>
      <c r="F170" s="20" t="n">
        <f aca="false">листопад!F170</f>
        <v>0</v>
      </c>
      <c r="G170" s="21" t="n">
        <f aca="false">листопад!G170</f>
        <v>35</v>
      </c>
      <c r="H170" s="21" t="n">
        <f aca="false">листопад!H170</f>
        <v>0</v>
      </c>
      <c r="I170" s="22" t="n">
        <f aca="false">листопад!I170</f>
        <v>4.1</v>
      </c>
      <c r="J170" s="23" t="n">
        <f aca="false">ROUND(G170*I170,2)</f>
        <v>143.5</v>
      </c>
      <c r="K170" s="19"/>
      <c r="L170" s="19"/>
      <c r="M170" s="19"/>
      <c r="N170" s="19" t="n">
        <f aca="false">ROUND((G170*I170)-K170-L170-M170,2)</f>
        <v>143.5</v>
      </c>
      <c r="O170" s="19"/>
      <c r="P170" s="25" t="n">
        <f aca="false">IF(D170=0,IF((N170-E170-O170)&gt;0,(N170-E170-O170),0),IF((D170+N170-O170)&gt;0,(D170+N170-O170),0))</f>
        <v>686.66</v>
      </c>
      <c r="Q170" s="25" t="n">
        <f aca="false">IF(E170=0,IF((D170+N170-O170)&lt;0,ABS(D170+N170-O170),0),IF((N170-E170-O170)&lt;0,ABS(N170-E170-O170),0))</f>
        <v>0</v>
      </c>
    </row>
    <row r="171" customFormat="false" ht="15" hidden="false" customHeight="false" outlineLevel="0" collapsed="false">
      <c r="A171" s="17" t="s">
        <v>509</v>
      </c>
      <c r="B171" s="18" t="str">
        <f aca="false">листопад!B171</f>
        <v>Білецький Б.Г.</v>
      </c>
      <c r="C171" s="18" t="str">
        <f aca="false">листопад!C171</f>
        <v>50163</v>
      </c>
      <c r="D171" s="19" t="n">
        <f aca="false">листопад!P171</f>
        <v>1278.4</v>
      </c>
      <c r="E171" s="19" t="n">
        <f aca="false">листопад!Q171</f>
        <v>0</v>
      </c>
      <c r="F171" s="20" t="n">
        <f aca="false">листопад!F171</f>
        <v>0</v>
      </c>
      <c r="G171" s="21" t="n">
        <f aca="false">листопад!G171</f>
        <v>62.36</v>
      </c>
      <c r="H171" s="21" t="n">
        <f aca="false">листопад!H171</f>
        <v>0</v>
      </c>
      <c r="I171" s="22" t="n">
        <f aca="false">листопад!I171</f>
        <v>4.1</v>
      </c>
      <c r="J171" s="23" t="n">
        <f aca="false">ROUND(G171*I171,2)</f>
        <v>255.68</v>
      </c>
      <c r="K171" s="19"/>
      <c r="L171" s="19"/>
      <c r="M171" s="19"/>
      <c r="N171" s="19" t="n">
        <f aca="false">ROUND((G171*I171)-K171-L171-M171,2)</f>
        <v>255.68</v>
      </c>
      <c r="O171" s="19"/>
      <c r="P171" s="25" t="n">
        <f aca="false">IF(D171=0,IF((N171-E171-O171)&gt;0,(N171-E171-O171),0),IF((D171+N171-O171)&gt;0,(D171+N171-O171),0))</f>
        <v>1534.08</v>
      </c>
      <c r="Q171" s="25" t="n">
        <f aca="false">IF(E171=0,IF((D171+N171-O171)&lt;0,ABS(D171+N171-O171),0),IF((N171-E171-O171)&lt;0,ABS(N171-E171-O171),0))</f>
        <v>0</v>
      </c>
    </row>
    <row r="172" customFormat="false" ht="15" hidden="false" customHeight="false" outlineLevel="0" collapsed="false">
      <c r="A172" s="17" t="s">
        <v>512</v>
      </c>
      <c r="B172" s="18" t="str">
        <f aca="false">листопад!B172</f>
        <v>Кузнєцова В.В.</v>
      </c>
      <c r="C172" s="18" t="str">
        <f aca="false">листопад!C172</f>
        <v>50164</v>
      </c>
      <c r="D172" s="19" t="n">
        <f aca="false">листопад!P172</f>
        <v>3498.12</v>
      </c>
      <c r="E172" s="19" t="n">
        <f aca="false">листопад!Q172</f>
        <v>0</v>
      </c>
      <c r="F172" s="20" t="n">
        <f aca="false">листопад!F172</f>
        <v>0</v>
      </c>
      <c r="G172" s="21" t="n">
        <f aca="false">листопад!G172</f>
        <v>65.63</v>
      </c>
      <c r="H172" s="21" t="n">
        <f aca="false">листопад!H172</f>
        <v>0</v>
      </c>
      <c r="I172" s="22" t="n">
        <f aca="false">листопад!I172</f>
        <v>4.1</v>
      </c>
      <c r="J172" s="23" t="n">
        <f aca="false">ROUND(G172*I172,2)</f>
        <v>269.08</v>
      </c>
      <c r="K172" s="19"/>
      <c r="L172" s="19"/>
      <c r="M172" s="19"/>
      <c r="N172" s="19" t="n">
        <f aca="false">ROUND((G172*I172)-K172-L172-M172,2)</f>
        <v>269.08</v>
      </c>
      <c r="O172" s="19"/>
      <c r="P172" s="25" t="n">
        <f aca="false">IF(D172=0,IF((N172-E172-O172)&gt;0,(N172-E172-O172),0),IF((D172+N172-O172)&gt;0,(D172+N172-O172),0))</f>
        <v>3767.2</v>
      </c>
      <c r="Q172" s="25" t="n">
        <f aca="false">IF(E172=0,IF((D172+N172-O172)&lt;0,ABS(D172+N172-O172),0),IF((N172-E172-O172)&lt;0,ABS(N172-E172-O172),0))</f>
        <v>0</v>
      </c>
    </row>
    <row r="173" customFormat="false" ht="15" hidden="false" customHeight="false" outlineLevel="0" collapsed="false">
      <c r="A173" s="17" t="s">
        <v>515</v>
      </c>
      <c r="B173" s="18" t="str">
        <f aca="false">листопад!B173</f>
        <v>Сидоренко Б.Й.</v>
      </c>
      <c r="C173" s="18" t="str">
        <f aca="false">листопад!C173</f>
        <v>50165</v>
      </c>
      <c r="D173" s="19" t="n">
        <f aca="false">листопад!P173</f>
        <v>11073.65</v>
      </c>
      <c r="E173" s="19" t="n">
        <f aca="false">листопад!Q173</f>
        <v>0</v>
      </c>
      <c r="F173" s="20" t="n">
        <f aca="false">листопад!F173</f>
        <v>0</v>
      </c>
      <c r="G173" s="21" t="n">
        <f aca="false">листопад!G173</f>
        <v>49.8</v>
      </c>
      <c r="H173" s="21" t="n">
        <f aca="false">листопад!H173</f>
        <v>0</v>
      </c>
      <c r="I173" s="22" t="n">
        <f aca="false">листопад!I173</f>
        <v>4.1</v>
      </c>
      <c r="J173" s="23" t="n">
        <f aca="false">ROUND(G173*I173,2)</f>
        <v>204.18</v>
      </c>
      <c r="K173" s="19"/>
      <c r="L173" s="19"/>
      <c r="M173" s="19"/>
      <c r="N173" s="19" t="n">
        <f aca="false">ROUND((G173*I173)-K173-L173-M173,2)</f>
        <v>204.18</v>
      </c>
      <c r="O173" s="19"/>
      <c r="P173" s="25" t="n">
        <f aca="false">IF(D173=0,IF((N173-E173-O173)&gt;0,(N173-E173-O173),0),IF((D173+N173-O173)&gt;0,(D173+N173-O173),0))</f>
        <v>11277.83</v>
      </c>
      <c r="Q173" s="25" t="n">
        <f aca="false">IF(E173=0,IF((D173+N173-O173)&lt;0,ABS(D173+N173-O173),0),IF((N173-E173-O173)&lt;0,ABS(N173-E173-O173),0))</f>
        <v>0</v>
      </c>
    </row>
    <row r="174" customFormat="false" ht="15" hidden="false" customHeight="false" outlineLevel="0" collapsed="false">
      <c r="A174" s="17" t="s">
        <v>518</v>
      </c>
      <c r="B174" s="18" t="str">
        <f aca="false">листопад!B174</f>
        <v>Кузнєцова О.А.</v>
      </c>
      <c r="C174" s="18" t="str">
        <f aca="false">листопад!C174</f>
        <v>50166</v>
      </c>
      <c r="D174" s="19" t="n">
        <f aca="false">листопад!P174</f>
        <v>1722</v>
      </c>
      <c r="E174" s="19" t="n">
        <f aca="false">листопад!Q174</f>
        <v>0</v>
      </c>
      <c r="F174" s="20" t="n">
        <f aca="false">листопад!F174</f>
        <v>0</v>
      </c>
      <c r="G174" s="21" t="n">
        <f aca="false">листопад!G174</f>
        <v>35</v>
      </c>
      <c r="H174" s="21" t="n">
        <f aca="false">листопад!H174</f>
        <v>0</v>
      </c>
      <c r="I174" s="22" t="n">
        <f aca="false">листопад!I174</f>
        <v>4.1</v>
      </c>
      <c r="J174" s="23" t="n">
        <f aca="false">ROUND(G174*I174,2)</f>
        <v>143.5</v>
      </c>
      <c r="K174" s="19"/>
      <c r="L174" s="19"/>
      <c r="M174" s="19"/>
      <c r="N174" s="19" t="n">
        <f aca="false">ROUND((G174*I174)-K174-L174-M174,2)</f>
        <v>143.5</v>
      </c>
      <c r="O174" s="19"/>
      <c r="P174" s="25" t="n">
        <f aca="false">IF(D174=0,IF((N174-E174-O174)&gt;0,(N174-E174-O174),0),IF((D174+N174-O174)&gt;0,(D174+N174-O174),0))</f>
        <v>1865.5</v>
      </c>
      <c r="Q174" s="25" t="n">
        <f aca="false">IF(E174=0,IF((D174+N174-O174)&lt;0,ABS(D174+N174-O174),0),IF((N174-E174-O174)&lt;0,ABS(N174-E174-O174),0))</f>
        <v>0</v>
      </c>
    </row>
    <row r="175" customFormat="false" ht="15" hidden="false" customHeight="false" outlineLevel="0" collapsed="false">
      <c r="A175" s="17" t="s">
        <v>521</v>
      </c>
      <c r="B175" s="18" t="str">
        <f aca="false">листопад!B175</f>
        <v>Васильєва О.Г.</v>
      </c>
      <c r="C175" s="18" t="str">
        <f aca="false">листопад!C175</f>
        <v>50167</v>
      </c>
      <c r="D175" s="19" t="n">
        <f aca="false">листопад!P175</f>
        <v>5801.4</v>
      </c>
      <c r="E175" s="19" t="n">
        <f aca="false">листопад!Q175</f>
        <v>0</v>
      </c>
      <c r="F175" s="20" t="n">
        <f aca="false">листопад!F175</f>
        <v>0</v>
      </c>
      <c r="G175" s="21" t="n">
        <f aca="false">листопад!G175</f>
        <v>61.7</v>
      </c>
      <c r="H175" s="21" t="n">
        <f aca="false">листопад!H175</f>
        <v>0</v>
      </c>
      <c r="I175" s="22" t="n">
        <f aca="false">листопад!I175</f>
        <v>4.1</v>
      </c>
      <c r="J175" s="23" t="n">
        <f aca="false">ROUND(G175*I175,2)</f>
        <v>252.97</v>
      </c>
      <c r="K175" s="19"/>
      <c r="L175" s="19"/>
      <c r="M175" s="19"/>
      <c r="N175" s="19" t="n">
        <f aca="false">ROUND((G175*I175)-K175-L175-M175,2)</f>
        <v>252.97</v>
      </c>
      <c r="O175" s="19"/>
      <c r="P175" s="25" t="n">
        <f aca="false">IF(D175=0,IF((N175-E175-O175)&gt;0,(N175-E175-O175),0),IF((D175+N175-O175)&gt;0,(D175+N175-O175),0))</f>
        <v>6054.37</v>
      </c>
      <c r="Q175" s="25" t="n">
        <f aca="false">IF(E175=0,IF((D175+N175-O175)&lt;0,ABS(D175+N175-O175),0),IF((N175-E175-O175)&lt;0,ABS(N175-E175-O175),0))</f>
        <v>0</v>
      </c>
    </row>
    <row r="176" customFormat="false" ht="15" hidden="false" customHeight="false" outlineLevel="0" collapsed="false">
      <c r="A176" s="17" t="s">
        <v>524</v>
      </c>
      <c r="B176" s="18" t="str">
        <f aca="false">листопад!B176</f>
        <v>Кудінова Л.М.</v>
      </c>
      <c r="C176" s="18" t="str">
        <f aca="false">листопад!C176</f>
        <v>50168</v>
      </c>
      <c r="D176" s="19" t="n">
        <f aca="false">листопад!P176</f>
        <v>2200.83</v>
      </c>
      <c r="E176" s="19" t="n">
        <f aca="false">листопад!Q176</f>
        <v>0</v>
      </c>
      <c r="F176" s="20" t="n">
        <f aca="false">листопад!F176</f>
        <v>0</v>
      </c>
      <c r="G176" s="21" t="n">
        <f aca="false">листопад!G176</f>
        <v>65.58</v>
      </c>
      <c r="H176" s="21" t="n">
        <f aca="false">листопад!H176</f>
        <v>0</v>
      </c>
      <c r="I176" s="22" t="n">
        <f aca="false">листопад!I176</f>
        <v>4.1</v>
      </c>
      <c r="J176" s="23" t="n">
        <f aca="false">ROUND(G176*I176,2)</f>
        <v>268.88</v>
      </c>
      <c r="K176" s="19"/>
      <c r="L176" s="19"/>
      <c r="M176" s="19"/>
      <c r="N176" s="19" t="n">
        <f aca="false">ROUND((G176*I176)-K176-L176-M176,2)</f>
        <v>268.88</v>
      </c>
      <c r="O176" s="19"/>
      <c r="P176" s="25" t="n">
        <f aca="false">IF(D176=0,IF((N176-E176-O176)&gt;0,(N176-E176-O176),0),IF((D176+N176-O176)&gt;0,(D176+N176-O176),0))</f>
        <v>2469.71</v>
      </c>
      <c r="Q176" s="25" t="n">
        <f aca="false">IF(E176=0,IF((D176+N176-O176)&lt;0,ABS(D176+N176-O176),0),IF((N176-E176-O176)&lt;0,ABS(N176-E176-O176),0))</f>
        <v>0</v>
      </c>
    </row>
    <row r="177" customFormat="false" ht="15" hidden="false" customHeight="false" outlineLevel="0" collapsed="false">
      <c r="A177" s="17" t="s">
        <v>527</v>
      </c>
      <c r="B177" s="18" t="str">
        <f aca="false">листопад!B177</f>
        <v>Спільний І.В.</v>
      </c>
      <c r="C177" s="18" t="str">
        <f aca="false">листопад!C177</f>
        <v>50169</v>
      </c>
      <c r="D177" s="19" t="n">
        <f aca="false">листопад!P177</f>
        <v>580.72</v>
      </c>
      <c r="E177" s="19" t="n">
        <f aca="false">листопад!Q177</f>
        <v>0</v>
      </c>
      <c r="F177" s="20" t="n">
        <f aca="false">листопад!F177</f>
        <v>0</v>
      </c>
      <c r="G177" s="21" t="n">
        <f aca="false">листопад!G177</f>
        <v>49.5</v>
      </c>
      <c r="H177" s="21" t="n">
        <f aca="false">листопад!H177</f>
        <v>0</v>
      </c>
      <c r="I177" s="22" t="n">
        <f aca="false">листопад!I177</f>
        <v>4.1</v>
      </c>
      <c r="J177" s="23" t="n">
        <f aca="false">ROUND(G177*I177,2)</f>
        <v>202.95</v>
      </c>
      <c r="K177" s="19"/>
      <c r="L177" s="19"/>
      <c r="M177" s="19"/>
      <c r="N177" s="19" t="n">
        <f aca="false">ROUND((G177*I177)-K177-L177-M177,2)</f>
        <v>202.95</v>
      </c>
      <c r="O177" s="19"/>
      <c r="P177" s="25" t="n">
        <f aca="false">IF(D177=0,IF((N177-E177-O177)&gt;0,(N177-E177-O177),0),IF((D177+N177-O177)&gt;0,(D177+N177-O177),0))</f>
        <v>783.67</v>
      </c>
      <c r="Q177" s="25" t="n">
        <f aca="false">IF(E177=0,IF((D177+N177-O177)&lt;0,ABS(D177+N177-O177),0),IF((N177-E177-O177)&lt;0,ABS(N177-E177-O177),0))</f>
        <v>0</v>
      </c>
    </row>
    <row r="178" customFormat="false" ht="15" hidden="false" customHeight="false" outlineLevel="0" collapsed="false">
      <c r="A178" s="17" t="s">
        <v>530</v>
      </c>
      <c r="B178" s="18" t="str">
        <f aca="false">листопад!B178</f>
        <v>Кружаліна Т.А.</v>
      </c>
      <c r="C178" s="18" t="str">
        <f aca="false">листопад!C178</f>
        <v>50170</v>
      </c>
      <c r="D178" s="19" t="n">
        <f aca="false">листопад!P178</f>
        <v>651.280000000001</v>
      </c>
      <c r="E178" s="19" t="n">
        <f aca="false">листопад!Q178</f>
        <v>0</v>
      </c>
      <c r="F178" s="20" t="n">
        <f aca="false">листопад!F178</f>
        <v>0</v>
      </c>
      <c r="G178" s="21" t="n">
        <f aca="false">листопад!G178</f>
        <v>35.1</v>
      </c>
      <c r="H178" s="21" t="n">
        <f aca="false">листопад!H178</f>
        <v>0</v>
      </c>
      <c r="I178" s="22" t="n">
        <f aca="false">листопад!I178</f>
        <v>4.1</v>
      </c>
      <c r="J178" s="23" t="n">
        <f aca="false">ROUND(G178*I178,2)</f>
        <v>143.91</v>
      </c>
      <c r="K178" s="19"/>
      <c r="L178" s="19"/>
      <c r="M178" s="19"/>
      <c r="N178" s="19" t="n">
        <f aca="false">ROUND((G178*I178)-K178-L178-M178,2)</f>
        <v>143.91</v>
      </c>
      <c r="O178" s="19"/>
      <c r="P178" s="25" t="n">
        <f aca="false">IF(D178=0,IF((N178-E178-O178)&gt;0,(N178-E178-O178),0),IF((D178+N178-O178)&gt;0,(D178+N178-O178),0))</f>
        <v>795.190000000001</v>
      </c>
      <c r="Q178" s="25" t="n">
        <f aca="false">IF(E178=0,IF((D178+N178-O178)&lt;0,ABS(D178+N178-O178),0),IF((N178-E178-O178)&lt;0,ABS(N178-E178-O178),0))</f>
        <v>0</v>
      </c>
    </row>
    <row r="179" customFormat="false" ht="15" hidden="false" customHeight="false" outlineLevel="0" collapsed="false">
      <c r="A179" s="17" t="s">
        <v>533</v>
      </c>
      <c r="B179" s="18" t="str">
        <f aca="false">листопад!B179</f>
        <v>Григоренко Н.Е.</v>
      </c>
      <c r="C179" s="18" t="str">
        <f aca="false">листопад!C179</f>
        <v>50171</v>
      </c>
      <c r="D179" s="19" t="n">
        <f aca="false">листопад!P179</f>
        <v>2221.13</v>
      </c>
      <c r="E179" s="19" t="n">
        <f aca="false">листопад!Q179</f>
        <v>0</v>
      </c>
      <c r="F179" s="20" t="n">
        <f aca="false">листопад!F179</f>
        <v>0</v>
      </c>
      <c r="G179" s="21" t="n">
        <f aca="false">листопад!G179</f>
        <v>62.91</v>
      </c>
      <c r="H179" s="21" t="n">
        <f aca="false">листопад!H179</f>
        <v>0</v>
      </c>
      <c r="I179" s="22" t="n">
        <f aca="false">листопад!I179</f>
        <v>4.1</v>
      </c>
      <c r="J179" s="23" t="n">
        <f aca="false">ROUND(G179*I179,2)</f>
        <v>257.93</v>
      </c>
      <c r="K179" s="19"/>
      <c r="L179" s="19"/>
      <c r="M179" s="19"/>
      <c r="N179" s="19" t="n">
        <f aca="false">ROUND((G179*I179)-K179-L179-M179,2)</f>
        <v>257.93</v>
      </c>
      <c r="O179" s="19"/>
      <c r="P179" s="25" t="n">
        <f aca="false">IF(D179=0,IF((N179-E179-O179)&gt;0,(N179-E179-O179),0),IF((D179+N179-O179)&gt;0,(D179+N179-O179),0))</f>
        <v>2479.06</v>
      </c>
      <c r="Q179" s="25" t="n">
        <f aca="false">IF(E179=0,IF((D179+N179-O179)&lt;0,ABS(D179+N179-O179),0),IF((N179-E179-O179)&lt;0,ABS(N179-E179-O179),0))</f>
        <v>0</v>
      </c>
    </row>
    <row r="180" customFormat="false" ht="15" hidden="false" customHeight="false" outlineLevel="0" collapsed="false">
      <c r="A180" s="17" t="s">
        <v>536</v>
      </c>
      <c r="B180" s="18" t="str">
        <f aca="false">листопад!B180</f>
        <v>Бондарчук В.В.</v>
      </c>
      <c r="C180" s="18" t="str">
        <f aca="false">листопад!C180</f>
        <v>50172</v>
      </c>
      <c r="D180" s="19" t="n">
        <f aca="false">листопад!P180</f>
        <v>541.440000000001</v>
      </c>
      <c r="E180" s="19" t="n">
        <f aca="false">листопад!Q180</f>
        <v>0</v>
      </c>
      <c r="F180" s="20" t="n">
        <f aca="false">листопад!F180</f>
        <v>0</v>
      </c>
      <c r="G180" s="21" t="n">
        <f aca="false">листопад!G180</f>
        <v>66.03</v>
      </c>
      <c r="H180" s="21" t="n">
        <f aca="false">листопад!H180</f>
        <v>0</v>
      </c>
      <c r="I180" s="22" t="n">
        <f aca="false">листопад!I180</f>
        <v>4.1</v>
      </c>
      <c r="J180" s="23" t="n">
        <f aca="false">ROUND(G180*I180,2)</f>
        <v>270.72</v>
      </c>
      <c r="K180" s="19"/>
      <c r="L180" s="19"/>
      <c r="M180" s="19"/>
      <c r="N180" s="19" t="n">
        <f aca="false">ROUND((G180*I180)-K180-L180-M180,2)</f>
        <v>270.72</v>
      </c>
      <c r="O180" s="19"/>
      <c r="P180" s="25" t="n">
        <f aca="false">IF(D180=0,IF((N180-E180-O180)&gt;0,(N180-E180-O180),0),IF((D180+N180-O180)&gt;0,(D180+N180-O180),0))</f>
        <v>812.160000000001</v>
      </c>
      <c r="Q180" s="25" t="n">
        <f aca="false">IF(E180=0,IF((D180+N180-O180)&lt;0,ABS(D180+N180-O180),0),IF((N180-E180-O180)&lt;0,ABS(N180-E180-O180),0))</f>
        <v>0</v>
      </c>
    </row>
    <row r="181" customFormat="false" ht="15" hidden="false" customHeight="false" outlineLevel="0" collapsed="false">
      <c r="A181" s="17" t="s">
        <v>539</v>
      </c>
      <c r="B181" s="18" t="str">
        <f aca="false">листопад!B181</f>
        <v>Рябініна Н.І.</v>
      </c>
      <c r="C181" s="18" t="str">
        <f aca="false">листопад!C181</f>
        <v>50173</v>
      </c>
      <c r="D181" s="19" t="n">
        <f aca="false">листопад!P181</f>
        <v>1500.98</v>
      </c>
      <c r="E181" s="19" t="n">
        <f aca="false">листопад!Q181</f>
        <v>0</v>
      </c>
      <c r="F181" s="20" t="n">
        <f aca="false">листопад!F181</f>
        <v>0</v>
      </c>
      <c r="G181" s="21" t="n">
        <f aca="false">листопад!G181</f>
        <v>49.9</v>
      </c>
      <c r="H181" s="21" t="n">
        <f aca="false">листопад!H181</f>
        <v>0</v>
      </c>
      <c r="I181" s="22" t="n">
        <f aca="false">листопад!I181</f>
        <v>4.1</v>
      </c>
      <c r="J181" s="23" t="n">
        <f aca="false">ROUND(G181*I181,2)</f>
        <v>204.59</v>
      </c>
      <c r="K181" s="19"/>
      <c r="L181" s="19"/>
      <c r="M181" s="19"/>
      <c r="N181" s="19" t="n">
        <f aca="false">ROUND((G181*I181)-K181-L181-M181,2)</f>
        <v>204.59</v>
      </c>
      <c r="O181" s="19"/>
      <c r="P181" s="25" t="n">
        <f aca="false">IF(D181=0,IF((N181-E181-O181)&gt;0,(N181-E181-O181),0),IF((D181+N181-O181)&gt;0,(D181+N181-O181),0))</f>
        <v>1705.57</v>
      </c>
      <c r="Q181" s="25" t="n">
        <f aca="false">IF(E181=0,IF((D181+N181-O181)&lt;0,ABS(D181+N181-O181),0),IF((N181-E181-O181)&lt;0,ABS(N181-E181-O181),0))</f>
        <v>0</v>
      </c>
    </row>
    <row r="182" customFormat="false" ht="15" hidden="false" customHeight="false" outlineLevel="0" collapsed="false">
      <c r="A182" s="17" t="s">
        <v>542</v>
      </c>
      <c r="B182" s="18" t="str">
        <f aca="false">листопад!B182</f>
        <v>Шапіро В.І.</v>
      </c>
      <c r="C182" s="18" t="str">
        <f aca="false">листопад!C182</f>
        <v>50174</v>
      </c>
      <c r="D182" s="19" t="n">
        <f aca="false">листопад!P182</f>
        <v>715.85</v>
      </c>
      <c r="E182" s="19" t="n">
        <f aca="false">листопад!Q182</f>
        <v>0</v>
      </c>
      <c r="F182" s="20" t="n">
        <f aca="false">листопад!F182</f>
        <v>0</v>
      </c>
      <c r="G182" s="21" t="n">
        <f aca="false">листопад!G182</f>
        <v>34.92</v>
      </c>
      <c r="H182" s="21" t="n">
        <f aca="false">листопад!H182</f>
        <v>0</v>
      </c>
      <c r="I182" s="22" t="n">
        <f aca="false">листопад!I182</f>
        <v>4.1</v>
      </c>
      <c r="J182" s="23" t="n">
        <f aca="false">ROUND(G182*I182,2)</f>
        <v>143.17</v>
      </c>
      <c r="K182" s="19"/>
      <c r="L182" s="19"/>
      <c r="M182" s="19"/>
      <c r="N182" s="19" t="n">
        <f aca="false">ROUND((G182*I182)-K182-L182-M182,2)</f>
        <v>143.17</v>
      </c>
      <c r="O182" s="19"/>
      <c r="P182" s="25" t="n">
        <f aca="false">IF(D182=0,IF((N182-E182-O182)&gt;0,(N182-E182-O182),0),IF((D182+N182-O182)&gt;0,(D182+N182-O182),0))</f>
        <v>859.02</v>
      </c>
      <c r="Q182" s="25" t="n">
        <f aca="false">IF(E182=0,IF((D182+N182-O182)&lt;0,ABS(D182+N182-O182),0),IF((N182-E182-O182)&lt;0,ABS(N182-E182-O182),0))</f>
        <v>0</v>
      </c>
    </row>
    <row r="183" customFormat="false" ht="15" hidden="false" customHeight="false" outlineLevel="0" collapsed="false">
      <c r="A183" s="17" t="s">
        <v>545</v>
      </c>
      <c r="B183" s="18" t="str">
        <f aca="false">листопад!B183</f>
        <v>Крамаренко О.О.</v>
      </c>
      <c r="C183" s="18" t="str">
        <f aca="false">листопад!C183</f>
        <v>50175</v>
      </c>
      <c r="D183" s="19" t="n">
        <f aca="false">листопад!P183</f>
        <v>2578.37</v>
      </c>
      <c r="E183" s="19" t="n">
        <f aca="false">листопад!Q183</f>
        <v>0</v>
      </c>
      <c r="F183" s="20" t="n">
        <f aca="false">листопад!F183</f>
        <v>0</v>
      </c>
      <c r="G183" s="21" t="n">
        <f aca="false">листопад!G183</f>
        <v>61.91</v>
      </c>
      <c r="H183" s="21" t="n">
        <f aca="false">листопад!H183</f>
        <v>0</v>
      </c>
      <c r="I183" s="22" t="n">
        <f aca="false">листопад!I183</f>
        <v>4.1</v>
      </c>
      <c r="J183" s="23" t="n">
        <f aca="false">ROUND(G183*I183,2)</f>
        <v>253.83</v>
      </c>
      <c r="K183" s="19"/>
      <c r="L183" s="19"/>
      <c r="M183" s="19"/>
      <c r="N183" s="19" t="n">
        <f aca="false">ROUND((G183*I183)-K183-L183-M183,2)</f>
        <v>253.83</v>
      </c>
      <c r="O183" s="19"/>
      <c r="P183" s="25" t="n">
        <f aca="false">IF(D183=0,IF((N183-E183-O183)&gt;0,(N183-E183-O183),0),IF((D183+N183-O183)&gt;0,(D183+N183-O183),0))</f>
        <v>2832.2</v>
      </c>
      <c r="Q183" s="25" t="n">
        <f aca="false">IF(E183=0,IF((D183+N183-O183)&lt;0,ABS(D183+N183-O183),0),IF((N183-E183-O183)&lt;0,ABS(N183-E183-O183),0))</f>
        <v>0</v>
      </c>
    </row>
    <row r="184" customFormat="false" ht="15" hidden="false" customHeight="false" outlineLevel="0" collapsed="false">
      <c r="A184" s="17" t="s">
        <v>548</v>
      </c>
      <c r="B184" s="18" t="str">
        <f aca="false">листопад!B184</f>
        <v>Свиридов В.Ф.</v>
      </c>
      <c r="C184" s="18" t="str">
        <f aca="false">листопад!C184</f>
        <v>50176</v>
      </c>
      <c r="D184" s="19" t="n">
        <f aca="false">листопад!P184</f>
        <v>5396.11</v>
      </c>
      <c r="E184" s="19" t="n">
        <f aca="false">листопад!Q184</f>
        <v>0</v>
      </c>
      <c r="F184" s="20" t="n">
        <f aca="false">листопад!F184</f>
        <v>0</v>
      </c>
      <c r="G184" s="21" t="n">
        <f aca="false">листопад!G184</f>
        <v>65.15</v>
      </c>
      <c r="H184" s="21" t="n">
        <f aca="false">листопад!H184</f>
        <v>0</v>
      </c>
      <c r="I184" s="22" t="n">
        <f aca="false">листопад!I184</f>
        <v>4.1</v>
      </c>
      <c r="J184" s="23" t="n">
        <f aca="false">ROUND(G184*I184,2)</f>
        <v>267.12</v>
      </c>
      <c r="K184" s="19"/>
      <c r="L184" s="19"/>
      <c r="M184" s="19"/>
      <c r="N184" s="19" t="n">
        <f aca="false">ROUND((G184*I184)-K184-L184-M184,2)</f>
        <v>267.12</v>
      </c>
      <c r="O184" s="19"/>
      <c r="P184" s="25" t="n">
        <f aca="false">IF(D184=0,IF((N184-E184-O184)&gt;0,(N184-E184-O184),0),IF((D184+N184-O184)&gt;0,(D184+N184-O184),0))</f>
        <v>5663.23</v>
      </c>
      <c r="Q184" s="25" t="n">
        <f aca="false">IF(E184=0,IF((D184+N184-O184)&lt;0,ABS(D184+N184-O184),0),IF((N184-E184-O184)&lt;0,ABS(N184-E184-O184),0))</f>
        <v>0</v>
      </c>
    </row>
    <row r="185" customFormat="false" ht="15" hidden="false" customHeight="false" outlineLevel="0" collapsed="false">
      <c r="A185" s="17" t="s">
        <v>551</v>
      </c>
      <c r="B185" s="18" t="str">
        <f aca="false">листопад!B185</f>
        <v>Домацький В.А.</v>
      </c>
      <c r="C185" s="18" t="str">
        <f aca="false">листопад!C185</f>
        <v>50177</v>
      </c>
      <c r="D185" s="19" t="n">
        <f aca="false">листопад!P185</f>
        <v>3894.98</v>
      </c>
      <c r="E185" s="19" t="n">
        <f aca="false">листопад!Q185</f>
        <v>0</v>
      </c>
      <c r="F185" s="20" t="n">
        <f aca="false">листопад!F185</f>
        <v>0</v>
      </c>
      <c r="G185" s="21" t="n">
        <f aca="false">листопад!G185</f>
        <v>50</v>
      </c>
      <c r="H185" s="21" t="n">
        <f aca="false">листопад!H185</f>
        <v>0</v>
      </c>
      <c r="I185" s="22" t="n">
        <f aca="false">листопад!I185</f>
        <v>4.1</v>
      </c>
      <c r="J185" s="23" t="n">
        <f aca="false">ROUND(G185*I185,2)</f>
        <v>205</v>
      </c>
      <c r="K185" s="19"/>
      <c r="L185" s="19"/>
      <c r="M185" s="19"/>
      <c r="N185" s="19" t="n">
        <f aca="false">ROUND((G185*I185)-K185-L185-M185,2)</f>
        <v>205</v>
      </c>
      <c r="O185" s="19"/>
      <c r="P185" s="25" t="n">
        <f aca="false">IF(D185=0,IF((N185-E185-O185)&gt;0,(N185-E185-O185),0),IF((D185+N185-O185)&gt;0,(D185+N185-O185),0))</f>
        <v>4099.98</v>
      </c>
      <c r="Q185" s="25" t="n">
        <f aca="false">IF(E185=0,IF((D185+N185-O185)&lt;0,ABS(D185+N185-O185),0),IF((N185-E185-O185)&lt;0,ABS(N185-E185-O185),0))</f>
        <v>0</v>
      </c>
    </row>
    <row r="186" customFormat="false" ht="15" hidden="false" customHeight="false" outlineLevel="0" collapsed="false">
      <c r="A186" s="17" t="s">
        <v>554</v>
      </c>
      <c r="B186" s="18" t="str">
        <f aca="false">листопад!B186</f>
        <v>Шаповалова І.А.</v>
      </c>
      <c r="C186" s="18" t="str">
        <f aca="false">листопад!C186</f>
        <v>50178</v>
      </c>
      <c r="D186" s="19" t="n">
        <f aca="false">листопад!P186</f>
        <v>2589.66</v>
      </c>
      <c r="E186" s="19" t="n">
        <f aca="false">листопад!Q186</f>
        <v>0</v>
      </c>
      <c r="F186" s="20" t="n">
        <f aca="false">листопад!F186</f>
        <v>0</v>
      </c>
      <c r="G186" s="21" t="n">
        <f aca="false">листопад!G186</f>
        <v>35.1</v>
      </c>
      <c r="H186" s="21" t="n">
        <f aca="false">листопад!H186</f>
        <v>0</v>
      </c>
      <c r="I186" s="22" t="n">
        <f aca="false">листопад!I186</f>
        <v>4.1</v>
      </c>
      <c r="J186" s="23" t="n">
        <f aca="false">ROUND(G186*I186,2)</f>
        <v>143.91</v>
      </c>
      <c r="K186" s="19"/>
      <c r="L186" s="19"/>
      <c r="M186" s="19"/>
      <c r="N186" s="19" t="n">
        <f aca="false">ROUND((G186*I186)-K186-L186-M186,2)</f>
        <v>143.91</v>
      </c>
      <c r="O186" s="19"/>
      <c r="P186" s="25" t="n">
        <f aca="false">IF(D186=0,IF((N186-E186-O186)&gt;0,(N186-E186-O186),0),IF((D186+N186-O186)&gt;0,(D186+N186-O186),0))</f>
        <v>2733.57</v>
      </c>
      <c r="Q186" s="25" t="n">
        <f aca="false">IF(E186=0,IF((D186+N186-O186)&lt;0,ABS(D186+N186-O186),0),IF((N186-E186-O186)&lt;0,ABS(N186-E186-O186),0))</f>
        <v>0</v>
      </c>
    </row>
    <row r="187" customFormat="false" ht="15" hidden="false" customHeight="false" outlineLevel="0" collapsed="false">
      <c r="A187" s="17" t="s">
        <v>557</v>
      </c>
      <c r="B187" s="18" t="str">
        <f aca="false">листопад!B187</f>
        <v>Кононенко О.В.</v>
      </c>
      <c r="C187" s="18" t="str">
        <f aca="false">листопад!C187</f>
        <v>50179</v>
      </c>
      <c r="D187" s="19" t="n">
        <f aca="false">листопад!P187</f>
        <v>5827.13</v>
      </c>
      <c r="E187" s="19" t="n">
        <f aca="false">листопад!Q187</f>
        <v>0</v>
      </c>
      <c r="F187" s="20" t="n">
        <f aca="false">листопад!F187</f>
        <v>0</v>
      </c>
      <c r="G187" s="21" t="n">
        <f aca="false">листопад!G187</f>
        <v>61.8</v>
      </c>
      <c r="H187" s="21" t="n">
        <f aca="false">листопад!H187</f>
        <v>0</v>
      </c>
      <c r="I187" s="22" t="n">
        <f aca="false">листопад!I187</f>
        <v>4.1</v>
      </c>
      <c r="J187" s="23" t="n">
        <f aca="false">ROUND(G187*I187,2)</f>
        <v>253.38</v>
      </c>
      <c r="K187" s="19"/>
      <c r="L187" s="19"/>
      <c r="M187" s="19"/>
      <c r="N187" s="19" t="n">
        <f aca="false">ROUND((G187*I187)-K187-L187-M187,2)</f>
        <v>253.38</v>
      </c>
      <c r="O187" s="19"/>
      <c r="P187" s="25" t="n">
        <f aca="false">IF(D187=0,IF((N187-E187-O187)&gt;0,(N187-E187-O187),0),IF((D187+N187-O187)&gt;0,(D187+N187-O187),0))</f>
        <v>6080.51</v>
      </c>
      <c r="Q187" s="25" t="n">
        <f aca="false">IF(E187=0,IF((D187+N187-O187)&lt;0,ABS(D187+N187-O187),0),IF((N187-E187-O187)&lt;0,ABS(N187-E187-O187),0))</f>
        <v>0</v>
      </c>
    </row>
    <row r="188" customFormat="false" ht="15" hidden="false" customHeight="false" outlineLevel="0" collapsed="false">
      <c r="A188" s="17" t="s">
        <v>560</v>
      </c>
      <c r="B188" s="18" t="str">
        <f aca="false">листопад!B188</f>
        <v>Овчаренко Т.І.</v>
      </c>
      <c r="C188" s="18" t="str">
        <f aca="false">листопад!C188</f>
        <v>60180</v>
      </c>
      <c r="D188" s="19" t="n">
        <f aca="false">листопад!P188</f>
        <v>1262.48</v>
      </c>
      <c r="E188" s="19" t="n">
        <f aca="false">листопад!Q188</f>
        <v>0</v>
      </c>
      <c r="F188" s="20" t="n">
        <f aca="false">листопад!F188</f>
        <v>0</v>
      </c>
      <c r="G188" s="21" t="n">
        <f aca="false">листопад!G188</f>
        <v>71.06</v>
      </c>
      <c r="H188" s="21" t="n">
        <f aca="false">листопад!H188</f>
        <v>0</v>
      </c>
      <c r="I188" s="22" t="n">
        <f aca="false">листопад!I188</f>
        <v>4.1</v>
      </c>
      <c r="J188" s="23" t="n">
        <f aca="false">ROUND(G188*I188,2)</f>
        <v>291.35</v>
      </c>
      <c r="K188" s="19"/>
      <c r="L188" s="19"/>
      <c r="M188" s="19"/>
      <c r="N188" s="19" t="n">
        <f aca="false">ROUND((G188*I188)-K188-L188-M188,2)</f>
        <v>291.35</v>
      </c>
      <c r="O188" s="19"/>
      <c r="P188" s="25" t="n">
        <f aca="false">IF(D188=0,IF((N188-E188-O188)&gt;0,(N188-E188-O188),0),IF((D188+N188-O188)&gt;0,(D188+N188-O188),0))</f>
        <v>1553.83</v>
      </c>
      <c r="Q188" s="25" t="n">
        <f aca="false">IF(E188=0,IF((D188+N188-O188)&lt;0,ABS(D188+N188-O188),0),IF((N188-E188-O188)&lt;0,ABS(N188-E188-O188),0))</f>
        <v>0</v>
      </c>
    </row>
    <row r="189" customFormat="false" ht="15" hidden="false" customHeight="false" outlineLevel="0" collapsed="false">
      <c r="A189" s="17" t="s">
        <v>563</v>
      </c>
      <c r="B189" s="18" t="str">
        <f aca="false">листопад!B189</f>
        <v>Попукайло О.Г.</v>
      </c>
      <c r="C189" s="18" t="str">
        <f aca="false">листопад!C189</f>
        <v>60181</v>
      </c>
      <c r="D189" s="19" t="n">
        <f aca="false">листопад!P189</f>
        <v>2216.72</v>
      </c>
      <c r="E189" s="19" t="n">
        <f aca="false">листопад!Q189</f>
        <v>0</v>
      </c>
      <c r="F189" s="20" t="n">
        <f aca="false">листопад!F189</f>
        <v>0</v>
      </c>
      <c r="G189" s="21" t="n">
        <f aca="false">листопад!G189</f>
        <v>49.15</v>
      </c>
      <c r="H189" s="21" t="n">
        <f aca="false">листопад!H189</f>
        <v>0</v>
      </c>
      <c r="I189" s="22" t="n">
        <f aca="false">листопад!I189</f>
        <v>4.1</v>
      </c>
      <c r="J189" s="23" t="n">
        <f aca="false">ROUND(G189*I189,2)</f>
        <v>201.52</v>
      </c>
      <c r="K189" s="19"/>
      <c r="L189" s="19"/>
      <c r="M189" s="19"/>
      <c r="N189" s="19" t="n">
        <f aca="false">ROUND((G189*I189)-K189-L189-M189,2)</f>
        <v>201.52</v>
      </c>
      <c r="O189" s="19"/>
      <c r="P189" s="25" t="n">
        <f aca="false">IF(D189=0,IF((N189-E189-O189)&gt;0,(N189-E189-O189),0),IF((D189+N189-O189)&gt;0,(D189+N189-O189),0))</f>
        <v>2418.24</v>
      </c>
      <c r="Q189" s="25" t="n">
        <f aca="false">IF(E189=0,IF((D189+N189-O189)&lt;0,ABS(D189+N189-O189),0),IF((N189-E189-O189)&lt;0,ABS(N189-E189-O189),0))</f>
        <v>0</v>
      </c>
    </row>
    <row r="190" customFormat="false" ht="15" hidden="false" customHeight="false" outlineLevel="0" collapsed="false">
      <c r="A190" s="17" t="s">
        <v>566</v>
      </c>
      <c r="B190" s="18" t="str">
        <f aca="false">листопад!B190</f>
        <v>Онищенко А.В.</v>
      </c>
      <c r="C190" s="18" t="str">
        <f aca="false">листопад!C190</f>
        <v>60182</v>
      </c>
      <c r="D190" s="19" t="n">
        <f aca="false">листопад!P190</f>
        <v>2468.03</v>
      </c>
      <c r="E190" s="19" t="n">
        <f aca="false">листопад!Q190</f>
        <v>0</v>
      </c>
      <c r="F190" s="20" t="n">
        <f aca="false">листопад!F190</f>
        <v>0</v>
      </c>
      <c r="G190" s="21" t="n">
        <f aca="false">листопад!G190</f>
        <v>53.72</v>
      </c>
      <c r="H190" s="21" t="n">
        <f aca="false">листопад!H190</f>
        <v>0</v>
      </c>
      <c r="I190" s="22" t="n">
        <f aca="false">листопад!I190</f>
        <v>4.1</v>
      </c>
      <c r="J190" s="23" t="n">
        <f aca="false">ROUND(G190*I190,2)</f>
        <v>220.25</v>
      </c>
      <c r="K190" s="19"/>
      <c r="L190" s="19"/>
      <c r="M190" s="19"/>
      <c r="N190" s="19" t="n">
        <f aca="false">ROUND((G190*I190)-K190-L190-M190,2)</f>
        <v>220.25</v>
      </c>
      <c r="O190" s="19"/>
      <c r="P190" s="25" t="n">
        <f aca="false">IF(D190=0,IF((N190-E190-O190)&gt;0,(N190-E190-O190),0),IF((D190+N190-O190)&gt;0,(D190+N190-O190),0))</f>
        <v>2688.28</v>
      </c>
      <c r="Q190" s="25" t="n">
        <f aca="false">IF(E190=0,IF((D190+N190-O190)&lt;0,ABS(D190+N190-O190),0),IF((N190-E190-O190)&lt;0,ABS(N190-E190-O190),0))</f>
        <v>0</v>
      </c>
    </row>
    <row r="191" customFormat="false" ht="15" hidden="false" customHeight="false" outlineLevel="0" collapsed="false">
      <c r="A191" s="17" t="s">
        <v>569</v>
      </c>
      <c r="B191" s="18" t="str">
        <f aca="false">листопад!B191</f>
        <v>Соколова О.О.</v>
      </c>
      <c r="C191" s="18" t="str">
        <f aca="false">листопад!C191</f>
        <v>60183</v>
      </c>
      <c r="D191" s="19" t="n">
        <f aca="false">листопад!P191</f>
        <v>0</v>
      </c>
      <c r="E191" s="19" t="n">
        <f aca="false">листопад!Q191</f>
        <v>584.600000000001</v>
      </c>
      <c r="F191" s="20" t="n">
        <f aca="false">листопад!F191</f>
        <v>0</v>
      </c>
      <c r="G191" s="21" t="n">
        <f aca="false">листопад!G191</f>
        <v>68.97</v>
      </c>
      <c r="H191" s="21" t="n">
        <f aca="false">листопад!H191</f>
        <v>0</v>
      </c>
      <c r="I191" s="22" t="n">
        <f aca="false">листопад!I191</f>
        <v>4.1</v>
      </c>
      <c r="J191" s="23" t="n">
        <f aca="false">ROUND(G191*I191,2)</f>
        <v>282.78</v>
      </c>
      <c r="K191" s="19"/>
      <c r="L191" s="19"/>
      <c r="M191" s="19"/>
      <c r="N191" s="19" t="n">
        <f aca="false">ROUND((G191*I191)-K191-L191-M191,2)</f>
        <v>282.78</v>
      </c>
      <c r="O191" s="19"/>
      <c r="P191" s="25" t="n">
        <f aca="false">IF(D191=0,IF((N191-E191-O191)&gt;0,(N191-E191-O191),0),IF((D191+N191-O191)&gt;0,(D191+N191-O191),0))</f>
        <v>0</v>
      </c>
      <c r="Q191" s="25" t="n">
        <f aca="false">IF(E191=0,IF((D191+N191-O191)&lt;0,ABS(D191+N191-O191),0),IF((N191-E191-O191)&lt;0,ABS(N191-E191-O191),0))</f>
        <v>301.820000000001</v>
      </c>
    </row>
    <row r="192" customFormat="false" ht="15" hidden="false" customHeight="false" outlineLevel="0" collapsed="false">
      <c r="A192" s="17" t="s">
        <v>572</v>
      </c>
      <c r="B192" s="18" t="str">
        <f aca="false">листопад!B192</f>
        <v>Ільіна В.П.</v>
      </c>
      <c r="C192" s="18" t="str">
        <f aca="false">листопад!C192</f>
        <v>60184</v>
      </c>
      <c r="D192" s="19" t="n">
        <f aca="false">листопад!P192</f>
        <v>6337.33</v>
      </c>
      <c r="E192" s="19" t="n">
        <f aca="false">листопад!Q192</f>
        <v>0</v>
      </c>
      <c r="F192" s="20" t="n">
        <f aca="false">листопад!F192</f>
        <v>0</v>
      </c>
      <c r="G192" s="21" t="n">
        <f aca="false">листопад!G192</f>
        <v>49.86</v>
      </c>
      <c r="H192" s="21" t="n">
        <f aca="false">листопад!H192</f>
        <v>0</v>
      </c>
      <c r="I192" s="22" t="n">
        <f aca="false">листопад!I192</f>
        <v>4.1</v>
      </c>
      <c r="J192" s="23" t="n">
        <f aca="false">ROUND(G192*I192,2)</f>
        <v>204.43</v>
      </c>
      <c r="K192" s="19"/>
      <c r="L192" s="19"/>
      <c r="M192" s="19"/>
      <c r="N192" s="19" t="n">
        <f aca="false">ROUND((G192*I192)-K192-L192-M192,2)</f>
        <v>204.43</v>
      </c>
      <c r="O192" s="19"/>
      <c r="P192" s="25" t="n">
        <f aca="false">IF(D192=0,IF((N192-E192-O192)&gt;0,(N192-E192-O192),0),IF((D192+N192-O192)&gt;0,(D192+N192-O192),0))</f>
        <v>6541.76</v>
      </c>
      <c r="Q192" s="25" t="n">
        <f aca="false">IF(E192=0,IF((D192+N192-O192)&lt;0,ABS(D192+N192-O192),0),IF((N192-E192-O192)&lt;0,ABS(N192-E192-O192),0))</f>
        <v>0</v>
      </c>
    </row>
    <row r="193" customFormat="false" ht="15" hidden="false" customHeight="false" outlineLevel="0" collapsed="false">
      <c r="A193" s="17" t="s">
        <v>575</v>
      </c>
      <c r="B193" s="18" t="str">
        <f aca="false">листопад!B193</f>
        <v>Чешок Г.К.</v>
      </c>
      <c r="C193" s="18" t="str">
        <f aca="false">листопад!C193</f>
        <v>60185</v>
      </c>
      <c r="D193" s="19" t="n">
        <f aca="false">листопад!P193</f>
        <v>5648.2</v>
      </c>
      <c r="E193" s="19" t="n">
        <f aca="false">листопад!Q193</f>
        <v>0</v>
      </c>
      <c r="F193" s="20" t="n">
        <f aca="false">листопад!F193</f>
        <v>0</v>
      </c>
      <c r="G193" s="21" t="n">
        <f aca="false">листопад!G193</f>
        <v>60.86</v>
      </c>
      <c r="H193" s="21" t="n">
        <f aca="false">листопад!H193</f>
        <v>0</v>
      </c>
      <c r="I193" s="22" t="n">
        <f aca="false">листопад!I193</f>
        <v>4.1</v>
      </c>
      <c r="J193" s="23" t="n">
        <f aca="false">ROUND(G193*I193,2)</f>
        <v>249.53</v>
      </c>
      <c r="K193" s="19"/>
      <c r="L193" s="19"/>
      <c r="M193" s="19"/>
      <c r="N193" s="19" t="n">
        <f aca="false">ROUND((G193*I193)-K193-L193-M193,2)</f>
        <v>249.53</v>
      </c>
      <c r="O193" s="19"/>
      <c r="P193" s="25" t="n">
        <f aca="false">IF(D193=0,IF((N193-E193-O193)&gt;0,(N193-E193-O193),0),IF((D193+N193-O193)&gt;0,(D193+N193-O193),0))</f>
        <v>5897.73</v>
      </c>
      <c r="Q193" s="25" t="n">
        <f aca="false">IF(E193=0,IF((D193+N193-O193)&lt;0,ABS(D193+N193-O193),0),IF((N193-E193-O193)&lt;0,ABS(N193-E193-O193),0))</f>
        <v>0</v>
      </c>
    </row>
    <row r="194" customFormat="false" ht="15" hidden="false" customHeight="false" outlineLevel="0" collapsed="false">
      <c r="A194" s="17" t="s">
        <v>578</v>
      </c>
      <c r="B194" s="18" t="str">
        <f aca="false">листопад!B194</f>
        <v>Бердников В.А.</v>
      </c>
      <c r="C194" s="18" t="str">
        <f aca="false">листопад!C194</f>
        <v>60186</v>
      </c>
      <c r="D194" s="19" t="n">
        <f aca="false">листопад!P194</f>
        <v>3560.11</v>
      </c>
      <c r="E194" s="19" t="n">
        <f aca="false">листопад!Q194</f>
        <v>0</v>
      </c>
      <c r="F194" s="20" t="n">
        <f aca="false">листопад!F194</f>
        <v>0</v>
      </c>
      <c r="G194" s="21" t="n">
        <f aca="false">листопад!G194</f>
        <v>66.75</v>
      </c>
      <c r="H194" s="21" t="n">
        <f aca="false">листопад!H194</f>
        <v>0</v>
      </c>
      <c r="I194" s="22" t="n">
        <f aca="false">листопад!I194</f>
        <v>4.1</v>
      </c>
      <c r="J194" s="23" t="n">
        <f aca="false">ROUND(G194*I194,2)</f>
        <v>273.68</v>
      </c>
      <c r="K194" s="19"/>
      <c r="L194" s="19"/>
      <c r="M194" s="19"/>
      <c r="N194" s="19" t="n">
        <f aca="false">ROUND((G194*I194)-K194-L194-M194,2)</f>
        <v>273.68</v>
      </c>
      <c r="O194" s="19"/>
      <c r="P194" s="25" t="n">
        <f aca="false">IF(D194=0,IF((N194-E194-O194)&gt;0,(N194-E194-O194),0),IF((D194+N194-O194)&gt;0,(D194+N194-O194),0))</f>
        <v>3833.79</v>
      </c>
      <c r="Q194" s="25" t="n">
        <f aca="false">IF(E194=0,IF((D194+N194-O194)&lt;0,ABS(D194+N194-O194),0),IF((N194-E194-O194)&lt;0,ABS(N194-E194-O194),0))</f>
        <v>0</v>
      </c>
    </row>
    <row r="195" customFormat="false" ht="15" hidden="false" customHeight="false" outlineLevel="0" collapsed="false">
      <c r="A195" s="17" t="s">
        <v>581</v>
      </c>
      <c r="B195" s="18" t="str">
        <f aca="false">листопад!B195</f>
        <v>Щербак Н.В.</v>
      </c>
      <c r="C195" s="18" t="str">
        <f aca="false">листопад!C195</f>
        <v>60187</v>
      </c>
      <c r="D195" s="19" t="n">
        <f aca="false">листопад!P195</f>
        <v>5646.89</v>
      </c>
      <c r="E195" s="19" t="n">
        <f aca="false">листопад!Q195</f>
        <v>0</v>
      </c>
      <c r="F195" s="20" t="n">
        <f aca="false">листопад!F195</f>
        <v>0</v>
      </c>
      <c r="G195" s="21" t="n">
        <f aca="false">листопад!G195</f>
        <v>72.49</v>
      </c>
      <c r="H195" s="21" t="n">
        <f aca="false">листопад!H195</f>
        <v>0</v>
      </c>
      <c r="I195" s="22" t="n">
        <f aca="false">листопад!I195</f>
        <v>4.1</v>
      </c>
      <c r="J195" s="23" t="n">
        <f aca="false">ROUND(G195*I195,2)</f>
        <v>297.21</v>
      </c>
      <c r="K195" s="19"/>
      <c r="L195" s="19"/>
      <c r="M195" s="19"/>
      <c r="N195" s="19" t="n">
        <f aca="false">ROUND((G195*I195)-K195-L195-M195,2)</f>
        <v>297.21</v>
      </c>
      <c r="O195" s="19"/>
      <c r="P195" s="25" t="n">
        <f aca="false">IF(D195=0,IF((N195-E195-O195)&gt;0,(N195-E195-O195),0),IF((D195+N195-O195)&gt;0,(D195+N195-O195),0))</f>
        <v>5944.1</v>
      </c>
      <c r="Q195" s="25" t="n">
        <f aca="false">IF(E195=0,IF((D195+N195-O195)&lt;0,ABS(D195+N195-O195),0),IF((N195-E195-O195)&lt;0,ABS(N195-E195-O195),0))</f>
        <v>0</v>
      </c>
    </row>
    <row r="196" customFormat="false" ht="15" hidden="false" customHeight="false" outlineLevel="0" collapsed="false">
      <c r="A196" s="17" t="s">
        <v>584</v>
      </c>
      <c r="B196" s="18" t="str">
        <f aca="false">листопад!B196</f>
        <v>Рожков Ю.М.</v>
      </c>
      <c r="C196" s="18" t="str">
        <f aca="false">листопад!C196</f>
        <v>60188</v>
      </c>
      <c r="D196" s="19" t="n">
        <f aca="false">листопад!P196</f>
        <v>2217.68</v>
      </c>
      <c r="E196" s="19" t="n">
        <f aca="false">листопад!Q196</f>
        <v>0</v>
      </c>
      <c r="F196" s="20" t="n">
        <f aca="false">листопад!F196</f>
        <v>0</v>
      </c>
      <c r="G196" s="21" t="n">
        <f aca="false">листопад!G196</f>
        <v>49.8</v>
      </c>
      <c r="H196" s="21" t="n">
        <f aca="false">листопад!H196</f>
        <v>0</v>
      </c>
      <c r="I196" s="22" t="n">
        <f aca="false">листопад!I196</f>
        <v>4.1</v>
      </c>
      <c r="J196" s="23" t="n">
        <f aca="false">ROUND(G196*I196,2)</f>
        <v>204.18</v>
      </c>
      <c r="K196" s="19"/>
      <c r="L196" s="19"/>
      <c r="M196" s="19"/>
      <c r="N196" s="19" t="n">
        <f aca="false">ROUND((G196*I196)-K196-L196-M196,2)</f>
        <v>204.18</v>
      </c>
      <c r="O196" s="19"/>
      <c r="P196" s="25" t="n">
        <f aca="false">IF(D196=0,IF((N196-E196-O196)&gt;0,(N196-E196-O196),0),IF((D196+N196-O196)&gt;0,(D196+N196-O196),0))</f>
        <v>2421.86</v>
      </c>
      <c r="Q196" s="25" t="n">
        <f aca="false">IF(E196=0,IF((D196+N196-O196)&lt;0,ABS(D196+N196-O196),0),IF((N196-E196-O196)&lt;0,ABS(N196-E196-O196),0))</f>
        <v>0</v>
      </c>
    </row>
    <row r="197" customFormat="false" ht="15" hidden="false" customHeight="false" outlineLevel="0" collapsed="false">
      <c r="A197" s="17" t="s">
        <v>587</v>
      </c>
      <c r="B197" s="18" t="str">
        <f aca="false">листопад!B197</f>
        <v>Кобець В.В.</v>
      </c>
      <c r="C197" s="18" t="str">
        <f aca="false">листопад!C197</f>
        <v>60189</v>
      </c>
      <c r="D197" s="19" t="n">
        <f aca="false">листопад!P197</f>
        <v>3847.27</v>
      </c>
      <c r="E197" s="19" t="n">
        <f aca="false">листопад!Q197</f>
        <v>0</v>
      </c>
      <c r="F197" s="20" t="n">
        <f aca="false">листопад!F197</f>
        <v>0</v>
      </c>
      <c r="G197" s="21" t="n">
        <f aca="false">листопад!G197</f>
        <v>62.36</v>
      </c>
      <c r="H197" s="21" t="n">
        <f aca="false">листопад!H197</f>
        <v>0</v>
      </c>
      <c r="I197" s="22" t="n">
        <f aca="false">листопад!I197</f>
        <v>4.1</v>
      </c>
      <c r="J197" s="23" t="n">
        <f aca="false">ROUND(G197*I197,2)</f>
        <v>255.68</v>
      </c>
      <c r="K197" s="19"/>
      <c r="L197" s="19"/>
      <c r="M197" s="19"/>
      <c r="N197" s="19" t="n">
        <f aca="false">ROUND((G197*I197)-K197-L197-M197,2)</f>
        <v>255.68</v>
      </c>
      <c r="O197" s="19"/>
      <c r="P197" s="25" t="n">
        <f aca="false">IF(D197=0,IF((N197-E197-O197)&gt;0,(N197-E197-O197),0),IF((D197+N197-O197)&gt;0,(D197+N197-O197),0))</f>
        <v>4102.95</v>
      </c>
      <c r="Q197" s="25" t="n">
        <f aca="false">IF(E197=0,IF((D197+N197-O197)&lt;0,ABS(D197+N197-O197),0),IF((N197-E197-O197)&lt;0,ABS(N197-E197-O197),0))</f>
        <v>0</v>
      </c>
    </row>
    <row r="198" customFormat="false" ht="15" hidden="false" customHeight="false" outlineLevel="0" collapsed="false">
      <c r="A198" s="17" t="s">
        <v>590</v>
      </c>
      <c r="B198" s="18" t="str">
        <f aca="false">листопад!B198</f>
        <v>Щерба Л.О.</v>
      </c>
      <c r="C198" s="18" t="str">
        <f aca="false">листопад!C198</f>
        <v>60190</v>
      </c>
      <c r="D198" s="19" t="n">
        <f aca="false">листопад!P198</f>
        <v>4719.75</v>
      </c>
      <c r="E198" s="19" t="n">
        <f aca="false">листопад!Q198</f>
        <v>0</v>
      </c>
      <c r="F198" s="20" t="n">
        <f aca="false">листопад!F198</f>
        <v>0</v>
      </c>
      <c r="G198" s="21" t="n">
        <f aca="false">листопад!G198</f>
        <v>68.5</v>
      </c>
      <c r="H198" s="21" t="n">
        <f aca="false">листопад!H198</f>
        <v>0</v>
      </c>
      <c r="I198" s="22" t="n">
        <f aca="false">листопад!I198</f>
        <v>4.1</v>
      </c>
      <c r="J198" s="23" t="n">
        <f aca="false">ROUND(G198*I198,2)</f>
        <v>280.85</v>
      </c>
      <c r="K198" s="19"/>
      <c r="L198" s="19"/>
      <c r="M198" s="19"/>
      <c r="N198" s="19" t="n">
        <f aca="false">ROUND((G198*I198)-K198-L198-M198,2)</f>
        <v>280.85</v>
      </c>
      <c r="O198" s="19"/>
      <c r="P198" s="25" t="n">
        <f aca="false">IF(D198=0,IF((N198-E198-O198)&gt;0,(N198-E198-O198),0),IF((D198+N198-O198)&gt;0,(D198+N198-O198),0))</f>
        <v>5000.6</v>
      </c>
      <c r="Q198" s="25" t="n">
        <f aca="false">IF(E198=0,IF((D198+N198-O198)&lt;0,ABS(D198+N198-O198),0),IF((N198-E198-O198)&lt;0,ABS(N198-E198-O198),0))</f>
        <v>0</v>
      </c>
    </row>
    <row r="199" customFormat="false" ht="15" hidden="false" customHeight="false" outlineLevel="0" collapsed="false">
      <c r="A199" s="17" t="s">
        <v>593</v>
      </c>
      <c r="B199" s="18" t="str">
        <f aca="false">листопад!B199</f>
        <v>Сапунова І.В.</v>
      </c>
      <c r="C199" s="18" t="str">
        <f aca="false">листопад!C199</f>
        <v>60191</v>
      </c>
      <c r="D199" s="19" t="n">
        <f aca="false">листопад!P199</f>
        <v>3794.32</v>
      </c>
      <c r="E199" s="19" t="n">
        <f aca="false">листопад!Q199</f>
        <v>0</v>
      </c>
      <c r="F199" s="20" t="n">
        <f aca="false">листопад!F199</f>
        <v>0</v>
      </c>
      <c r="G199" s="21" t="n">
        <f aca="false">листопад!G199</f>
        <v>70.42</v>
      </c>
      <c r="H199" s="21" t="n">
        <f aca="false">листопад!H199</f>
        <v>0</v>
      </c>
      <c r="I199" s="22" t="n">
        <f aca="false">листопад!I199</f>
        <v>4.1</v>
      </c>
      <c r="J199" s="23" t="n">
        <f aca="false">ROUND(G199*I199,2)</f>
        <v>288.72</v>
      </c>
      <c r="K199" s="19"/>
      <c r="L199" s="19"/>
      <c r="M199" s="19"/>
      <c r="N199" s="19" t="n">
        <f aca="false">ROUND((G199*I199)-K199-L199-M199,2)</f>
        <v>288.72</v>
      </c>
      <c r="O199" s="19"/>
      <c r="P199" s="25" t="n">
        <f aca="false">IF(D199=0,IF((N199-E199-O199)&gt;0,(N199-E199-O199),0),IF((D199+N199-O199)&gt;0,(D199+N199-O199),0))</f>
        <v>4083.04</v>
      </c>
      <c r="Q199" s="25" t="n">
        <f aca="false">IF(E199=0,IF((D199+N199-O199)&lt;0,ABS(D199+N199-O199),0),IF((N199-E199-O199)&lt;0,ABS(N199-E199-O199),0))</f>
        <v>0</v>
      </c>
    </row>
    <row r="200" customFormat="false" ht="15" hidden="false" customHeight="false" outlineLevel="0" collapsed="false">
      <c r="A200" s="17" t="s">
        <v>596</v>
      </c>
      <c r="B200" s="18" t="str">
        <f aca="false">листопад!B200</f>
        <v>Саввідіс В.О.</v>
      </c>
      <c r="C200" s="18" t="str">
        <f aca="false">листопад!C200</f>
        <v>60192</v>
      </c>
      <c r="D200" s="19" t="n">
        <f aca="false">листопад!P200</f>
        <v>4984.49</v>
      </c>
      <c r="E200" s="19" t="n">
        <f aca="false">листопад!Q200</f>
        <v>0</v>
      </c>
      <c r="F200" s="20" t="n">
        <f aca="false">листопад!F200</f>
        <v>0</v>
      </c>
      <c r="G200" s="21" t="n">
        <f aca="false">листопад!G200</f>
        <v>49.7</v>
      </c>
      <c r="H200" s="21" t="n">
        <f aca="false">листопад!H200</f>
        <v>0</v>
      </c>
      <c r="I200" s="22" t="n">
        <f aca="false">листопад!I200</f>
        <v>4.1</v>
      </c>
      <c r="J200" s="23" t="n">
        <f aca="false">ROUND(G200*I200,2)</f>
        <v>203.77</v>
      </c>
      <c r="K200" s="19"/>
      <c r="L200" s="19"/>
      <c r="M200" s="19"/>
      <c r="N200" s="19" t="n">
        <f aca="false">ROUND((G200*I200)-K200-L200-M200,2)</f>
        <v>203.77</v>
      </c>
      <c r="O200" s="19"/>
      <c r="P200" s="25" t="n">
        <f aca="false">IF(D200=0,IF((N200-E200-O200)&gt;0,(N200-E200-O200),0),IF((D200+N200-O200)&gt;0,(D200+N200-O200),0))</f>
        <v>5188.26</v>
      </c>
      <c r="Q200" s="25" t="n">
        <f aca="false">IF(E200=0,IF((D200+N200-O200)&lt;0,ABS(D200+N200-O200),0),IF((N200-E200-O200)&lt;0,ABS(N200-E200-O200),0))</f>
        <v>0</v>
      </c>
    </row>
    <row r="201" customFormat="false" ht="15" hidden="false" customHeight="false" outlineLevel="0" collapsed="false">
      <c r="A201" s="17" t="s">
        <v>599</v>
      </c>
      <c r="B201" s="18" t="str">
        <f aca="false">листопад!B201</f>
        <v>Кашина Г.І.</v>
      </c>
      <c r="C201" s="18" t="str">
        <f aca="false">листопад!C201</f>
        <v>60193</v>
      </c>
      <c r="D201" s="19" t="n">
        <f aca="false">листопад!P201</f>
        <v>5646.52</v>
      </c>
      <c r="E201" s="19" t="n">
        <f aca="false">листопад!Q201</f>
        <v>0</v>
      </c>
      <c r="F201" s="20" t="n">
        <f aca="false">листопад!F201</f>
        <v>0</v>
      </c>
      <c r="G201" s="21" t="n">
        <f aca="false">листопад!G201</f>
        <v>62.6</v>
      </c>
      <c r="H201" s="21" t="n">
        <f aca="false">листопад!H201</f>
        <v>0</v>
      </c>
      <c r="I201" s="22" t="n">
        <f aca="false">листопад!I201</f>
        <v>4.1</v>
      </c>
      <c r="J201" s="23" t="n">
        <f aca="false">ROUND(G201*I201,2)</f>
        <v>256.66</v>
      </c>
      <c r="K201" s="19"/>
      <c r="L201" s="19"/>
      <c r="M201" s="19"/>
      <c r="N201" s="19" t="n">
        <f aca="false">ROUND((G201*I201)-K201-L201-M201,2)</f>
        <v>256.66</v>
      </c>
      <c r="O201" s="19"/>
      <c r="P201" s="25" t="n">
        <f aca="false">IF(D201=0,IF((N201-E201-O201)&gt;0,(N201-E201-O201),0),IF((D201+N201-O201)&gt;0,(D201+N201-O201),0))</f>
        <v>5903.18</v>
      </c>
      <c r="Q201" s="25" t="n">
        <f aca="false">IF(E201=0,IF((D201+N201-O201)&lt;0,ABS(D201+N201-O201),0),IF((N201-E201-O201)&lt;0,ABS(N201-E201-O201),0))</f>
        <v>0</v>
      </c>
    </row>
    <row r="202" customFormat="false" ht="15" hidden="false" customHeight="false" outlineLevel="0" collapsed="false">
      <c r="A202" s="17" t="s">
        <v>602</v>
      </c>
      <c r="B202" s="18" t="str">
        <f aca="false">листопад!B202</f>
        <v>Фадеєва Є.А.</v>
      </c>
      <c r="C202" s="18" t="str">
        <f aca="false">листопад!C202</f>
        <v>60194</v>
      </c>
      <c r="D202" s="19" t="n">
        <f aca="false">листопад!P202</f>
        <v>5195.52</v>
      </c>
      <c r="E202" s="19" t="n">
        <f aca="false">листопад!Q202</f>
        <v>0</v>
      </c>
      <c r="F202" s="20" t="n">
        <f aca="false">листопад!F202</f>
        <v>0</v>
      </c>
      <c r="G202" s="21" t="n">
        <f aca="false">листопад!G202</f>
        <v>70.4</v>
      </c>
      <c r="H202" s="21" t="n">
        <f aca="false">листопад!H202</f>
        <v>0</v>
      </c>
      <c r="I202" s="22" t="n">
        <f aca="false">листопад!I202</f>
        <v>4.1</v>
      </c>
      <c r="J202" s="23" t="n">
        <f aca="false">ROUND(G202*I202,2)</f>
        <v>288.64</v>
      </c>
      <c r="K202" s="19"/>
      <c r="L202" s="19"/>
      <c r="M202" s="19"/>
      <c r="N202" s="19" t="n">
        <f aca="false">ROUND((G202*I202)-K202-L202-M202,2)</f>
        <v>288.64</v>
      </c>
      <c r="O202" s="19"/>
      <c r="P202" s="25" t="n">
        <f aca="false">IF(D202=0,IF((N202-E202-O202)&gt;0,(N202-E202-O202),0),IF((D202+N202-O202)&gt;0,(D202+N202-O202),0))</f>
        <v>5484.16</v>
      </c>
      <c r="Q202" s="25" t="n">
        <f aca="false">IF(E202=0,IF((D202+N202-O202)&lt;0,ABS(D202+N202-O202),0),IF((N202-E202-O202)&lt;0,ABS(N202-E202-O202),0))</f>
        <v>0</v>
      </c>
    </row>
    <row r="203" customFormat="false" ht="15" hidden="false" customHeight="false" outlineLevel="0" collapsed="false">
      <c r="A203" s="17" t="s">
        <v>605</v>
      </c>
      <c r="B203" s="18" t="str">
        <f aca="false">листопад!B203</f>
        <v>Бойко О.А.</v>
      </c>
      <c r="C203" s="18" t="str">
        <f aca="false">листопад!C203</f>
        <v>60195</v>
      </c>
      <c r="D203" s="19" t="n">
        <f aca="false">листопад!P203</f>
        <v>5459.43</v>
      </c>
      <c r="E203" s="19" t="n">
        <f aca="false">листопад!Q203</f>
        <v>0</v>
      </c>
      <c r="F203" s="20" t="n">
        <f aca="false">листопад!F203</f>
        <v>0</v>
      </c>
      <c r="G203" s="21" t="n">
        <f aca="false">листопад!G203</f>
        <v>70.2</v>
      </c>
      <c r="H203" s="21" t="n">
        <f aca="false">листопад!H203</f>
        <v>0</v>
      </c>
      <c r="I203" s="22" t="n">
        <f aca="false">листопад!I203</f>
        <v>4.1</v>
      </c>
      <c r="J203" s="23" t="n">
        <f aca="false">ROUND(G203*I203,2)</f>
        <v>287.82</v>
      </c>
      <c r="K203" s="19"/>
      <c r="L203" s="19"/>
      <c r="M203" s="19"/>
      <c r="N203" s="19" t="n">
        <f aca="false">ROUND((G203*I203)-K203-L203-M203,2)</f>
        <v>287.82</v>
      </c>
      <c r="O203" s="19"/>
      <c r="P203" s="25" t="n">
        <f aca="false">IF(D203=0,IF((N203-E203-O203)&gt;0,(N203-E203-O203),0),IF((D203+N203-O203)&gt;0,(D203+N203-O203),0))</f>
        <v>5747.25</v>
      </c>
      <c r="Q203" s="25" t="n">
        <f aca="false">IF(E203=0,IF((D203+N203-O203)&lt;0,ABS(D203+N203-O203),0),IF((N203-E203-O203)&lt;0,ABS(N203-E203-O203),0))</f>
        <v>0</v>
      </c>
    </row>
    <row r="204" customFormat="false" ht="15" hidden="false" customHeight="false" outlineLevel="0" collapsed="false">
      <c r="A204" s="17" t="s">
        <v>608</v>
      </c>
      <c r="B204" s="18" t="str">
        <f aca="false">листопад!B204</f>
        <v>Дудник І.А.</v>
      </c>
      <c r="C204" s="18" t="str">
        <f aca="false">листопад!C204</f>
        <v>60196</v>
      </c>
      <c r="D204" s="19" t="n">
        <f aca="false">листопад!P204</f>
        <v>3941.52</v>
      </c>
      <c r="E204" s="19" t="n">
        <f aca="false">листопад!Q204</f>
        <v>0</v>
      </c>
      <c r="F204" s="20" t="n">
        <f aca="false">листопад!F204</f>
        <v>0</v>
      </c>
      <c r="G204" s="21" t="n">
        <f aca="false">листопад!G204</f>
        <v>49.94</v>
      </c>
      <c r="H204" s="21" t="n">
        <f aca="false">листопад!H204</f>
        <v>0</v>
      </c>
      <c r="I204" s="22" t="n">
        <f aca="false">листопад!I204</f>
        <v>4.1</v>
      </c>
      <c r="J204" s="23" t="n">
        <f aca="false">ROUND(G204*I204,2)</f>
        <v>204.75</v>
      </c>
      <c r="K204" s="19"/>
      <c r="L204" s="19"/>
      <c r="M204" s="19"/>
      <c r="N204" s="19" t="n">
        <f aca="false">ROUND((G204*I204)-K204-L204-M204,2)</f>
        <v>204.75</v>
      </c>
      <c r="O204" s="19"/>
      <c r="P204" s="25" t="n">
        <f aca="false">IF(D204=0,IF((N204-E204-O204)&gt;0,(N204-E204-O204),0),IF((D204+N204-O204)&gt;0,(D204+N204-O204),0))</f>
        <v>4146.27</v>
      </c>
      <c r="Q204" s="25" t="n">
        <f aca="false">IF(E204=0,IF((D204+N204-O204)&lt;0,ABS(D204+N204-O204),0),IF((N204-E204-O204)&lt;0,ABS(N204-E204-O204),0))</f>
        <v>0</v>
      </c>
    </row>
    <row r="205" customFormat="false" ht="15" hidden="false" customHeight="false" outlineLevel="0" collapsed="false">
      <c r="A205" s="17" t="s">
        <v>611</v>
      </c>
      <c r="B205" s="18" t="str">
        <f aca="false">листопад!B205</f>
        <v>Лебедєва Т.В.</v>
      </c>
      <c r="C205" s="18" t="str">
        <f aca="false">листопад!C205</f>
        <v>60197</v>
      </c>
      <c r="D205" s="19" t="n">
        <f aca="false">листопад!P205</f>
        <v>3571.45</v>
      </c>
      <c r="E205" s="19" t="n">
        <f aca="false">листопад!Q205</f>
        <v>0</v>
      </c>
      <c r="F205" s="20" t="n">
        <f aca="false">листопад!F205</f>
        <v>0</v>
      </c>
      <c r="G205" s="21" t="n">
        <f aca="false">листопад!G205</f>
        <v>62.3</v>
      </c>
      <c r="H205" s="21" t="n">
        <f aca="false">листопад!H205</f>
        <v>0</v>
      </c>
      <c r="I205" s="22" t="n">
        <f aca="false">листопад!I205</f>
        <v>4.1</v>
      </c>
      <c r="J205" s="23" t="n">
        <f aca="false">ROUND(G205*I205,2)</f>
        <v>255.43</v>
      </c>
      <c r="K205" s="19"/>
      <c r="L205" s="19"/>
      <c r="M205" s="19"/>
      <c r="N205" s="19" t="n">
        <f aca="false">ROUND((G205*I205)-K205-L205-M205,2)</f>
        <v>255.43</v>
      </c>
      <c r="O205" s="19"/>
      <c r="P205" s="25" t="n">
        <f aca="false">IF(D205=0,IF((N205-E205-O205)&gt;0,(N205-E205-O205),0),IF((D205+N205-O205)&gt;0,(D205+N205-O205),0))</f>
        <v>3826.88</v>
      </c>
      <c r="Q205" s="25" t="n">
        <f aca="false">IF(E205=0,IF((D205+N205-O205)&lt;0,ABS(D205+N205-O205),0),IF((N205-E205-O205)&lt;0,ABS(N205-E205-O205),0))</f>
        <v>0</v>
      </c>
    </row>
    <row r="206" customFormat="false" ht="15" hidden="false" customHeight="false" outlineLevel="0" collapsed="false">
      <c r="A206" s="17" t="s">
        <v>614</v>
      </c>
      <c r="B206" s="18" t="str">
        <f aca="false">листопад!B206</f>
        <v>Криницький Л.С.</v>
      </c>
      <c r="C206" s="18" t="str">
        <f aca="false">листопад!C206</f>
        <v>60198</v>
      </c>
      <c r="D206" s="19" t="n">
        <f aca="false">листопад!P206</f>
        <v>554.4</v>
      </c>
      <c r="E206" s="19" t="n">
        <f aca="false">листопад!Q206</f>
        <v>0</v>
      </c>
      <c r="F206" s="20" t="n">
        <f aca="false">листопад!F206</f>
        <v>0</v>
      </c>
      <c r="G206" s="21" t="n">
        <f aca="false">листопад!G206</f>
        <v>67.61</v>
      </c>
      <c r="H206" s="21" t="n">
        <f aca="false">листопад!H206</f>
        <v>0</v>
      </c>
      <c r="I206" s="22" t="n">
        <f aca="false">листопад!I206</f>
        <v>4.1</v>
      </c>
      <c r="J206" s="23" t="n">
        <f aca="false">ROUND(G206*I206,2)</f>
        <v>277.2</v>
      </c>
      <c r="K206" s="19"/>
      <c r="L206" s="19"/>
      <c r="M206" s="19"/>
      <c r="N206" s="19" t="n">
        <f aca="false">ROUND((G206*I206)-K206-L206-M206,2)</f>
        <v>277.2</v>
      </c>
      <c r="O206" s="19"/>
      <c r="P206" s="25" t="n">
        <f aca="false">IF(D206=0,IF((N206-E206-O206)&gt;0,(N206-E206-O206),0),IF((D206+N206-O206)&gt;0,(D206+N206-O206),0))</f>
        <v>831.6</v>
      </c>
      <c r="Q206" s="25" t="n">
        <f aca="false">IF(E206=0,IF((D206+N206-O206)&lt;0,ABS(D206+N206-O206),0),IF((N206-E206-O206)&lt;0,ABS(N206-E206-O206),0))</f>
        <v>0</v>
      </c>
    </row>
    <row r="207" customFormat="false" ht="15" hidden="false" customHeight="false" outlineLevel="0" collapsed="false">
      <c r="A207" s="17" t="s">
        <v>617</v>
      </c>
      <c r="B207" s="18" t="str">
        <f aca="false">листопад!B207</f>
        <v>Сафонов В.В.</v>
      </c>
      <c r="C207" s="18" t="str">
        <f aca="false">листопад!C207</f>
        <v>60199</v>
      </c>
      <c r="D207" s="19" t="n">
        <f aca="false">листопад!P207</f>
        <v>5091.9</v>
      </c>
      <c r="E207" s="19" t="n">
        <f aca="false">листопад!Q207</f>
        <v>0</v>
      </c>
      <c r="F207" s="20" t="n">
        <f aca="false">листопад!F207</f>
        <v>0</v>
      </c>
      <c r="G207" s="21" t="n">
        <f aca="false">листопад!G207</f>
        <v>70.38</v>
      </c>
      <c r="H207" s="21" t="n">
        <f aca="false">листопад!H207</f>
        <v>0</v>
      </c>
      <c r="I207" s="22" t="n">
        <f aca="false">листопад!I207</f>
        <v>4.1</v>
      </c>
      <c r="J207" s="23" t="n">
        <f aca="false">ROUND(G207*I207,2)</f>
        <v>288.56</v>
      </c>
      <c r="K207" s="19"/>
      <c r="L207" s="19"/>
      <c r="M207" s="19"/>
      <c r="N207" s="19" t="n">
        <f aca="false">ROUND((G207*I207)-K207-L207-M207,2)</f>
        <v>288.56</v>
      </c>
      <c r="O207" s="19"/>
      <c r="P207" s="25" t="n">
        <f aca="false">IF(D207=0,IF((N207-E207-O207)&gt;0,(N207-E207-O207),0),IF((D207+N207-O207)&gt;0,(D207+N207-O207),0))</f>
        <v>5380.46</v>
      </c>
      <c r="Q207" s="25" t="n">
        <f aca="false">IF(E207=0,IF((D207+N207-O207)&lt;0,ABS(D207+N207-O207),0),IF((N207-E207-O207)&lt;0,ABS(N207-E207-O207),0))</f>
        <v>0</v>
      </c>
      <c r="T207" s="45"/>
      <c r="W207" s="45"/>
    </row>
    <row r="208" customFormat="false" ht="15" hidden="false" customHeight="false" outlineLevel="0" collapsed="false">
      <c r="A208" s="17" t="s">
        <v>620</v>
      </c>
      <c r="B208" s="18" t="str">
        <f aca="false">листопад!B208</f>
        <v>Мільковська Р.Г.</v>
      </c>
      <c r="C208" s="18" t="str">
        <f aca="false">листопад!C208</f>
        <v>60200</v>
      </c>
      <c r="D208" s="19" t="n">
        <f aca="false">листопад!P208</f>
        <v>3719.15</v>
      </c>
      <c r="E208" s="19" t="n">
        <f aca="false">листопад!Q208</f>
        <v>0</v>
      </c>
      <c r="F208" s="20" t="n">
        <f aca="false">листопад!F208</f>
        <v>0</v>
      </c>
      <c r="G208" s="21" t="n">
        <f aca="false">листопад!G208</f>
        <v>49.88</v>
      </c>
      <c r="H208" s="21" t="n">
        <f aca="false">листопад!H208</f>
        <v>0</v>
      </c>
      <c r="I208" s="22" t="n">
        <f aca="false">листопад!I208</f>
        <v>4.1</v>
      </c>
      <c r="J208" s="23" t="n">
        <f aca="false">ROUND(G208*I208,2)</f>
        <v>204.51</v>
      </c>
      <c r="K208" s="19"/>
      <c r="L208" s="19"/>
      <c r="M208" s="19"/>
      <c r="N208" s="19" t="n">
        <f aca="false">ROUND((G208*I208)-K208-L208-M208,2)</f>
        <v>204.51</v>
      </c>
      <c r="O208" s="19"/>
      <c r="P208" s="25" t="n">
        <f aca="false">IF(D208=0,IF((N208-E208-O208)&gt;0,(N208-E208-O208),0),IF((D208+N208-O208)&gt;0,(D208+N208-O208),0))</f>
        <v>3923.66</v>
      </c>
      <c r="Q208" s="25" t="n">
        <f aca="false">IF(E208=0,IF((D208+N208-O208)&lt;0,ABS(D208+N208-O208),0),IF((N208-E208-O208)&lt;0,ABS(N208-E208-O208),0))</f>
        <v>0</v>
      </c>
      <c r="T208" s="45"/>
      <c r="W208" s="45"/>
    </row>
    <row r="209" customFormat="false" ht="15" hidden="false" customHeight="false" outlineLevel="0" collapsed="false">
      <c r="A209" s="17" t="s">
        <v>623</v>
      </c>
      <c r="B209" s="18" t="str">
        <f aca="false">листопад!B209</f>
        <v>Заранкін С.М.</v>
      </c>
      <c r="C209" s="18" t="str">
        <f aca="false">листопад!C209</f>
        <v>60201</v>
      </c>
      <c r="D209" s="19" t="n">
        <f aca="false">листопад!P209</f>
        <v>3766.32</v>
      </c>
      <c r="E209" s="19" t="n">
        <f aca="false">листопад!Q209</f>
        <v>0</v>
      </c>
      <c r="F209" s="20" t="n">
        <f aca="false">листопад!F209</f>
        <v>0</v>
      </c>
      <c r="G209" s="21" t="n">
        <f aca="false">листопад!G209</f>
        <v>62.02</v>
      </c>
      <c r="H209" s="21" t="n">
        <f aca="false">листопад!H209</f>
        <v>0</v>
      </c>
      <c r="I209" s="22" t="n">
        <f aca="false">листопад!I209</f>
        <v>4.1</v>
      </c>
      <c r="J209" s="23" t="n">
        <f aca="false">ROUND(G209*I209,2)</f>
        <v>254.28</v>
      </c>
      <c r="K209" s="19"/>
      <c r="L209" s="19"/>
      <c r="M209" s="19"/>
      <c r="N209" s="19" t="n">
        <f aca="false">ROUND((G209*I209)-K209-L209-M209,2)</f>
        <v>254.28</v>
      </c>
      <c r="O209" s="19"/>
      <c r="P209" s="25" t="n">
        <f aca="false">IF(D209=0,IF((N209-E209-O209)&gt;0,(N209-E209-O209),0),IF((D209+N209-O209)&gt;0,(D209+N209-O209),0))</f>
        <v>4020.6</v>
      </c>
      <c r="Q209" s="25" t="n">
        <f aca="false">IF(E209=0,IF((D209+N209-O209)&lt;0,ABS(D209+N209-O209),0),IF((N209-E209-O209)&lt;0,ABS(N209-E209-O209),0))</f>
        <v>0</v>
      </c>
    </row>
    <row r="210" customFormat="false" ht="15" hidden="false" customHeight="false" outlineLevel="0" collapsed="false">
      <c r="A210" s="17" t="s">
        <v>626</v>
      </c>
      <c r="B210" s="18" t="str">
        <f aca="false">листопад!B210</f>
        <v>Сіянко О.М.</v>
      </c>
      <c r="C210" s="18" t="str">
        <f aca="false">листопад!C210</f>
        <v>60202</v>
      </c>
      <c r="D210" s="19" t="n">
        <f aca="false">листопад!P210</f>
        <v>4695.47</v>
      </c>
      <c r="E210" s="19" t="n">
        <f aca="false">листопад!Q210</f>
        <v>0</v>
      </c>
      <c r="F210" s="20" t="n">
        <f aca="false">листопад!F210</f>
        <v>0</v>
      </c>
      <c r="G210" s="21" t="n">
        <f aca="false">листопад!G210</f>
        <v>67.6</v>
      </c>
      <c r="H210" s="21" t="n">
        <f aca="false">листопад!H210</f>
        <v>0</v>
      </c>
      <c r="I210" s="22" t="n">
        <f aca="false">листопад!I210</f>
        <v>4.1</v>
      </c>
      <c r="J210" s="23" t="n">
        <f aca="false">ROUND(G210*I210,2)</f>
        <v>277.16</v>
      </c>
      <c r="K210" s="19"/>
      <c r="L210" s="19"/>
      <c r="M210" s="19"/>
      <c r="N210" s="19" t="n">
        <f aca="false">ROUND((G210*I210)-K210-L210-M210,2)</f>
        <v>277.16</v>
      </c>
      <c r="O210" s="19"/>
      <c r="P210" s="25" t="n">
        <f aca="false">IF(D210=0,IF((N210-E210-O210)&gt;0,(N210-E210-O210),0),IF((D210+N210-O210)&gt;0,(D210+N210-O210),0))</f>
        <v>4972.63</v>
      </c>
      <c r="Q210" s="25" t="n">
        <f aca="false">IF(E210=0,IF((D210+N210-O210)&lt;0,ABS(D210+N210-O210),0),IF((N210-E210-O210)&lt;0,ABS(N210-E210-O210),0))</f>
        <v>0</v>
      </c>
    </row>
    <row r="211" customFormat="false" ht="15" hidden="false" customHeight="false" outlineLevel="0" collapsed="false">
      <c r="A211" s="17" t="s">
        <v>629</v>
      </c>
      <c r="B211" s="18" t="str">
        <f aca="false">листопад!B211</f>
        <v>Осипов В.В.</v>
      </c>
      <c r="C211" s="18" t="str">
        <f aca="false">листопад!C211</f>
        <v>60203</v>
      </c>
      <c r="D211" s="19" t="n">
        <f aca="false">листопад!P211</f>
        <v>6640.56000000001</v>
      </c>
      <c r="E211" s="19" t="n">
        <f aca="false">листопад!Q211</f>
        <v>0</v>
      </c>
      <c r="F211" s="20" t="n">
        <f aca="false">листопад!F211</f>
        <v>0</v>
      </c>
      <c r="G211" s="21" t="n">
        <f aca="false">листопад!G211</f>
        <v>70.42</v>
      </c>
      <c r="H211" s="21" t="n">
        <f aca="false">листопад!H211</f>
        <v>0</v>
      </c>
      <c r="I211" s="22" t="n">
        <f aca="false">листопад!I211</f>
        <v>4.1</v>
      </c>
      <c r="J211" s="23" t="n">
        <f aca="false">ROUND(G211*I211,2)</f>
        <v>288.72</v>
      </c>
      <c r="K211" s="19"/>
      <c r="L211" s="19"/>
      <c r="M211" s="19"/>
      <c r="N211" s="19" t="n">
        <f aca="false">ROUND((G211*I211)-K211-L211-M211,2)</f>
        <v>288.72</v>
      </c>
      <c r="O211" s="19"/>
      <c r="P211" s="25" t="n">
        <f aca="false">IF(D211=0,IF((N211-E211-O211)&gt;0,(N211-E211-O211),0),IF((D211+N211-O211)&gt;0,(D211+N211-O211),0))</f>
        <v>6929.28000000001</v>
      </c>
      <c r="Q211" s="25" t="n">
        <f aca="false">IF(E211=0,IF((D211+N211-O211)&lt;0,ABS(D211+N211-O211),0),IF((N211-E211-O211)&lt;0,ABS(N211-E211-O211),0))</f>
        <v>0</v>
      </c>
    </row>
    <row r="212" customFormat="false" ht="15" hidden="false" customHeight="false" outlineLevel="0" collapsed="false">
      <c r="A212" s="17" t="s">
        <v>632</v>
      </c>
      <c r="B212" s="18" t="str">
        <f aca="false">листопад!B212</f>
        <v>Перепьолкін А.Л.</v>
      </c>
      <c r="C212" s="18" t="str">
        <f aca="false">листопад!C212</f>
        <v>60204</v>
      </c>
      <c r="D212" s="19" t="n">
        <f aca="false">листопад!P212</f>
        <v>1193.82</v>
      </c>
      <c r="E212" s="19" t="n">
        <f aca="false">листопад!Q212</f>
        <v>0</v>
      </c>
      <c r="F212" s="20" t="n">
        <f aca="false">листопад!F212</f>
        <v>0</v>
      </c>
      <c r="G212" s="21" t="n">
        <f aca="false">листопад!G212</f>
        <v>49.8</v>
      </c>
      <c r="H212" s="21" t="n">
        <f aca="false">листопад!H212</f>
        <v>0</v>
      </c>
      <c r="I212" s="22" t="n">
        <f aca="false">листопад!I212</f>
        <v>4.1</v>
      </c>
      <c r="J212" s="23" t="n">
        <f aca="false">ROUND(G212*I212,2)</f>
        <v>204.18</v>
      </c>
      <c r="K212" s="19"/>
      <c r="L212" s="19"/>
      <c r="M212" s="19"/>
      <c r="N212" s="19" t="n">
        <f aca="false">ROUND((G212*I212)-K212-L212-M212,2)</f>
        <v>204.18</v>
      </c>
      <c r="O212" s="19"/>
      <c r="P212" s="25" t="n">
        <f aca="false">IF(D212=0,IF((N212-E212-O212)&gt;0,(N212-E212-O212),0),IF((D212+N212-O212)&gt;0,(D212+N212-O212),0))</f>
        <v>1398</v>
      </c>
      <c r="Q212" s="25" t="n">
        <f aca="false">IF(E212=0,IF((D212+N212-O212)&lt;0,ABS(D212+N212-O212),0),IF((N212-E212-O212)&lt;0,ABS(N212-E212-O212),0))</f>
        <v>0</v>
      </c>
    </row>
    <row r="213" customFormat="false" ht="15" hidden="false" customHeight="false" outlineLevel="0" collapsed="false">
      <c r="A213" s="17" t="s">
        <v>635</v>
      </c>
      <c r="B213" s="18" t="str">
        <f aca="false">листопад!B213</f>
        <v>Синегрибова В.В.</v>
      </c>
      <c r="C213" s="18" t="str">
        <f aca="false">листопад!C213</f>
        <v>60205</v>
      </c>
      <c r="D213" s="19" t="n">
        <f aca="false">листопад!P213</f>
        <v>6128.77</v>
      </c>
      <c r="E213" s="19" t="n">
        <f aca="false">листопад!Q213</f>
        <v>0</v>
      </c>
      <c r="F213" s="20" t="n">
        <f aca="false">листопад!F213</f>
        <v>0</v>
      </c>
      <c r="G213" s="21" t="n">
        <f aca="false">листопад!G213</f>
        <v>62.7</v>
      </c>
      <c r="H213" s="21" t="n">
        <f aca="false">листопад!H213</f>
        <v>0</v>
      </c>
      <c r="I213" s="22" t="n">
        <f aca="false">листопад!I213</f>
        <v>4.1</v>
      </c>
      <c r="J213" s="23" t="n">
        <f aca="false">ROUND(G213*I213,2)</f>
        <v>257.07</v>
      </c>
      <c r="K213" s="19"/>
      <c r="L213" s="19"/>
      <c r="M213" s="19"/>
      <c r="N213" s="19" t="n">
        <f aca="false">ROUND((G213*I213)-K213-L213-M213,2)</f>
        <v>257.07</v>
      </c>
      <c r="O213" s="19"/>
      <c r="P213" s="25" t="n">
        <f aca="false">IF(D213=0,IF((N213-E213-O213)&gt;0,(N213-E213-O213),0),IF((D213+N213-O213)&gt;0,(D213+N213-O213),0))</f>
        <v>6385.84</v>
      </c>
      <c r="Q213" s="25" t="n">
        <f aca="false">IF(E213=0,IF((D213+N213-O213)&lt;0,ABS(D213+N213-O213),0),IF((N213-E213-O213)&lt;0,ABS(N213-E213-O213),0))</f>
        <v>0</v>
      </c>
    </row>
    <row r="214" customFormat="false" ht="15" hidden="false" customHeight="false" outlineLevel="0" collapsed="false">
      <c r="A214" s="17" t="s">
        <v>638</v>
      </c>
      <c r="B214" s="18" t="str">
        <f aca="false">листопад!B214</f>
        <v>Юдін М.В.</v>
      </c>
      <c r="C214" s="18" t="str">
        <f aca="false">листопад!C214</f>
        <v>60206</v>
      </c>
      <c r="D214" s="19" t="n">
        <f aca="false">листопад!P214</f>
        <v>1040.4</v>
      </c>
      <c r="E214" s="19" t="n">
        <f aca="false">листопад!Q214</f>
        <v>0</v>
      </c>
      <c r="F214" s="20" t="n">
        <f aca="false">листопад!F214</f>
        <v>0</v>
      </c>
      <c r="G214" s="21" t="n">
        <f aca="false">листопад!G214</f>
        <v>68</v>
      </c>
      <c r="H214" s="21" t="n">
        <f aca="false">листопад!H214</f>
        <v>0</v>
      </c>
      <c r="I214" s="22" t="n">
        <f aca="false">листопад!I214</f>
        <v>4.1</v>
      </c>
      <c r="J214" s="23" t="n">
        <f aca="false">ROUND(G214*I214,2)</f>
        <v>278.8</v>
      </c>
      <c r="K214" s="19"/>
      <c r="L214" s="19"/>
      <c r="M214" s="19"/>
      <c r="N214" s="19" t="n">
        <f aca="false">ROUND((G214*I214)-K214-L214-M214,2)</f>
        <v>278.8</v>
      </c>
      <c r="O214" s="19"/>
      <c r="P214" s="25" t="n">
        <f aca="false">IF(D214=0,IF((N214-E214-O214)&gt;0,(N214-E214-O214),0),IF((D214+N214-O214)&gt;0,(D214+N214-O214),0))</f>
        <v>1319.2</v>
      </c>
      <c r="Q214" s="25" t="n">
        <f aca="false">IF(E214=0,IF((D214+N214-O214)&lt;0,ABS(D214+N214-O214),0),IF((N214-E214-O214)&lt;0,ABS(N214-E214-O214),0))</f>
        <v>0</v>
      </c>
    </row>
    <row r="215" customFormat="false" ht="15" hidden="false" customHeight="false" outlineLevel="0" collapsed="false">
      <c r="A215" s="17" t="s">
        <v>641</v>
      </c>
      <c r="B215" s="18" t="str">
        <f aca="false">листопад!B215</f>
        <v>Сергєєва Н.О.</v>
      </c>
      <c r="C215" s="18" t="str">
        <f aca="false">листопад!C215</f>
        <v>60207</v>
      </c>
      <c r="D215" s="19" t="n">
        <f aca="false">листопад!P215</f>
        <v>1075.57</v>
      </c>
      <c r="E215" s="19" t="n">
        <f aca="false">листопад!Q215</f>
        <v>0</v>
      </c>
      <c r="F215" s="20" t="n">
        <f aca="false">листопад!F215</f>
        <v>0</v>
      </c>
      <c r="G215" s="21" t="n">
        <f aca="false">листопад!G215</f>
        <v>72.1</v>
      </c>
      <c r="H215" s="21" t="n">
        <f aca="false">листопад!H215</f>
        <v>0</v>
      </c>
      <c r="I215" s="22" t="n">
        <f aca="false">листопад!I215</f>
        <v>4.1</v>
      </c>
      <c r="J215" s="23" t="n">
        <f aca="false">ROUND(G215*I215,2)</f>
        <v>295.61</v>
      </c>
      <c r="K215" s="19"/>
      <c r="L215" s="19"/>
      <c r="M215" s="19"/>
      <c r="N215" s="19" t="n">
        <f aca="false">ROUND((G215*I215)-K215-L215-M215,2)</f>
        <v>295.61</v>
      </c>
      <c r="O215" s="19"/>
      <c r="P215" s="25" t="n">
        <f aca="false">IF(D215=0,IF((N215-E215-O215)&gt;0,(N215-E215-O215),0),IF((D215+N215-O215)&gt;0,(D215+N215-O215),0))</f>
        <v>1371.18</v>
      </c>
      <c r="Q215" s="25" t="n">
        <f aca="false">IF(E215=0,IF((D215+N215-O215)&lt;0,ABS(D215+N215-O215),0),IF((N215-E215-O215)&lt;0,ABS(N215-E215-O215),0))</f>
        <v>0</v>
      </c>
    </row>
    <row r="216" customFormat="false" ht="15" hidden="false" customHeight="false" outlineLevel="0" collapsed="false">
      <c r="A216" s="17" t="s">
        <v>644</v>
      </c>
      <c r="B216" s="18" t="str">
        <f aca="false">листопад!B216</f>
        <v>Рева І.П.</v>
      </c>
      <c r="C216" s="18" t="str">
        <f aca="false">листопад!C216</f>
        <v>60208</v>
      </c>
      <c r="D216" s="19" t="n">
        <f aca="false">листопад!P216</f>
        <v>3046.25</v>
      </c>
      <c r="E216" s="19" t="n">
        <f aca="false">листопад!Q216</f>
        <v>0</v>
      </c>
      <c r="F216" s="20" t="n">
        <f aca="false">листопад!F216</f>
        <v>0</v>
      </c>
      <c r="G216" s="21" t="n">
        <f aca="false">листопад!G216</f>
        <v>49.72</v>
      </c>
      <c r="H216" s="21" t="n">
        <f aca="false">листопад!H216</f>
        <v>0</v>
      </c>
      <c r="I216" s="22" t="n">
        <f aca="false">листопад!I216</f>
        <v>4.1</v>
      </c>
      <c r="J216" s="23" t="n">
        <f aca="false">ROUND(G216*I216,2)</f>
        <v>203.85</v>
      </c>
      <c r="K216" s="19"/>
      <c r="L216" s="19"/>
      <c r="M216" s="19"/>
      <c r="N216" s="19" t="n">
        <f aca="false">ROUND((G216*I216)-K216-L216-M216,2)</f>
        <v>203.85</v>
      </c>
      <c r="O216" s="19"/>
      <c r="P216" s="25" t="n">
        <f aca="false">IF(D216=0,IF((N216-E216-O216)&gt;0,(N216-E216-O216),0),IF((D216+N216-O216)&gt;0,(D216+N216-O216),0))</f>
        <v>3250.1</v>
      </c>
      <c r="Q216" s="25" t="n">
        <f aca="false">IF(E216=0,IF((D216+N216-O216)&lt;0,ABS(D216+N216-O216),0),IF((N216-E216-O216)&lt;0,ABS(N216-E216-O216),0))</f>
        <v>0</v>
      </c>
    </row>
    <row r="217" customFormat="false" ht="15" hidden="false" customHeight="false" outlineLevel="0" collapsed="false">
      <c r="A217" s="17" t="s">
        <v>647</v>
      </c>
      <c r="B217" s="18" t="str">
        <f aca="false">листопад!B217</f>
        <v>Почапський Ю.Т.</v>
      </c>
      <c r="C217" s="18" t="str">
        <f aca="false">листопад!C217</f>
        <v>60209</v>
      </c>
      <c r="D217" s="19" t="n">
        <f aca="false">листопад!P217</f>
        <v>1270.29</v>
      </c>
      <c r="E217" s="19" t="n">
        <f aca="false">листопад!Q217</f>
        <v>0</v>
      </c>
      <c r="F217" s="20" t="n">
        <f aca="false">листопад!F217</f>
        <v>0</v>
      </c>
      <c r="G217" s="21" t="n">
        <f aca="false">листопад!G217</f>
        <v>62.39</v>
      </c>
      <c r="H217" s="21" t="n">
        <f aca="false">листопад!H217</f>
        <v>0</v>
      </c>
      <c r="I217" s="22" t="n">
        <f aca="false">листопад!I217</f>
        <v>4.1</v>
      </c>
      <c r="J217" s="23" t="n">
        <f aca="false">ROUND(G217*I217,2)</f>
        <v>255.8</v>
      </c>
      <c r="K217" s="19"/>
      <c r="L217" s="19"/>
      <c r="M217" s="19"/>
      <c r="N217" s="19" t="n">
        <f aca="false">ROUND((G217*I217)-K217-L217-M217,2)</f>
        <v>255.8</v>
      </c>
      <c r="O217" s="19"/>
      <c r="P217" s="25" t="n">
        <f aca="false">IF(D217=0,IF((N217-E217-O217)&gt;0,(N217-E217-O217),0),IF((D217+N217-O217)&gt;0,(D217+N217-O217),0))</f>
        <v>1526.09</v>
      </c>
      <c r="Q217" s="25" t="n">
        <f aca="false">IF(E217=0,IF((D217+N217-O217)&lt;0,ABS(D217+N217-O217),0),IF((N217-E217-O217)&lt;0,ABS(N217-E217-O217),0))</f>
        <v>0</v>
      </c>
    </row>
    <row r="218" customFormat="false" ht="15" hidden="false" customHeight="false" outlineLevel="0" collapsed="false">
      <c r="A218" s="17" t="s">
        <v>650</v>
      </c>
      <c r="B218" s="18" t="str">
        <f aca="false">листопад!B218</f>
        <v>Васильченко М.П.</v>
      </c>
      <c r="C218" s="18" t="str">
        <f aca="false">листопад!C218</f>
        <v>60210</v>
      </c>
      <c r="D218" s="19" t="n">
        <f aca="false">листопад!P218</f>
        <v>5800.38</v>
      </c>
      <c r="E218" s="19" t="n">
        <f aca="false">листопад!Q218</f>
        <v>0</v>
      </c>
      <c r="F218" s="20" t="n">
        <f aca="false">листопад!F218</f>
        <v>0</v>
      </c>
      <c r="G218" s="21" t="n">
        <f aca="false">листопад!G218</f>
        <v>67.47</v>
      </c>
      <c r="H218" s="21" t="n">
        <f aca="false">листопад!H218</f>
        <v>0</v>
      </c>
      <c r="I218" s="22" t="n">
        <f aca="false">листопад!I218</f>
        <v>4.1</v>
      </c>
      <c r="J218" s="23" t="n">
        <f aca="false">ROUND(G218*I218,2)</f>
        <v>276.63</v>
      </c>
      <c r="K218" s="19"/>
      <c r="L218" s="19"/>
      <c r="M218" s="19"/>
      <c r="N218" s="19" t="n">
        <f aca="false">ROUND((G218*I218)-K218-L218-M218,2)</f>
        <v>276.63</v>
      </c>
      <c r="O218" s="19"/>
      <c r="P218" s="25" t="n">
        <f aca="false">IF(D218=0,IF((N218-E218-O218)&gt;0,(N218-E218-O218),0),IF((D218+N218-O218)&gt;0,(D218+N218-O218),0))</f>
        <v>6077.01</v>
      </c>
      <c r="Q218" s="25" t="n">
        <f aca="false">IF(E218=0,IF((D218+N218-O218)&lt;0,ABS(D218+N218-O218),0),IF((N218-E218-O218)&lt;0,ABS(N218-E218-O218),0))</f>
        <v>0</v>
      </c>
    </row>
    <row r="219" customFormat="false" ht="15" hidden="false" customHeight="false" outlineLevel="0" collapsed="false">
      <c r="A219" s="17" t="s">
        <v>653</v>
      </c>
      <c r="B219" s="18" t="str">
        <f aca="false">листопад!B219</f>
        <v>Черненко Т.А.</v>
      </c>
      <c r="C219" s="18" t="str">
        <f aca="false">листопад!C219</f>
        <v>60211</v>
      </c>
      <c r="D219" s="19" t="n">
        <f aca="false">листопад!P219</f>
        <v>5357.96</v>
      </c>
      <c r="E219" s="19" t="n">
        <f aca="false">листопад!Q219</f>
        <v>0</v>
      </c>
      <c r="F219" s="20" t="n">
        <f aca="false">листопад!F219</f>
        <v>0</v>
      </c>
      <c r="G219" s="21" t="n">
        <f aca="false">листопад!G219</f>
        <v>70.41</v>
      </c>
      <c r="H219" s="21" t="n">
        <f aca="false">листопад!H219</f>
        <v>0</v>
      </c>
      <c r="I219" s="22" t="n">
        <f aca="false">листопад!I219</f>
        <v>4.1</v>
      </c>
      <c r="J219" s="23" t="n">
        <f aca="false">ROUND(G219*I219,2)</f>
        <v>288.68</v>
      </c>
      <c r="K219" s="19"/>
      <c r="L219" s="19"/>
      <c r="M219" s="19"/>
      <c r="N219" s="19" t="n">
        <f aca="false">ROUND((G219*I219)-K219-L219-M219,2)</f>
        <v>288.68</v>
      </c>
      <c r="O219" s="19"/>
      <c r="P219" s="25" t="n">
        <f aca="false">IF(D219=0,IF((N219-E219-O219)&gt;0,(N219-E219-O219),0),IF((D219+N219-O219)&gt;0,(D219+N219-O219),0))</f>
        <v>5646.64</v>
      </c>
      <c r="Q219" s="25" t="n">
        <f aca="false">IF(E219=0,IF((D219+N219-O219)&lt;0,ABS(D219+N219-O219),0),IF((N219-E219-O219)&lt;0,ABS(N219-E219-O219),0))</f>
        <v>0</v>
      </c>
    </row>
    <row r="220" customFormat="false" ht="15" hidden="false" customHeight="false" outlineLevel="0" collapsed="false">
      <c r="A220" s="17" t="s">
        <v>656</v>
      </c>
      <c r="B220" s="18" t="str">
        <f aca="false">листопад!B220</f>
        <v>Сиротенко Я.О.</v>
      </c>
      <c r="C220" s="18" t="str">
        <f aca="false">листопад!C220</f>
        <v>60212</v>
      </c>
      <c r="D220" s="19" t="n">
        <f aca="false">листопад!P220</f>
        <v>3401.2</v>
      </c>
      <c r="E220" s="19" t="n">
        <f aca="false">листопад!Q220</f>
        <v>0</v>
      </c>
      <c r="F220" s="20" t="n">
        <f aca="false">листопад!F220</f>
        <v>0</v>
      </c>
      <c r="G220" s="21" t="n">
        <f aca="false">листопад!G220</f>
        <v>49.73</v>
      </c>
      <c r="H220" s="21" t="n">
        <f aca="false">листопад!H220</f>
        <v>0</v>
      </c>
      <c r="I220" s="22" t="n">
        <f aca="false">листопад!I220</f>
        <v>4.1</v>
      </c>
      <c r="J220" s="23" t="n">
        <f aca="false">ROUND(G220*I220,2)</f>
        <v>203.89</v>
      </c>
      <c r="K220" s="19"/>
      <c r="L220" s="19"/>
      <c r="M220" s="19"/>
      <c r="N220" s="19" t="n">
        <f aca="false">ROUND((G220*I220)-K220-L220-M220,2)</f>
        <v>203.89</v>
      </c>
      <c r="O220" s="19"/>
      <c r="P220" s="25" t="n">
        <f aca="false">IF(D220=0,IF((N220-E220-O220)&gt;0,(N220-E220-O220),0),IF((D220+N220-O220)&gt;0,(D220+N220-O220),0))</f>
        <v>3605.09</v>
      </c>
      <c r="Q220" s="25" t="n">
        <f aca="false">IF(E220=0,IF((D220+N220-O220)&lt;0,ABS(D220+N220-O220),0),IF((N220-E220-O220)&lt;0,ABS(N220-E220-O220),0))</f>
        <v>0</v>
      </c>
    </row>
    <row r="221" customFormat="false" ht="15" hidden="false" customHeight="false" outlineLevel="0" collapsed="false">
      <c r="A221" s="27" t="s">
        <v>659</v>
      </c>
      <c r="B221" s="18" t="str">
        <f aca="false">листопад!B221</f>
        <v>Корнюшенко О.О.</v>
      </c>
      <c r="C221" s="18" t="str">
        <f aca="false">листопад!C221</f>
        <v>60213</v>
      </c>
      <c r="D221" s="28" t="n">
        <f aca="false">листопад!P221</f>
        <v>7169.8</v>
      </c>
      <c r="E221" s="29" t="n">
        <f aca="false">листопад!Q221</f>
        <v>0</v>
      </c>
      <c r="F221" s="20" t="n">
        <f aca="false">листопад!F221</f>
        <v>0</v>
      </c>
      <c r="G221" s="21" t="n">
        <f aca="false">листопад!G221</f>
        <v>62</v>
      </c>
      <c r="H221" s="21" t="n">
        <f aca="false">листопад!H221</f>
        <v>0</v>
      </c>
      <c r="I221" s="22" t="n">
        <f aca="false">листопад!I221</f>
        <v>4.1</v>
      </c>
      <c r="J221" s="23" t="n">
        <f aca="false">ROUND(G221*I221,2)</f>
        <v>254.2</v>
      </c>
      <c r="K221" s="19"/>
      <c r="L221" s="29"/>
      <c r="M221" s="29"/>
      <c r="N221" s="29" t="n">
        <f aca="false">ROUND((G221*I221)-K221-L221-M221,2)</f>
        <v>254.2</v>
      </c>
      <c r="O221" s="29"/>
      <c r="P221" s="30" t="n">
        <f aca="false">IF(D221=0,IF((N221-E221-O221)&gt;0,(N221-E221-O221),0),IF((D221+N221-O221)&gt;0,(D221+N221-O221),0))</f>
        <v>7424</v>
      </c>
      <c r="Q221" s="30" t="n">
        <f aca="false">IF(E221=0,IF((D221+N221-O221)&lt;0,ABS(D221+N221-O221),0),IF((N221-E221-O221)&lt;0,ABS(N221-E221-O221),0))</f>
        <v>0</v>
      </c>
    </row>
    <row r="222" customFormat="false" ht="15" hidden="false" customHeight="false" outlineLevel="0" collapsed="false">
      <c r="A222" s="31" t="s">
        <v>662</v>
      </c>
      <c r="B222" s="31"/>
      <c r="C222" s="31"/>
      <c r="D222" s="32" t="n">
        <f aca="false">SUM(D7:D221)</f>
        <v>630895</v>
      </c>
      <c r="E222" s="33" t="n">
        <f aca="false">SUM(E7:E221)</f>
        <v>2214.67</v>
      </c>
      <c r="F222" s="34"/>
      <c r="G222" s="35" t="n">
        <f aca="false">SUM(G7:G221)</f>
        <v>11652.42</v>
      </c>
      <c r="H222" s="35" t="n">
        <f aca="false">SUM(H7:H221)</f>
        <v>0</v>
      </c>
      <c r="I222" s="36"/>
      <c r="J222" s="35" t="n">
        <f aca="false">SUM(J7:J221)</f>
        <v>47774.99</v>
      </c>
      <c r="K222" s="35" t="n">
        <f aca="false">SUM(K7:K221)</f>
        <v>0</v>
      </c>
      <c r="L222" s="35" t="n">
        <f aca="false">SUM(L7:L221)</f>
        <v>0</v>
      </c>
      <c r="M222" s="37" t="n">
        <f aca="false">SUM(M7:M221)</f>
        <v>0</v>
      </c>
      <c r="N222" s="38" t="n">
        <f aca="false">SUM(N7:N221)</f>
        <v>47774.99</v>
      </c>
      <c r="O222" s="37" t="n">
        <f aca="false">SUM(O7:O221)</f>
        <v>0</v>
      </c>
      <c r="P222" s="39" t="n">
        <f aca="false">SUM(P7:P221)</f>
        <v>677710.21</v>
      </c>
      <c r="Q222" s="33" t="n">
        <f aca="false">SUM(Q7:Q221)</f>
        <v>1254.89</v>
      </c>
      <c r="T222" s="26"/>
    </row>
    <row r="223" customFormat="false" ht="15" hidden="false" customHeight="false" outlineLevel="0" collapsed="false">
      <c r="A223" s="31"/>
      <c r="B223" s="31"/>
      <c r="C223" s="31"/>
      <c r="D223" s="40" t="n">
        <f aca="false">D222-E222</f>
        <v>628680.33</v>
      </c>
      <c r="E223" s="40"/>
      <c r="F223" s="34"/>
      <c r="G223" s="35"/>
      <c r="H223" s="35"/>
      <c r="I223" s="36"/>
      <c r="J223" s="35"/>
      <c r="K223" s="35"/>
      <c r="L223" s="35"/>
      <c r="M223" s="37"/>
      <c r="N223" s="38"/>
      <c r="O223" s="37"/>
      <c r="P223" s="41" t="n">
        <f aca="false">P222-Q222</f>
        <v>676455.32</v>
      </c>
      <c r="Q223" s="41"/>
      <c r="T223" s="26"/>
    </row>
    <row r="225" customFormat="false" ht="17.25" hidden="false" customHeight="true" outlineLevel="0" collapsed="false">
      <c r="B225" s="57"/>
      <c r="C225" s="57"/>
      <c r="D225" s="58"/>
      <c r="E225" s="58"/>
      <c r="P225" s="26"/>
    </row>
    <row r="226" customFormat="false" ht="15" hidden="false" customHeight="false" outlineLevel="0" collapsed="false">
      <c r="D226" s="26"/>
      <c r="U226" s="42" t="n">
        <f aca="false">[2]Груд!$F$73</f>
        <v>32505.7</v>
      </c>
    </row>
  </sheetData>
  <mergeCells count="18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  <mergeCell ref="D225:E225"/>
  </mergeCells>
  <conditionalFormatting sqref="J4:Q5 D4:E5 F4:I4 O15:O16 O21:O22 O27:O28 O33 O36:O37 O63:O64 O42:O43 O69:O70 O48:O49 O75:O76 O54:O55 O60 O83:O84 O89 O94:O95 O100:O101 O106 F9:I9 D9:E10 J9:O10">
    <cfRule type="cellIs" priority="2" operator="equal" aboveAverage="0" equalAverage="0" bottom="0" percent="0" rank="0" text="" dxfId="72">
      <formula>0</formula>
    </cfRule>
    <cfRule type="cellIs" priority="3" operator="equal" aboveAverage="0" equalAverage="0" bottom="0" percent="0" rank="0" text="" dxfId="73">
      <formula>0</formula>
    </cfRule>
  </conditionalFormatting>
  <conditionalFormatting sqref="L2:L5 M4:M89 N2:Q89 L7:L221 M90:Q221 D2:K221">
    <cfRule type="cellIs" priority="4" operator="equal" aboveAverage="0" equalAverage="0" bottom="0" percent="0" rank="0" text="" dxfId="74">
      <formula>0</formula>
    </cfRule>
  </conditionalFormatting>
  <conditionalFormatting sqref="J4:Q5 D4:E5 F4:I4 F9:I9 D9:E10 J9:O10">
    <cfRule type="cellIs" priority="5" operator="equal" aboveAverage="0" equalAverage="0" bottom="0" percent="0" rank="0" text="" dxfId="75">
      <formula>0</formula>
    </cfRule>
  </conditionalFormatting>
  <conditionalFormatting sqref="L2:L5 M4:M221 L7:L221 N2:Q221 D2:K221">
    <cfRule type="cellIs" priority="6" operator="equal" aboveAverage="0" equalAverage="0" bottom="0" percent="0" rank="0" text="" dxfId="76">
      <formula>0</formula>
    </cfRule>
  </conditionalFormatting>
  <conditionalFormatting sqref="L2:L5 M4:M89 N2:Q89 L7:L221 M6:Q221 D2:K221">
    <cfRule type="cellIs" priority="7" operator="equal" aboveAverage="0" equalAverage="0" bottom="0" percent="0" rank="0" text="" dxfId="77">
      <formula>0</formula>
    </cfRule>
  </conditionalFormatting>
  <printOptions headings="false" gridLines="false" gridLinesSet="true" horizontalCentered="true" verticalCentered="false"/>
  <pageMargins left="0.118055555555556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M24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11.14"/>
    <col collapsed="false" customWidth="true" hidden="false" outlineLevel="0" max="3" min="3" style="0" width="12.29"/>
    <col collapsed="false" customWidth="true" hidden="false" outlineLevel="0" max="4" min="4" style="0" width="10.85"/>
    <col collapsed="false" customWidth="true" hidden="false" outlineLevel="0" max="5" min="5" style="0" width="10.42"/>
    <col collapsed="false" customWidth="true" hidden="false" outlineLevel="0" max="6" min="6" style="0" width="4.86"/>
    <col collapsed="false" customWidth="true" hidden="false" outlineLevel="0" max="7" min="7" style="0" width="14.57"/>
    <col collapsed="false" customWidth="true" hidden="false" outlineLevel="0" max="10" min="10" style="0" width="13.71"/>
  </cols>
  <sheetData>
    <row r="4" customFormat="false" ht="15" hidden="false" customHeight="false" outlineLevel="0" collapsed="false">
      <c r="B4" s="1" t="s">
        <v>675</v>
      </c>
      <c r="C4" s="1"/>
      <c r="D4" s="1"/>
      <c r="E4" s="1"/>
      <c r="F4" s="1"/>
      <c r="G4" s="1"/>
    </row>
    <row r="5" customFormat="false" ht="15" hidden="false" customHeight="false" outlineLevel="0" collapsed="false">
      <c r="B5" s="0" t="s">
        <v>676</v>
      </c>
      <c r="C5" s="26" t="n">
        <f aca="false">січень!D223</f>
        <v>333198.56</v>
      </c>
    </row>
    <row r="6" customFormat="false" ht="15" hidden="false" customHeight="false" outlineLevel="0" collapsed="false">
      <c r="B6" s="0" t="s">
        <v>677</v>
      </c>
      <c r="C6" s="0" t="s">
        <v>678</v>
      </c>
      <c r="G6" s="0" t="s">
        <v>679</v>
      </c>
    </row>
    <row r="7" customFormat="false" ht="15" hidden="false" customHeight="false" outlineLevel="0" collapsed="false">
      <c r="B7" s="0" t="n">
        <v>1</v>
      </c>
      <c r="C7" s="59" t="n">
        <f aca="false">січень!N222</f>
        <v>44833.9</v>
      </c>
      <c r="D7" s="60"/>
      <c r="E7" s="60"/>
      <c r="F7" s="60"/>
      <c r="G7" s="59" t="n">
        <f aca="false">січень!O222</f>
        <v>29037.01</v>
      </c>
      <c r="J7" s="26" t="n">
        <f aca="false">C7-G7</f>
        <v>15796.89</v>
      </c>
    </row>
    <row r="8" customFormat="false" ht="15" hidden="false" customHeight="false" outlineLevel="0" collapsed="false">
      <c r="B8" s="0" t="n">
        <v>2</v>
      </c>
      <c r="C8" s="59" t="n">
        <f aca="false">лютий!N222</f>
        <v>45390.42</v>
      </c>
      <c r="D8" s="60"/>
      <c r="E8" s="60"/>
      <c r="F8" s="60"/>
      <c r="G8" s="59" t="n">
        <f aca="false">лютий!O222</f>
        <v>19269.39</v>
      </c>
      <c r="J8" s="26" t="n">
        <f aca="false">C8-G8</f>
        <v>26121.03</v>
      </c>
    </row>
    <row r="9" customFormat="false" ht="15" hidden="false" customHeight="false" outlineLevel="0" collapsed="false">
      <c r="B9" s="0" t="n">
        <v>3</v>
      </c>
      <c r="C9" s="59" t="n">
        <f aca="false">березень!N222</f>
        <v>45888.27</v>
      </c>
      <c r="D9" s="60"/>
      <c r="E9" s="60"/>
      <c r="F9" s="60"/>
      <c r="G9" s="59" t="n">
        <f aca="false">березень!O222</f>
        <v>29059.47</v>
      </c>
      <c r="J9" s="26" t="n">
        <f aca="false">C9-G9</f>
        <v>16828.8</v>
      </c>
    </row>
    <row r="10" customFormat="false" ht="15" hidden="false" customHeight="false" outlineLevel="0" collapsed="false">
      <c r="B10" s="0" t="n">
        <v>4</v>
      </c>
      <c r="C10" s="59" t="n">
        <f aca="false">квітень!N222</f>
        <v>46257.28</v>
      </c>
      <c r="D10" s="60"/>
      <c r="E10" s="60"/>
      <c r="F10" s="60"/>
      <c r="G10" s="59" t="n">
        <f aca="false">квітень!O222</f>
        <v>36214.91</v>
      </c>
      <c r="J10" s="26" t="n">
        <f aca="false">C10-G10</f>
        <v>10042.37</v>
      </c>
    </row>
    <row r="11" customFormat="false" ht="15" hidden="false" customHeight="false" outlineLevel="0" collapsed="false">
      <c r="B11" s="0" t="n">
        <v>5</v>
      </c>
      <c r="C11" s="59" t="n">
        <f aca="false">травень!N222</f>
        <v>46834.31</v>
      </c>
      <c r="D11" s="60"/>
      <c r="E11" s="60"/>
      <c r="F11" s="60"/>
      <c r="G11" s="59" t="n">
        <f aca="false">травень!O222</f>
        <v>28695.9</v>
      </c>
      <c r="J11" s="26" t="n">
        <f aca="false">C11-G11</f>
        <v>18138.41</v>
      </c>
    </row>
    <row r="12" customFormat="false" ht="15" hidden="false" customHeight="false" outlineLevel="0" collapsed="false">
      <c r="B12" s="0" t="n">
        <v>6</v>
      </c>
      <c r="C12" s="59" t="n">
        <f aca="false">червень!N222</f>
        <v>47774.99</v>
      </c>
      <c r="D12" s="60"/>
      <c r="E12" s="60"/>
      <c r="F12" s="60"/>
      <c r="G12" s="59" t="n">
        <f aca="false">червень!O222</f>
        <v>22808.34</v>
      </c>
      <c r="J12" s="26" t="n">
        <f aca="false">C12-G12</f>
        <v>24966.65</v>
      </c>
    </row>
    <row r="13" customFormat="false" ht="15" hidden="false" customHeight="false" outlineLevel="0" collapsed="false">
      <c r="B13" s="0" t="n">
        <v>7</v>
      </c>
      <c r="C13" s="59" t="n">
        <f aca="false">липень!N222</f>
        <v>47774.99</v>
      </c>
      <c r="D13" s="60"/>
      <c r="E13" s="60"/>
      <c r="F13" s="60"/>
      <c r="G13" s="59" t="n">
        <f aca="false">липень!O222</f>
        <v>39336.73</v>
      </c>
      <c r="J13" s="26" t="n">
        <f aca="false">C13-G13</f>
        <v>8438.26</v>
      </c>
    </row>
    <row r="14" customFormat="false" ht="15" hidden="false" customHeight="false" outlineLevel="0" collapsed="false">
      <c r="B14" s="0" t="n">
        <v>8</v>
      </c>
      <c r="C14" s="59" t="n">
        <f aca="false">серпень!N222</f>
        <v>47774.99</v>
      </c>
      <c r="D14" s="60"/>
      <c r="E14" s="60"/>
      <c r="F14" s="60"/>
      <c r="G14" s="59" t="n">
        <f aca="false">серпень!O222</f>
        <v>15950.6</v>
      </c>
      <c r="J14" s="26" t="n">
        <f aca="false">C14-G14</f>
        <v>31824.39</v>
      </c>
    </row>
    <row r="15" customFormat="false" ht="15" hidden="false" customHeight="false" outlineLevel="0" collapsed="false">
      <c r="B15" s="0" t="n">
        <v>9</v>
      </c>
      <c r="C15" s="59" t="n">
        <f aca="false">вересень!N222</f>
        <v>47774.99</v>
      </c>
      <c r="D15" s="60"/>
      <c r="E15" s="60"/>
      <c r="F15" s="60"/>
      <c r="G15" s="59" t="n">
        <f aca="false">вересень!O222</f>
        <v>0</v>
      </c>
      <c r="J15" s="26" t="n">
        <f aca="false">C15-G15</f>
        <v>47774.99</v>
      </c>
    </row>
    <row r="16" customFormat="false" ht="15" hidden="false" customHeight="false" outlineLevel="0" collapsed="false">
      <c r="B16" s="0" t="n">
        <v>10</v>
      </c>
      <c r="C16" s="59" t="n">
        <f aca="false">жовтень!N222</f>
        <v>47774.99</v>
      </c>
      <c r="D16" s="60"/>
      <c r="E16" s="60"/>
      <c r="F16" s="60"/>
      <c r="G16" s="59" t="n">
        <f aca="false">жовтень!O222</f>
        <v>0</v>
      </c>
      <c r="J16" s="26" t="n">
        <f aca="false">C16-G16</f>
        <v>47774.99</v>
      </c>
    </row>
    <row r="17" customFormat="false" ht="15" hidden="false" customHeight="false" outlineLevel="0" collapsed="false">
      <c r="B17" s="0" t="n">
        <v>11</v>
      </c>
      <c r="C17" s="59" t="n">
        <f aca="false">листопад!N222</f>
        <v>47774.99</v>
      </c>
      <c r="D17" s="60"/>
      <c r="E17" s="60"/>
      <c r="F17" s="60"/>
      <c r="G17" s="59" t="n">
        <f aca="false">листопад!O222</f>
        <v>0</v>
      </c>
      <c r="J17" s="26" t="n">
        <f aca="false">C17-G17</f>
        <v>47774.99</v>
      </c>
    </row>
    <row r="18" customFormat="false" ht="15" hidden="false" customHeight="false" outlineLevel="0" collapsed="false">
      <c r="B18" s="0" t="n">
        <v>12</v>
      </c>
      <c r="C18" s="59" t="n">
        <f aca="false">грудень!N222</f>
        <v>47774.99</v>
      </c>
      <c r="D18" s="60"/>
      <c r="E18" s="60"/>
      <c r="F18" s="60"/>
      <c r="G18" s="59" t="n">
        <f aca="false">грудень!O222</f>
        <v>0</v>
      </c>
      <c r="J18" s="26" t="n">
        <f aca="false">C18-G18</f>
        <v>47774.99</v>
      </c>
    </row>
    <row r="20" customFormat="false" ht="15" hidden="false" customHeight="false" outlineLevel="0" collapsed="false">
      <c r="C20" s="61" t="n">
        <f aca="false">SUM(C7:C18)+C5</f>
        <v>896827.67</v>
      </c>
      <c r="D20" s="62"/>
      <c r="E20" s="62"/>
      <c r="F20" s="62"/>
      <c r="G20" s="61" t="n">
        <f aca="false">SUM(G7:G18)</f>
        <v>220372.35</v>
      </c>
      <c r="J20" s="26" t="n">
        <f aca="false">C20-G20</f>
        <v>676455.32</v>
      </c>
    </row>
    <row r="22" customFormat="false" ht="15" hidden="false" customHeight="false" outlineLevel="0" collapsed="false">
      <c r="M22" s="0" t="s">
        <v>662</v>
      </c>
    </row>
    <row r="23" customFormat="false" ht="15" hidden="false" customHeight="false" outlineLevel="0" collapsed="false">
      <c r="J23" s="26"/>
    </row>
    <row r="24" customFormat="false" ht="15" hidden="false" customHeight="false" outlineLevel="0" collapsed="false">
      <c r="J24" s="26"/>
    </row>
  </sheetData>
  <mergeCells count="1">
    <mergeCell ref="B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uk-UA</dc:language>
  <cp:lastModifiedBy/>
  <dcterms:modified xsi:type="dcterms:W3CDTF">2025-01-06T17:13:12Z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